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Ex3.xml" ContentType="application/vnd.ms-office.chartex+xml"/>
  <Override PartName="/xl/charts/style13.xml" ContentType="application/vnd.ms-office.chartstyle+xml"/>
  <Override PartName="/xl/charts/colors13.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Ex4.xml" ContentType="application/vnd.ms-office.chartex+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mc:AlternateContent xmlns:mc="http://schemas.openxmlformats.org/markup-compatibility/2006">
    <mc:Choice Requires="x15">
      <x15ac:absPath xmlns:x15ac="http://schemas.microsoft.com/office/spreadsheetml/2010/11/ac" url="C:\Users\Abhinaba Chakraborti\Documents\DESKTOP\FOR PORTFOLIO\EXCEL\"/>
    </mc:Choice>
  </mc:AlternateContent>
  <xr:revisionPtr revIDLastSave="0" documentId="13_ncr:1_{F21F37DA-0353-454D-9618-6DBF586C6E30}" xr6:coauthVersionLast="47" xr6:coauthVersionMax="47" xr10:uidLastSave="{00000000-0000-0000-0000-000000000000}"/>
  <bookViews>
    <workbookView xWindow="-108" yWindow="-108" windowWidth="23256" windowHeight="12456" tabRatio="838" activeTab="1" xr2:uid="{00000000-000D-0000-FFFF-FFFF00000000}"/>
  </bookViews>
  <sheets>
    <sheet name="Data" sheetId="1" r:id="rId1"/>
    <sheet name="Dashboard" sheetId="2" r:id="rId2"/>
    <sheet name="Sales Trend" sheetId="6" r:id="rId3"/>
    <sheet name="Units Trend" sheetId="11" r:id="rId4"/>
    <sheet name="Sales by Region" sheetId="7" r:id="rId5"/>
    <sheet name="Units by Region" sheetId="12" r:id="rId6"/>
    <sheet name="Sales by Employee" sheetId="8" r:id="rId7"/>
    <sheet name="Units by Employee" sheetId="13" r:id="rId8"/>
    <sheet name="Item Share (Revenue)" sheetId="9" r:id="rId9"/>
    <sheet name="Item Share (Units)" sheetId="14" r:id="rId10"/>
    <sheet name="Customer Revenue" sheetId="10" r:id="rId11"/>
    <sheet name="Customer Units" sheetId="15" r:id="rId12"/>
  </sheets>
  <definedNames>
    <definedName name="_xlchart.v5.0" hidden="1">'Sales by Region'!$A$7</definedName>
    <definedName name="_xlchart.v5.1" hidden="1">'Sales by Region'!$A$8</definedName>
    <definedName name="_xlchart.v5.10" hidden="1">'Sales by Region'!$B$7:$E$7</definedName>
    <definedName name="_xlchart.v5.11" hidden="1">'Sales by Region'!$B$8:$E$8</definedName>
    <definedName name="_xlchart.v5.12" hidden="1">'Units by Region'!$A$8</definedName>
    <definedName name="_xlchart.v5.13" hidden="1">'Units by Region'!$A$9</definedName>
    <definedName name="_xlchart.v5.14" hidden="1">'Units by Region'!$B$8:$E$8</definedName>
    <definedName name="_xlchart.v5.15" hidden="1">'Units by Region'!$B$9:$E$9</definedName>
    <definedName name="_xlchart.v5.2" hidden="1">'Sales by Region'!$B$7:$E$7</definedName>
    <definedName name="_xlchart.v5.3" hidden="1">'Sales by Region'!$B$8:$E$8</definedName>
    <definedName name="_xlchart.v5.4" hidden="1">'Units by Region'!$A$8</definedName>
    <definedName name="_xlchart.v5.5" hidden="1">'Units by Region'!$A$9</definedName>
    <definedName name="_xlchart.v5.6" hidden="1">'Units by Region'!$B$8:$E$8</definedName>
    <definedName name="_xlchart.v5.7" hidden="1">'Units by Region'!$B$9:$E$9</definedName>
    <definedName name="_xlchart.v5.8" hidden="1">'Sales by Region'!$A$7</definedName>
    <definedName name="_xlchart.v5.9" hidden="1">'Sales by Region'!$A$8</definedName>
    <definedName name="Slicer_Item">#N/A</definedName>
    <definedName name="Slicer_Region">#N/A</definedName>
    <definedName name="Slicer_Sales_Person">#N/A</definedName>
    <definedName name="Slicer_Years__Date">#N/A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 i="7" l="1"/>
  <c r="B9" i="12"/>
  <c r="E8" i="7"/>
  <c r="E9" i="12"/>
  <c r="B8" i="7"/>
  <c r="C8" i="7"/>
  <c r="D9" i="12"/>
  <c r="C9" i="12"/>
  <c r="D8" i="7"/>
  <c r="F8" i="7"/>
</calcChain>
</file>

<file path=xl/sharedStrings.xml><?xml version="1.0" encoding="utf-8"?>
<sst xmlns="http://schemas.openxmlformats.org/spreadsheetml/2006/main" count="10180" uniqueCount="2067">
  <si>
    <t>Order ID</t>
  </si>
  <si>
    <t>Date</t>
  </si>
  <si>
    <t>Customer ID</t>
  </si>
  <si>
    <t>Customer Name</t>
  </si>
  <si>
    <t>Sales Person</t>
  </si>
  <si>
    <t>Region</t>
  </si>
  <si>
    <t>Item</t>
  </si>
  <si>
    <t>Price</t>
  </si>
  <si>
    <t>Quantity</t>
  </si>
  <si>
    <t>Revenue</t>
  </si>
  <si>
    <t>Laptop 1</t>
  </si>
  <si>
    <t>Desktop</t>
  </si>
  <si>
    <t>Headphone</t>
  </si>
  <si>
    <t>Laptop 2</t>
  </si>
  <si>
    <t>Tablet</t>
  </si>
  <si>
    <t>Rajasthan</t>
  </si>
  <si>
    <t>Gujarat</t>
  </si>
  <si>
    <t>Maharashtra</t>
  </si>
  <si>
    <t>Uttar Pradesh</t>
  </si>
  <si>
    <t>Mirza International</t>
  </si>
  <si>
    <t>Malcom India Ltd</t>
  </si>
  <si>
    <t>Great Eastern Trading Co</t>
  </si>
  <si>
    <t>Bata India Limited</t>
  </si>
  <si>
    <t>Khadim India Limited</t>
  </si>
  <si>
    <t>Reliance Footprint</t>
  </si>
  <si>
    <t>Flipkart India Limited</t>
  </si>
  <si>
    <t>Suraksha Diagonistics</t>
  </si>
  <si>
    <t>Dollar Industries Ltd</t>
  </si>
  <si>
    <t>Rupa Industries Ltd</t>
  </si>
  <si>
    <t>Lux India Ltd</t>
  </si>
  <si>
    <t>Dixcy India Ltd</t>
  </si>
  <si>
    <t>Amul</t>
  </si>
  <si>
    <t>Hindustan Unilever Limited</t>
  </si>
  <si>
    <t>ITC</t>
  </si>
  <si>
    <t>PEPSICO</t>
  </si>
  <si>
    <t>EMAMI</t>
  </si>
  <si>
    <t>Nestle</t>
  </si>
  <si>
    <t>Cadbury</t>
  </si>
  <si>
    <t>Relaxo Footwear</t>
  </si>
  <si>
    <t>Avinash Thakur</t>
  </si>
  <si>
    <t>Annie Chaudhary</t>
  </si>
  <si>
    <t>Arjun Reddy</t>
  </si>
  <si>
    <t>Varun Saran</t>
  </si>
  <si>
    <t>Kunal Rai</t>
  </si>
  <si>
    <t>Harsh Makhija</t>
  </si>
  <si>
    <t>Vikram Rathore</t>
  </si>
  <si>
    <t>Ravi Kumar</t>
  </si>
  <si>
    <t>Row Labels</t>
  </si>
  <si>
    <t>Grand Total</t>
  </si>
  <si>
    <t>2018</t>
  </si>
  <si>
    <t>Jan</t>
  </si>
  <si>
    <t>Feb</t>
  </si>
  <si>
    <t>Mar</t>
  </si>
  <si>
    <t>Apr</t>
  </si>
  <si>
    <t>May</t>
  </si>
  <si>
    <t>Jun</t>
  </si>
  <si>
    <t>Jul</t>
  </si>
  <si>
    <t>Aug</t>
  </si>
  <si>
    <t>Sep</t>
  </si>
  <si>
    <t>Oct</t>
  </si>
  <si>
    <t>Nov</t>
  </si>
  <si>
    <t>Dec</t>
  </si>
  <si>
    <t>2019</t>
  </si>
  <si>
    <t>Sum of Revenue</t>
  </si>
  <si>
    <t>Column Labels</t>
  </si>
  <si>
    <t>Sum of Quantity</t>
  </si>
  <si>
    <t>Sum of Units</t>
  </si>
  <si>
    <t>PR-0001</t>
  </si>
  <si>
    <t>PR-0002</t>
  </si>
  <si>
    <t>PR-0003</t>
  </si>
  <si>
    <t>PR-0004</t>
  </si>
  <si>
    <t>PR-0005</t>
  </si>
  <si>
    <t>PR-0006</t>
  </si>
  <si>
    <t>PR-0007</t>
  </si>
  <si>
    <t>PR-0008</t>
  </si>
  <si>
    <t>PR-0009</t>
  </si>
  <si>
    <t>PR-0010</t>
  </si>
  <si>
    <t>PR-0011</t>
  </si>
  <si>
    <t>PR-0012</t>
  </si>
  <si>
    <t>PR-0013</t>
  </si>
  <si>
    <t>PR-0014</t>
  </si>
  <si>
    <t>PR-0015</t>
  </si>
  <si>
    <t>PR-0016</t>
  </si>
  <si>
    <t>PR-0017</t>
  </si>
  <si>
    <t>PR-0018</t>
  </si>
  <si>
    <t>PR-0019</t>
  </si>
  <si>
    <t>PR-0020</t>
  </si>
  <si>
    <t>PR-0021</t>
  </si>
  <si>
    <t>PR-0022</t>
  </si>
  <si>
    <t>PR-0023</t>
  </si>
  <si>
    <t>PR-0024</t>
  </si>
  <si>
    <t>PR-0025</t>
  </si>
  <si>
    <t>PR-0026</t>
  </si>
  <si>
    <t>PR-0027</t>
  </si>
  <si>
    <t>PR-0028</t>
  </si>
  <si>
    <t>PR-0029</t>
  </si>
  <si>
    <t>PR-0030</t>
  </si>
  <si>
    <t>PR-0031</t>
  </si>
  <si>
    <t>PR-0032</t>
  </si>
  <si>
    <t>PR-0033</t>
  </si>
  <si>
    <t>PR-0034</t>
  </si>
  <si>
    <t>PR-0035</t>
  </si>
  <si>
    <t>PR-0036</t>
  </si>
  <si>
    <t>PR-0037</t>
  </si>
  <si>
    <t>PR-0038</t>
  </si>
  <si>
    <t>PR-0039</t>
  </si>
  <si>
    <t>PR-0040</t>
  </si>
  <si>
    <t>PR-0041</t>
  </si>
  <si>
    <t>PR-0042</t>
  </si>
  <si>
    <t>PR-0043</t>
  </si>
  <si>
    <t>PR-0044</t>
  </si>
  <si>
    <t>PR-0045</t>
  </si>
  <si>
    <t>PR-0046</t>
  </si>
  <si>
    <t>PR-0047</t>
  </si>
  <si>
    <t>PR-0048</t>
  </si>
  <si>
    <t>PR-0049</t>
  </si>
  <si>
    <t>PR-0050</t>
  </si>
  <si>
    <t>PR-0051</t>
  </si>
  <si>
    <t>PR-0052</t>
  </si>
  <si>
    <t>PR-0053</t>
  </si>
  <si>
    <t>PR-0054</t>
  </si>
  <si>
    <t>PR-0055</t>
  </si>
  <si>
    <t>PR-0056</t>
  </si>
  <si>
    <t>PR-0057</t>
  </si>
  <si>
    <t>PR-0058</t>
  </si>
  <si>
    <t>PR-0059</t>
  </si>
  <si>
    <t>PR-0060</t>
  </si>
  <si>
    <t>PR-0061</t>
  </si>
  <si>
    <t>PR-0062</t>
  </si>
  <si>
    <t>PR-0063</t>
  </si>
  <si>
    <t>PR-0064</t>
  </si>
  <si>
    <t>PR-0065</t>
  </si>
  <si>
    <t>PR-0066</t>
  </si>
  <si>
    <t>PR-0067</t>
  </si>
  <si>
    <t>PR-0068</t>
  </si>
  <si>
    <t>PR-0069</t>
  </si>
  <si>
    <t>PR-0070</t>
  </si>
  <si>
    <t>PR-0071</t>
  </si>
  <si>
    <t>PR-0072</t>
  </si>
  <si>
    <t>PR-0073</t>
  </si>
  <si>
    <t>PR-0074</t>
  </si>
  <si>
    <t>PR-0075</t>
  </si>
  <si>
    <t>PR-0076</t>
  </si>
  <si>
    <t>PR-0077</t>
  </si>
  <si>
    <t>PR-0078</t>
  </si>
  <si>
    <t>PR-0079</t>
  </si>
  <si>
    <t>PR-0080</t>
  </si>
  <si>
    <t>PR-0081</t>
  </si>
  <si>
    <t>PR-0082</t>
  </si>
  <si>
    <t>PR-0083</t>
  </si>
  <si>
    <t>PR-0084</t>
  </si>
  <si>
    <t>PR-0085</t>
  </si>
  <si>
    <t>PR-0086</t>
  </si>
  <si>
    <t>PR-0087</t>
  </si>
  <si>
    <t>PR-0088</t>
  </si>
  <si>
    <t>PR-0089</t>
  </si>
  <si>
    <t>PR-0090</t>
  </si>
  <si>
    <t>PR-0091</t>
  </si>
  <si>
    <t>PR-0092</t>
  </si>
  <si>
    <t>PR-0093</t>
  </si>
  <si>
    <t>PR-0094</t>
  </si>
  <si>
    <t>PR-0095</t>
  </si>
  <si>
    <t>PR-0096</t>
  </si>
  <si>
    <t>PR-0097</t>
  </si>
  <si>
    <t>PR-0098</t>
  </si>
  <si>
    <t>PR-0099</t>
  </si>
  <si>
    <t>PR-0100</t>
  </si>
  <si>
    <t>PR-0101</t>
  </si>
  <si>
    <t>PR-0102</t>
  </si>
  <si>
    <t>PR-0103</t>
  </si>
  <si>
    <t>PR-0104</t>
  </si>
  <si>
    <t>PR-0105</t>
  </si>
  <si>
    <t>PR-0106</t>
  </si>
  <si>
    <t>PR-0107</t>
  </si>
  <si>
    <t>PR-0108</t>
  </si>
  <si>
    <t>PR-0109</t>
  </si>
  <si>
    <t>PR-0110</t>
  </si>
  <si>
    <t>PR-0111</t>
  </si>
  <si>
    <t>PR-0112</t>
  </si>
  <si>
    <t>PR-0113</t>
  </si>
  <si>
    <t>PR-0114</t>
  </si>
  <si>
    <t>PR-0115</t>
  </si>
  <si>
    <t>PR-0116</t>
  </si>
  <si>
    <t>PR-0117</t>
  </si>
  <si>
    <t>PR-0118</t>
  </si>
  <si>
    <t>PR-0119</t>
  </si>
  <si>
    <t>PR-0120</t>
  </si>
  <si>
    <t>PR-0121</t>
  </si>
  <si>
    <t>PR-0122</t>
  </si>
  <si>
    <t>PR-0123</t>
  </si>
  <si>
    <t>PR-0124</t>
  </si>
  <si>
    <t>PR-0125</t>
  </si>
  <si>
    <t>PR-0126</t>
  </si>
  <si>
    <t>PR-0127</t>
  </si>
  <si>
    <t>PR-0128</t>
  </si>
  <si>
    <t>PR-0129</t>
  </si>
  <si>
    <t>PR-0130</t>
  </si>
  <si>
    <t>PR-0131</t>
  </si>
  <si>
    <t>PR-0132</t>
  </si>
  <si>
    <t>PR-0133</t>
  </si>
  <si>
    <t>PR-0134</t>
  </si>
  <si>
    <t>PR-0135</t>
  </si>
  <si>
    <t>PR-0136</t>
  </si>
  <si>
    <t>PR-0137</t>
  </si>
  <si>
    <t>PR-0138</t>
  </si>
  <si>
    <t>PR-0139</t>
  </si>
  <si>
    <t>PR-0140</t>
  </si>
  <si>
    <t>PR-0141</t>
  </si>
  <si>
    <t>PR-0142</t>
  </si>
  <si>
    <t>PR-0143</t>
  </si>
  <si>
    <t>PR-0144</t>
  </si>
  <si>
    <t>PR-0145</t>
  </si>
  <si>
    <t>PR-0146</t>
  </si>
  <si>
    <t>PR-0147</t>
  </si>
  <si>
    <t>PR-0148</t>
  </si>
  <si>
    <t>PR-0149</t>
  </si>
  <si>
    <t>PR-0150</t>
  </si>
  <si>
    <t>PR-0151</t>
  </si>
  <si>
    <t>PR-0152</t>
  </si>
  <si>
    <t>PR-0153</t>
  </si>
  <si>
    <t>PR-0154</t>
  </si>
  <si>
    <t>PR-0155</t>
  </si>
  <si>
    <t>PR-0156</t>
  </si>
  <si>
    <t>PR-0157</t>
  </si>
  <si>
    <t>PR-0158</t>
  </si>
  <si>
    <t>PR-0159</t>
  </si>
  <si>
    <t>PR-0160</t>
  </si>
  <si>
    <t>PR-0161</t>
  </si>
  <si>
    <t>PR-0162</t>
  </si>
  <si>
    <t>PR-0163</t>
  </si>
  <si>
    <t>PR-0164</t>
  </si>
  <si>
    <t>PR-0165</t>
  </si>
  <si>
    <t>PR-0166</t>
  </si>
  <si>
    <t>PR-0167</t>
  </si>
  <si>
    <t>PR-0168</t>
  </si>
  <si>
    <t>PR-0169</t>
  </si>
  <si>
    <t>PR-0170</t>
  </si>
  <si>
    <t>PR-0171</t>
  </si>
  <si>
    <t>PR-0172</t>
  </si>
  <si>
    <t>PR-0173</t>
  </si>
  <si>
    <t>PR-0174</t>
  </si>
  <si>
    <t>PR-0175</t>
  </si>
  <si>
    <t>PR-0176</t>
  </si>
  <si>
    <t>PR-0177</t>
  </si>
  <si>
    <t>PR-0178</t>
  </si>
  <si>
    <t>PR-0179</t>
  </si>
  <si>
    <t>PR-0180</t>
  </si>
  <si>
    <t>PR-0181</t>
  </si>
  <si>
    <t>PR-0182</t>
  </si>
  <si>
    <t>PR-0183</t>
  </si>
  <si>
    <t>PR-0184</t>
  </si>
  <si>
    <t>PR-0185</t>
  </si>
  <si>
    <t>PR-0186</t>
  </si>
  <si>
    <t>PR-0187</t>
  </si>
  <si>
    <t>PR-0188</t>
  </si>
  <si>
    <t>PR-0189</t>
  </si>
  <si>
    <t>PR-0190</t>
  </si>
  <si>
    <t>PR-0191</t>
  </si>
  <si>
    <t>PR-0192</t>
  </si>
  <si>
    <t>PR-0193</t>
  </si>
  <si>
    <t>PR-0194</t>
  </si>
  <si>
    <t>PR-0195</t>
  </si>
  <si>
    <t>PR-0196</t>
  </si>
  <si>
    <t>PR-0197</t>
  </si>
  <si>
    <t>PR-0198</t>
  </si>
  <si>
    <t>PR-0199</t>
  </si>
  <si>
    <t>PR-0200</t>
  </si>
  <si>
    <t>PR-0201</t>
  </si>
  <si>
    <t>PR-0202</t>
  </si>
  <si>
    <t>PR-0203</t>
  </si>
  <si>
    <t>PR-0204</t>
  </si>
  <si>
    <t>PR-0205</t>
  </si>
  <si>
    <t>PR-0206</t>
  </si>
  <si>
    <t>PR-0207</t>
  </si>
  <si>
    <t>PR-0208</t>
  </si>
  <si>
    <t>PR-0209</t>
  </si>
  <si>
    <t>PR-0210</t>
  </si>
  <si>
    <t>PR-0211</t>
  </si>
  <si>
    <t>PR-0212</t>
  </si>
  <si>
    <t>PR-0213</t>
  </si>
  <si>
    <t>PR-0214</t>
  </si>
  <si>
    <t>PR-0215</t>
  </si>
  <si>
    <t>PR-0216</t>
  </si>
  <si>
    <t>PR-0217</t>
  </si>
  <si>
    <t>PR-0218</t>
  </si>
  <si>
    <t>PR-0219</t>
  </si>
  <si>
    <t>PR-0220</t>
  </si>
  <si>
    <t>PR-0221</t>
  </si>
  <si>
    <t>PR-0222</t>
  </si>
  <si>
    <t>PR-0223</t>
  </si>
  <si>
    <t>PR-0224</t>
  </si>
  <si>
    <t>PR-0225</t>
  </si>
  <si>
    <t>PR-0226</t>
  </si>
  <si>
    <t>PR-0227</t>
  </si>
  <si>
    <t>PR-0228</t>
  </si>
  <si>
    <t>PR-0229</t>
  </si>
  <si>
    <t>PR-0230</t>
  </si>
  <si>
    <t>PR-0231</t>
  </si>
  <si>
    <t>PR-0232</t>
  </si>
  <si>
    <t>PR-0233</t>
  </si>
  <si>
    <t>PR-0234</t>
  </si>
  <si>
    <t>PR-0235</t>
  </si>
  <si>
    <t>PR-0236</t>
  </si>
  <si>
    <t>PR-0237</t>
  </si>
  <si>
    <t>PR-0238</t>
  </si>
  <si>
    <t>PR-0239</t>
  </si>
  <si>
    <t>PR-0240</t>
  </si>
  <si>
    <t>PR-0241</t>
  </si>
  <si>
    <t>PR-0242</t>
  </si>
  <si>
    <t>PR-0243</t>
  </si>
  <si>
    <t>PR-0244</t>
  </si>
  <si>
    <t>PR-0245</t>
  </si>
  <si>
    <t>PR-0246</t>
  </si>
  <si>
    <t>PR-0247</t>
  </si>
  <si>
    <t>PR-0248</t>
  </si>
  <si>
    <t>PR-0249</t>
  </si>
  <si>
    <t>PR-0250</t>
  </si>
  <si>
    <t>PR-0251</t>
  </si>
  <si>
    <t>PR-0252</t>
  </si>
  <si>
    <t>PR-0253</t>
  </si>
  <si>
    <t>PR-0254</t>
  </si>
  <si>
    <t>PR-0255</t>
  </si>
  <si>
    <t>PR-0256</t>
  </si>
  <si>
    <t>PR-0257</t>
  </si>
  <si>
    <t>PR-0258</t>
  </si>
  <si>
    <t>PR-0259</t>
  </si>
  <si>
    <t>PR-0260</t>
  </si>
  <si>
    <t>PR-0261</t>
  </si>
  <si>
    <t>PR-0262</t>
  </si>
  <si>
    <t>PR-0263</t>
  </si>
  <si>
    <t>PR-0264</t>
  </si>
  <si>
    <t>PR-0265</t>
  </si>
  <si>
    <t>PR-0266</t>
  </si>
  <si>
    <t>PR-0267</t>
  </si>
  <si>
    <t>PR-0268</t>
  </si>
  <si>
    <t>PR-0269</t>
  </si>
  <si>
    <t>PR-0270</t>
  </si>
  <si>
    <t>PR-0271</t>
  </si>
  <si>
    <t>PR-0272</t>
  </si>
  <si>
    <t>PR-0273</t>
  </si>
  <si>
    <t>PR-0274</t>
  </si>
  <si>
    <t>PR-0275</t>
  </si>
  <si>
    <t>PR-0276</t>
  </si>
  <si>
    <t>PR-0277</t>
  </si>
  <si>
    <t>PR-0278</t>
  </si>
  <si>
    <t>PR-0279</t>
  </si>
  <si>
    <t>PR-0280</t>
  </si>
  <si>
    <t>PR-0281</t>
  </si>
  <si>
    <t>PR-0282</t>
  </si>
  <si>
    <t>PR-0283</t>
  </si>
  <si>
    <t>PR-0284</t>
  </si>
  <si>
    <t>PR-0285</t>
  </si>
  <si>
    <t>PR-0286</t>
  </si>
  <si>
    <t>PR-0287</t>
  </si>
  <si>
    <t>PR-0288</t>
  </si>
  <si>
    <t>PR-0289</t>
  </si>
  <si>
    <t>PR-0290</t>
  </si>
  <si>
    <t>PR-0291</t>
  </si>
  <si>
    <t>PR-0292</t>
  </si>
  <si>
    <t>PR-0293</t>
  </si>
  <si>
    <t>PR-0294</t>
  </si>
  <si>
    <t>PR-0295</t>
  </si>
  <si>
    <t>PR-0296</t>
  </si>
  <si>
    <t>PR-0297</t>
  </si>
  <si>
    <t>PR-0298</t>
  </si>
  <si>
    <t>PR-0299</t>
  </si>
  <si>
    <t>PR-0300</t>
  </si>
  <si>
    <t>PR-0301</t>
  </si>
  <si>
    <t>PR-0302</t>
  </si>
  <si>
    <t>PR-0303</t>
  </si>
  <si>
    <t>PR-0304</t>
  </si>
  <si>
    <t>PR-0305</t>
  </si>
  <si>
    <t>PR-0306</t>
  </si>
  <si>
    <t>PR-0307</t>
  </si>
  <si>
    <t>PR-0308</t>
  </si>
  <si>
    <t>PR-0309</t>
  </si>
  <si>
    <t>PR-0310</t>
  </si>
  <si>
    <t>PR-0311</t>
  </si>
  <si>
    <t>PR-0312</t>
  </si>
  <si>
    <t>PR-0313</t>
  </si>
  <si>
    <t>PR-0314</t>
  </si>
  <si>
    <t>PR-0315</t>
  </si>
  <si>
    <t>PR-0316</t>
  </si>
  <si>
    <t>PR-0317</t>
  </si>
  <si>
    <t>PR-0318</t>
  </si>
  <si>
    <t>PR-0319</t>
  </si>
  <si>
    <t>PR-0320</t>
  </si>
  <si>
    <t>PR-0321</t>
  </si>
  <si>
    <t>PR-0322</t>
  </si>
  <si>
    <t>PR-0323</t>
  </si>
  <si>
    <t>PR-0324</t>
  </si>
  <si>
    <t>PR-0325</t>
  </si>
  <si>
    <t>PR-0326</t>
  </si>
  <si>
    <t>PR-0327</t>
  </si>
  <si>
    <t>PR-0328</t>
  </si>
  <si>
    <t>PR-0329</t>
  </si>
  <si>
    <t>PR-0330</t>
  </si>
  <si>
    <t>PR-0331</t>
  </si>
  <si>
    <t>PR-0332</t>
  </si>
  <si>
    <t>PR-0333</t>
  </si>
  <si>
    <t>PR-0334</t>
  </si>
  <si>
    <t>PR-0335</t>
  </si>
  <si>
    <t>PR-0336</t>
  </si>
  <si>
    <t>PR-0337</t>
  </si>
  <si>
    <t>PR-0338</t>
  </si>
  <si>
    <t>PR-0339</t>
  </si>
  <si>
    <t>PR-0340</t>
  </si>
  <si>
    <t>PR-0341</t>
  </si>
  <si>
    <t>PR-0342</t>
  </si>
  <si>
    <t>PR-0343</t>
  </si>
  <si>
    <t>PR-0344</t>
  </si>
  <si>
    <t>PR-0345</t>
  </si>
  <si>
    <t>PR-0346</t>
  </si>
  <si>
    <t>PR-0347</t>
  </si>
  <si>
    <t>PR-0348</t>
  </si>
  <si>
    <t>PR-0349</t>
  </si>
  <si>
    <t>PR-0350</t>
  </si>
  <si>
    <t>PR-0351</t>
  </si>
  <si>
    <t>PR-0352</t>
  </si>
  <si>
    <t>PR-0353</t>
  </si>
  <si>
    <t>PR-0354</t>
  </si>
  <si>
    <t>PR-0355</t>
  </si>
  <si>
    <t>PR-0356</t>
  </si>
  <si>
    <t>PR-0357</t>
  </si>
  <si>
    <t>PR-0358</t>
  </si>
  <si>
    <t>PR-0359</t>
  </si>
  <si>
    <t>PR-0360</t>
  </si>
  <si>
    <t>PR-0361</t>
  </si>
  <si>
    <t>PR-0362</t>
  </si>
  <si>
    <t>PR-0363</t>
  </si>
  <si>
    <t>PR-0364</t>
  </si>
  <si>
    <t>PR-0365</t>
  </si>
  <si>
    <t>PR-0366</t>
  </si>
  <si>
    <t>PR-0367</t>
  </si>
  <si>
    <t>PR-0368</t>
  </si>
  <si>
    <t>PR-0369</t>
  </si>
  <si>
    <t>PR-0370</t>
  </si>
  <si>
    <t>PR-0371</t>
  </si>
  <si>
    <t>PR-0372</t>
  </si>
  <si>
    <t>PR-0373</t>
  </si>
  <si>
    <t>PR-0374</t>
  </si>
  <si>
    <t>PR-0375</t>
  </si>
  <si>
    <t>PR-0376</t>
  </si>
  <si>
    <t>PR-0377</t>
  </si>
  <si>
    <t>PR-0378</t>
  </si>
  <si>
    <t>PR-0379</t>
  </si>
  <si>
    <t>PR-0380</t>
  </si>
  <si>
    <t>PR-0381</t>
  </si>
  <si>
    <t>PR-0382</t>
  </si>
  <si>
    <t>PR-0383</t>
  </si>
  <si>
    <t>PR-0384</t>
  </si>
  <si>
    <t>PR-0385</t>
  </si>
  <si>
    <t>PR-0386</t>
  </si>
  <si>
    <t>PR-0387</t>
  </si>
  <si>
    <t>PR-0388</t>
  </si>
  <si>
    <t>PR-0389</t>
  </si>
  <si>
    <t>PR-0390</t>
  </si>
  <si>
    <t>PR-0391</t>
  </si>
  <si>
    <t>PR-0392</t>
  </si>
  <si>
    <t>PR-0393</t>
  </si>
  <si>
    <t>PR-0394</t>
  </si>
  <si>
    <t>PR-0395</t>
  </si>
  <si>
    <t>PR-0396</t>
  </si>
  <si>
    <t>PR-0397</t>
  </si>
  <si>
    <t>PR-0398</t>
  </si>
  <si>
    <t>PR-0399</t>
  </si>
  <si>
    <t>PR-0400</t>
  </si>
  <si>
    <t>PR-0401</t>
  </si>
  <si>
    <t>PR-0402</t>
  </si>
  <si>
    <t>PR-0403</t>
  </si>
  <si>
    <t>PR-0404</t>
  </si>
  <si>
    <t>PR-0405</t>
  </si>
  <si>
    <t>PR-0406</t>
  </si>
  <si>
    <t>PR-0407</t>
  </si>
  <si>
    <t>PR-0408</t>
  </si>
  <si>
    <t>PR-0409</t>
  </si>
  <si>
    <t>PR-0410</t>
  </si>
  <si>
    <t>PR-0411</t>
  </si>
  <si>
    <t>PR-0412</t>
  </si>
  <si>
    <t>PR-0413</t>
  </si>
  <si>
    <t>PR-0414</t>
  </si>
  <si>
    <t>PR-0415</t>
  </si>
  <si>
    <t>PR-0416</t>
  </si>
  <si>
    <t>PR-0417</t>
  </si>
  <si>
    <t>PR-0418</t>
  </si>
  <si>
    <t>PR-0419</t>
  </si>
  <si>
    <t>PR-0420</t>
  </si>
  <si>
    <t>PR-0421</t>
  </si>
  <si>
    <t>PR-0422</t>
  </si>
  <si>
    <t>PR-0423</t>
  </si>
  <si>
    <t>PR-0424</t>
  </si>
  <si>
    <t>PR-0425</t>
  </si>
  <si>
    <t>PR-0426</t>
  </si>
  <si>
    <t>PR-0427</t>
  </si>
  <si>
    <t>PR-0428</t>
  </si>
  <si>
    <t>PR-0429</t>
  </si>
  <si>
    <t>PR-0430</t>
  </si>
  <si>
    <t>PR-0431</t>
  </si>
  <si>
    <t>PR-0432</t>
  </si>
  <si>
    <t>PR-0433</t>
  </si>
  <si>
    <t>PR-0434</t>
  </si>
  <si>
    <t>PR-0435</t>
  </si>
  <si>
    <t>PR-0436</t>
  </si>
  <si>
    <t>PR-0437</t>
  </si>
  <si>
    <t>PR-0438</t>
  </si>
  <si>
    <t>PR-0439</t>
  </si>
  <si>
    <t>PR-0440</t>
  </si>
  <si>
    <t>PR-0441</t>
  </si>
  <si>
    <t>PR-0442</t>
  </si>
  <si>
    <t>PR-0443</t>
  </si>
  <si>
    <t>PR-0444</t>
  </si>
  <si>
    <t>PR-0445</t>
  </si>
  <si>
    <t>PR-0446</t>
  </si>
  <si>
    <t>PR-0447</t>
  </si>
  <si>
    <t>PR-0448</t>
  </si>
  <si>
    <t>PR-0449</t>
  </si>
  <si>
    <t>PR-0450</t>
  </si>
  <si>
    <t>PR-0451</t>
  </si>
  <si>
    <t>PR-0452</t>
  </si>
  <si>
    <t>PR-0453</t>
  </si>
  <si>
    <t>PR-0454</t>
  </si>
  <si>
    <t>PR-0455</t>
  </si>
  <si>
    <t>PR-0456</t>
  </si>
  <si>
    <t>PR-0457</t>
  </si>
  <si>
    <t>PR-0458</t>
  </si>
  <si>
    <t>PR-0459</t>
  </si>
  <si>
    <t>PR-0460</t>
  </si>
  <si>
    <t>PR-0461</t>
  </si>
  <si>
    <t>PR-0462</t>
  </si>
  <si>
    <t>PR-0463</t>
  </si>
  <si>
    <t>PR-0464</t>
  </si>
  <si>
    <t>PR-0465</t>
  </si>
  <si>
    <t>PR-0466</t>
  </si>
  <si>
    <t>PR-0467</t>
  </si>
  <si>
    <t>PR-0468</t>
  </si>
  <si>
    <t>PR-0469</t>
  </si>
  <si>
    <t>PR-0470</t>
  </si>
  <si>
    <t>PR-0471</t>
  </si>
  <si>
    <t>PR-0472</t>
  </si>
  <si>
    <t>PR-0473</t>
  </si>
  <si>
    <t>PR-0474</t>
  </si>
  <si>
    <t>PR-0475</t>
  </si>
  <si>
    <t>PR-0476</t>
  </si>
  <si>
    <t>PR-0477</t>
  </si>
  <si>
    <t>PR-0478</t>
  </si>
  <si>
    <t>PR-0479</t>
  </si>
  <si>
    <t>PR-0480</t>
  </si>
  <si>
    <t>PR-0481</t>
  </si>
  <si>
    <t>PR-0482</t>
  </si>
  <si>
    <t>PR-0483</t>
  </si>
  <si>
    <t>PR-0484</t>
  </si>
  <si>
    <t>PR-0485</t>
  </si>
  <si>
    <t>PR-0486</t>
  </si>
  <si>
    <t>PR-0487</t>
  </si>
  <si>
    <t>PR-0488</t>
  </si>
  <si>
    <t>PR-0489</t>
  </si>
  <si>
    <t>PR-0490</t>
  </si>
  <si>
    <t>PR-0491</t>
  </si>
  <si>
    <t>PR-0492</t>
  </si>
  <si>
    <t>PR-0493</t>
  </si>
  <si>
    <t>PR-0494</t>
  </si>
  <si>
    <t>PR-0495</t>
  </si>
  <si>
    <t>PR-0496</t>
  </si>
  <si>
    <t>PR-0497</t>
  </si>
  <si>
    <t>PR-0498</t>
  </si>
  <si>
    <t>PR-0499</t>
  </si>
  <si>
    <t>PR-0500</t>
  </si>
  <si>
    <t>PR-0501</t>
  </si>
  <si>
    <t>PR-0502</t>
  </si>
  <si>
    <t>PR-0503</t>
  </si>
  <si>
    <t>PR-0504</t>
  </si>
  <si>
    <t>PR-0505</t>
  </si>
  <si>
    <t>PR-0506</t>
  </si>
  <si>
    <t>PR-0507</t>
  </si>
  <si>
    <t>PR-0508</t>
  </si>
  <si>
    <t>PR-0509</t>
  </si>
  <si>
    <t>PR-0510</t>
  </si>
  <si>
    <t>PR-0511</t>
  </si>
  <si>
    <t>PR-0512</t>
  </si>
  <si>
    <t>PR-0513</t>
  </si>
  <si>
    <t>PR-0514</t>
  </si>
  <si>
    <t>PR-0515</t>
  </si>
  <si>
    <t>PR-0516</t>
  </si>
  <si>
    <t>PR-0517</t>
  </si>
  <si>
    <t>PR-0518</t>
  </si>
  <si>
    <t>PR-0519</t>
  </si>
  <si>
    <t>PR-0520</t>
  </si>
  <si>
    <t>PR-0521</t>
  </si>
  <si>
    <t>PR-0522</t>
  </si>
  <si>
    <t>PR-0523</t>
  </si>
  <si>
    <t>PR-0524</t>
  </si>
  <si>
    <t>PR-0525</t>
  </si>
  <si>
    <t>PR-0526</t>
  </si>
  <si>
    <t>PR-0527</t>
  </si>
  <si>
    <t>PR-0528</t>
  </si>
  <si>
    <t>PR-0529</t>
  </si>
  <si>
    <t>PR-0530</t>
  </si>
  <si>
    <t>PR-0531</t>
  </si>
  <si>
    <t>PR-0532</t>
  </si>
  <si>
    <t>PR-0533</t>
  </si>
  <si>
    <t>PR-0534</t>
  </si>
  <si>
    <t>PR-0535</t>
  </si>
  <si>
    <t>PR-0536</t>
  </si>
  <si>
    <t>PR-0537</t>
  </si>
  <si>
    <t>PR-0538</t>
  </si>
  <si>
    <t>PR-0539</t>
  </si>
  <si>
    <t>PR-0540</t>
  </si>
  <si>
    <t>PR-0541</t>
  </si>
  <si>
    <t>PR-0542</t>
  </si>
  <si>
    <t>PR-0543</t>
  </si>
  <si>
    <t>PR-0544</t>
  </si>
  <si>
    <t>PR-0545</t>
  </si>
  <si>
    <t>PR-0546</t>
  </si>
  <si>
    <t>PR-0547</t>
  </si>
  <si>
    <t>PR-0548</t>
  </si>
  <si>
    <t>PR-0549</t>
  </si>
  <si>
    <t>PR-0550</t>
  </si>
  <si>
    <t>PR-0551</t>
  </si>
  <si>
    <t>PR-0552</t>
  </si>
  <si>
    <t>PR-0553</t>
  </si>
  <si>
    <t>PR-0554</t>
  </si>
  <si>
    <t>PR-0555</t>
  </si>
  <si>
    <t>PR-0556</t>
  </si>
  <si>
    <t>PR-0557</t>
  </si>
  <si>
    <t>PR-0558</t>
  </si>
  <si>
    <t>PR-0559</t>
  </si>
  <si>
    <t>PR-0560</t>
  </si>
  <si>
    <t>PR-0561</t>
  </si>
  <si>
    <t>PR-0562</t>
  </si>
  <si>
    <t>PR-0563</t>
  </si>
  <si>
    <t>PR-0564</t>
  </si>
  <si>
    <t>PR-0565</t>
  </si>
  <si>
    <t>PR-0566</t>
  </si>
  <si>
    <t>PR-0567</t>
  </si>
  <si>
    <t>PR-0568</t>
  </si>
  <si>
    <t>PR-0569</t>
  </si>
  <si>
    <t>PR-0570</t>
  </si>
  <si>
    <t>PR-0571</t>
  </si>
  <si>
    <t>PR-0572</t>
  </si>
  <si>
    <t>PR-0573</t>
  </si>
  <si>
    <t>PR-0574</t>
  </si>
  <si>
    <t>PR-0575</t>
  </si>
  <si>
    <t>PR-0576</t>
  </si>
  <si>
    <t>PR-0577</t>
  </si>
  <si>
    <t>PR-0578</t>
  </si>
  <si>
    <t>PR-0579</t>
  </si>
  <si>
    <t>PR-0580</t>
  </si>
  <si>
    <t>PR-0581</t>
  </si>
  <si>
    <t>PR-0582</t>
  </si>
  <si>
    <t>PR-0583</t>
  </si>
  <si>
    <t>PR-0584</t>
  </si>
  <si>
    <t>PR-0585</t>
  </si>
  <si>
    <t>PR-0586</t>
  </si>
  <si>
    <t>PR-0587</t>
  </si>
  <si>
    <t>PR-0588</t>
  </si>
  <si>
    <t>PR-0589</t>
  </si>
  <si>
    <t>PR-0590</t>
  </si>
  <si>
    <t>PR-0591</t>
  </si>
  <si>
    <t>PR-0592</t>
  </si>
  <si>
    <t>PR-0593</t>
  </si>
  <si>
    <t>PR-0594</t>
  </si>
  <si>
    <t>PR-0595</t>
  </si>
  <si>
    <t>PR-0596</t>
  </si>
  <si>
    <t>PR-0597</t>
  </si>
  <si>
    <t>PR-0598</t>
  </si>
  <si>
    <t>PR-0599</t>
  </si>
  <si>
    <t>PR-0600</t>
  </si>
  <si>
    <t>PR-0601</t>
  </si>
  <si>
    <t>PR-0602</t>
  </si>
  <si>
    <t>PR-0603</t>
  </si>
  <si>
    <t>PR-0604</t>
  </si>
  <si>
    <t>PR-0605</t>
  </si>
  <si>
    <t>PR-0606</t>
  </si>
  <si>
    <t>PR-0607</t>
  </si>
  <si>
    <t>PR-0608</t>
  </si>
  <si>
    <t>PR-0609</t>
  </si>
  <si>
    <t>PR-0610</t>
  </si>
  <si>
    <t>PR-0611</t>
  </si>
  <si>
    <t>PR-0612</t>
  </si>
  <si>
    <t>PR-0613</t>
  </si>
  <si>
    <t>PR-0614</t>
  </si>
  <si>
    <t>PR-0615</t>
  </si>
  <si>
    <t>PR-0616</t>
  </si>
  <si>
    <t>PR-0617</t>
  </si>
  <si>
    <t>PR-0618</t>
  </si>
  <si>
    <t>PR-0619</t>
  </si>
  <si>
    <t>PR-0620</t>
  </si>
  <si>
    <t>PR-0621</t>
  </si>
  <si>
    <t>PR-0622</t>
  </si>
  <si>
    <t>PR-0623</t>
  </si>
  <si>
    <t>PR-0624</t>
  </si>
  <si>
    <t>PR-0625</t>
  </si>
  <si>
    <t>PR-0626</t>
  </si>
  <si>
    <t>PR-0627</t>
  </si>
  <si>
    <t>PR-0628</t>
  </si>
  <si>
    <t>PR-0629</t>
  </si>
  <si>
    <t>PR-0630</t>
  </si>
  <si>
    <t>PR-0631</t>
  </si>
  <si>
    <t>PR-0632</t>
  </si>
  <si>
    <t>PR-0633</t>
  </si>
  <si>
    <t>PR-0634</t>
  </si>
  <si>
    <t>PR-0635</t>
  </si>
  <si>
    <t>PR-0636</t>
  </si>
  <si>
    <t>PR-0637</t>
  </si>
  <si>
    <t>PR-0638</t>
  </si>
  <si>
    <t>PR-0639</t>
  </si>
  <si>
    <t>PR-0640</t>
  </si>
  <si>
    <t>PR-0641</t>
  </si>
  <si>
    <t>PR-0642</t>
  </si>
  <si>
    <t>PR-0643</t>
  </si>
  <si>
    <t>PR-0644</t>
  </si>
  <si>
    <t>PR-0645</t>
  </si>
  <si>
    <t>PR-0646</t>
  </si>
  <si>
    <t>PR-0647</t>
  </si>
  <si>
    <t>PR-0648</t>
  </si>
  <si>
    <t>PR-0649</t>
  </si>
  <si>
    <t>PR-0650</t>
  </si>
  <si>
    <t>PR-0651</t>
  </si>
  <si>
    <t>PR-0652</t>
  </si>
  <si>
    <t>PR-0653</t>
  </si>
  <si>
    <t>PR-0654</t>
  </si>
  <si>
    <t>PR-0655</t>
  </si>
  <si>
    <t>PR-0656</t>
  </si>
  <si>
    <t>PR-0657</t>
  </si>
  <si>
    <t>PR-0658</t>
  </si>
  <si>
    <t>PR-0659</t>
  </si>
  <si>
    <t>PR-0660</t>
  </si>
  <si>
    <t>PR-0661</t>
  </si>
  <si>
    <t>PR-0662</t>
  </si>
  <si>
    <t>PR-0663</t>
  </si>
  <si>
    <t>PR-0664</t>
  </si>
  <si>
    <t>PR-0665</t>
  </si>
  <si>
    <t>PR-0666</t>
  </si>
  <si>
    <t>PR-0667</t>
  </si>
  <si>
    <t>PR-0668</t>
  </si>
  <si>
    <t>PR-0669</t>
  </si>
  <si>
    <t>PR-0670</t>
  </si>
  <si>
    <t>PR-0671</t>
  </si>
  <si>
    <t>PR-0672</t>
  </si>
  <si>
    <t>PR-0673</t>
  </si>
  <si>
    <t>PR-0674</t>
  </si>
  <si>
    <t>PR-0675</t>
  </si>
  <si>
    <t>PR-0676</t>
  </si>
  <si>
    <t>PR-0677</t>
  </si>
  <si>
    <t>PR-0678</t>
  </si>
  <si>
    <t>PR-0679</t>
  </si>
  <si>
    <t>PR-0680</t>
  </si>
  <si>
    <t>PR-0681</t>
  </si>
  <si>
    <t>PR-0682</t>
  </si>
  <si>
    <t>PR-0683</t>
  </si>
  <si>
    <t>PR-0684</t>
  </si>
  <si>
    <t>PR-0685</t>
  </si>
  <si>
    <t>PR-0686</t>
  </si>
  <si>
    <t>PR-0687</t>
  </si>
  <si>
    <t>PR-0688</t>
  </si>
  <si>
    <t>PR-0689</t>
  </si>
  <si>
    <t>PR-0690</t>
  </si>
  <si>
    <t>PR-0691</t>
  </si>
  <si>
    <t>PR-0692</t>
  </si>
  <si>
    <t>PR-0693</t>
  </si>
  <si>
    <t>PR-0694</t>
  </si>
  <si>
    <t>PR-0695</t>
  </si>
  <si>
    <t>PR-0696</t>
  </si>
  <si>
    <t>PR-0697</t>
  </si>
  <si>
    <t>PR-0698</t>
  </si>
  <si>
    <t>PR-0699</t>
  </si>
  <si>
    <t>PR-0700</t>
  </si>
  <si>
    <t>PR-0701</t>
  </si>
  <si>
    <t>PR-0702</t>
  </si>
  <si>
    <t>PR-0703</t>
  </si>
  <si>
    <t>PR-0704</t>
  </si>
  <si>
    <t>PR-0705</t>
  </si>
  <si>
    <t>PR-0706</t>
  </si>
  <si>
    <t>PR-0707</t>
  </si>
  <si>
    <t>PR-0708</t>
  </si>
  <si>
    <t>PR-0709</t>
  </si>
  <si>
    <t>PR-0710</t>
  </si>
  <si>
    <t>PR-0711</t>
  </si>
  <si>
    <t>PR-0712</t>
  </si>
  <si>
    <t>PR-0713</t>
  </si>
  <si>
    <t>PR-0714</t>
  </si>
  <si>
    <t>PR-0715</t>
  </si>
  <si>
    <t>PR-0716</t>
  </si>
  <si>
    <t>PR-0717</t>
  </si>
  <si>
    <t>PR-0718</t>
  </si>
  <si>
    <t>PR-0719</t>
  </si>
  <si>
    <t>PR-0720</t>
  </si>
  <si>
    <t>PR-0721</t>
  </si>
  <si>
    <t>PR-0722</t>
  </si>
  <si>
    <t>PR-0723</t>
  </si>
  <si>
    <t>PR-0724</t>
  </si>
  <si>
    <t>PR-0725</t>
  </si>
  <si>
    <t>PR-0726</t>
  </si>
  <si>
    <t>PR-0727</t>
  </si>
  <si>
    <t>PR-0728</t>
  </si>
  <si>
    <t>PR-0729</t>
  </si>
  <si>
    <t>PR-0730</t>
  </si>
  <si>
    <t>PR-0731</t>
  </si>
  <si>
    <t>PR-0732</t>
  </si>
  <si>
    <t>PR-0733</t>
  </si>
  <si>
    <t>PR-0734</t>
  </si>
  <si>
    <t>PR-0735</t>
  </si>
  <si>
    <t>PR-0736</t>
  </si>
  <si>
    <t>PR-0737</t>
  </si>
  <si>
    <t>PR-0738</t>
  </si>
  <si>
    <t>PR-0739</t>
  </si>
  <si>
    <t>PR-0740</t>
  </si>
  <si>
    <t>PR-0741</t>
  </si>
  <si>
    <t>PR-0742</t>
  </si>
  <si>
    <t>PR-0743</t>
  </si>
  <si>
    <t>PR-0744</t>
  </si>
  <si>
    <t>PR-0745</t>
  </si>
  <si>
    <t>PR-0746</t>
  </si>
  <si>
    <t>PR-0747</t>
  </si>
  <si>
    <t>PR-0748</t>
  </si>
  <si>
    <t>PR-0749</t>
  </si>
  <si>
    <t>PR-0750</t>
  </si>
  <si>
    <t>PR-0751</t>
  </si>
  <si>
    <t>PR-0752</t>
  </si>
  <si>
    <t>PR-0753</t>
  </si>
  <si>
    <t>PR-0754</t>
  </si>
  <si>
    <t>PR-0755</t>
  </si>
  <si>
    <t>PR-0756</t>
  </si>
  <si>
    <t>PR-0757</t>
  </si>
  <si>
    <t>PR-0758</t>
  </si>
  <si>
    <t>PR-0759</t>
  </si>
  <si>
    <t>PR-0760</t>
  </si>
  <si>
    <t>PR-0761</t>
  </si>
  <si>
    <t>PR-0762</t>
  </si>
  <si>
    <t>PR-0763</t>
  </si>
  <si>
    <t>PR-0764</t>
  </si>
  <si>
    <t>PR-0765</t>
  </si>
  <si>
    <t>PR-0766</t>
  </si>
  <si>
    <t>PR-0767</t>
  </si>
  <si>
    <t>PR-0768</t>
  </si>
  <si>
    <t>PR-0769</t>
  </si>
  <si>
    <t>PR-0770</t>
  </si>
  <si>
    <t>PR-0771</t>
  </si>
  <si>
    <t>PR-0772</t>
  </si>
  <si>
    <t>PR-0773</t>
  </si>
  <si>
    <t>PR-0774</t>
  </si>
  <si>
    <t>PR-0775</t>
  </si>
  <si>
    <t>PR-0776</t>
  </si>
  <si>
    <t>PR-0777</t>
  </si>
  <si>
    <t>PR-0778</t>
  </si>
  <si>
    <t>PR-0779</t>
  </si>
  <si>
    <t>PR-0780</t>
  </si>
  <si>
    <t>PR-0781</t>
  </si>
  <si>
    <t>PR-0782</t>
  </si>
  <si>
    <t>PR-0783</t>
  </si>
  <si>
    <t>PR-0784</t>
  </si>
  <si>
    <t>PR-0785</t>
  </si>
  <si>
    <t>PR-0786</t>
  </si>
  <si>
    <t>PR-0787</t>
  </si>
  <si>
    <t>PR-0788</t>
  </si>
  <si>
    <t>PR-0789</t>
  </si>
  <si>
    <t>PR-0790</t>
  </si>
  <si>
    <t>PR-0791</t>
  </si>
  <si>
    <t>PR-0792</t>
  </si>
  <si>
    <t>PR-0793</t>
  </si>
  <si>
    <t>PR-0794</t>
  </si>
  <si>
    <t>PR-0795</t>
  </si>
  <si>
    <t>PR-0796</t>
  </si>
  <si>
    <t>PR-0797</t>
  </si>
  <si>
    <t>PR-0798</t>
  </si>
  <si>
    <t>PR-0799</t>
  </si>
  <si>
    <t>PR-0800</t>
  </si>
  <si>
    <t>PR-0801</t>
  </si>
  <si>
    <t>PR-0802</t>
  </si>
  <si>
    <t>PR-0803</t>
  </si>
  <si>
    <t>PR-0804</t>
  </si>
  <si>
    <t>PR-0805</t>
  </si>
  <si>
    <t>PR-0806</t>
  </si>
  <si>
    <t>PR-0807</t>
  </si>
  <si>
    <t>PR-0808</t>
  </si>
  <si>
    <t>PR-0809</t>
  </si>
  <si>
    <t>PR-0810</t>
  </si>
  <si>
    <t>PR-0811</t>
  </si>
  <si>
    <t>PR-0812</t>
  </si>
  <si>
    <t>PR-0813</t>
  </si>
  <si>
    <t>PR-0814</t>
  </si>
  <si>
    <t>PR-0815</t>
  </si>
  <si>
    <t>PR-0816</t>
  </si>
  <si>
    <t>PR-0817</t>
  </si>
  <si>
    <t>PR-0818</t>
  </si>
  <si>
    <t>PR-0819</t>
  </si>
  <si>
    <t>PR-0820</t>
  </si>
  <si>
    <t>PR-0821</t>
  </si>
  <si>
    <t>PR-0822</t>
  </si>
  <si>
    <t>PR-0823</t>
  </si>
  <si>
    <t>PR-0824</t>
  </si>
  <si>
    <t>PR-0825</t>
  </si>
  <si>
    <t>PR-0826</t>
  </si>
  <si>
    <t>PR-0827</t>
  </si>
  <si>
    <t>PR-0828</t>
  </si>
  <si>
    <t>PR-0829</t>
  </si>
  <si>
    <t>PR-0830</t>
  </si>
  <si>
    <t>PR-0831</t>
  </si>
  <si>
    <t>PR-0832</t>
  </si>
  <si>
    <t>PR-0833</t>
  </si>
  <si>
    <t>PR-0834</t>
  </si>
  <si>
    <t>PR-0835</t>
  </si>
  <si>
    <t>PR-0836</t>
  </si>
  <si>
    <t>PR-0837</t>
  </si>
  <si>
    <t>PR-0838</t>
  </si>
  <si>
    <t>PR-0839</t>
  </si>
  <si>
    <t>PR-0840</t>
  </si>
  <si>
    <t>PR-0841</t>
  </si>
  <si>
    <t>PR-0842</t>
  </si>
  <si>
    <t>PR-0843</t>
  </si>
  <si>
    <t>PR-0844</t>
  </si>
  <si>
    <t>PR-0845</t>
  </si>
  <si>
    <t>PR-0846</t>
  </si>
  <si>
    <t>PR-0847</t>
  </si>
  <si>
    <t>PR-0848</t>
  </si>
  <si>
    <t>PR-0849</t>
  </si>
  <si>
    <t>PR-0850</t>
  </si>
  <si>
    <t>PR-0851</t>
  </si>
  <si>
    <t>PR-0852</t>
  </si>
  <si>
    <t>PR-0853</t>
  </si>
  <si>
    <t>PR-0854</t>
  </si>
  <si>
    <t>PR-0855</t>
  </si>
  <si>
    <t>PR-0856</t>
  </si>
  <si>
    <t>PR-0857</t>
  </si>
  <si>
    <t>PR-0858</t>
  </si>
  <si>
    <t>PR-0859</t>
  </si>
  <si>
    <t>PR-0860</t>
  </si>
  <si>
    <t>PR-0861</t>
  </si>
  <si>
    <t>PR-0862</t>
  </si>
  <si>
    <t>PR-0863</t>
  </si>
  <si>
    <t>PR-0864</t>
  </si>
  <si>
    <t>PR-0865</t>
  </si>
  <si>
    <t>PR-0866</t>
  </si>
  <si>
    <t>PR-0867</t>
  </si>
  <si>
    <t>PR-0868</t>
  </si>
  <si>
    <t>PR-0869</t>
  </si>
  <si>
    <t>PR-0870</t>
  </si>
  <si>
    <t>PR-0871</t>
  </si>
  <si>
    <t>PR-0872</t>
  </si>
  <si>
    <t>PR-0873</t>
  </si>
  <si>
    <t>PR-0874</t>
  </si>
  <si>
    <t>PR-0875</t>
  </si>
  <si>
    <t>PR-0876</t>
  </si>
  <si>
    <t>PR-0877</t>
  </si>
  <si>
    <t>PR-0878</t>
  </si>
  <si>
    <t>PR-0879</t>
  </si>
  <si>
    <t>PR-0880</t>
  </si>
  <si>
    <t>PR-0881</t>
  </si>
  <si>
    <t>PR-0882</t>
  </si>
  <si>
    <t>PR-0883</t>
  </si>
  <si>
    <t>PR-0884</t>
  </si>
  <si>
    <t>PR-0885</t>
  </si>
  <si>
    <t>PR-0886</t>
  </si>
  <si>
    <t>PR-0887</t>
  </si>
  <si>
    <t>PR-0888</t>
  </si>
  <si>
    <t>PR-0889</t>
  </si>
  <si>
    <t>PR-0890</t>
  </si>
  <si>
    <t>PR-0891</t>
  </si>
  <si>
    <t>PR-0892</t>
  </si>
  <si>
    <t>PR-0893</t>
  </si>
  <si>
    <t>PR-0894</t>
  </si>
  <si>
    <t>PR-0895</t>
  </si>
  <si>
    <t>PR-0896</t>
  </si>
  <si>
    <t>PR-0897</t>
  </si>
  <si>
    <t>PR-0898</t>
  </si>
  <si>
    <t>PR-0899</t>
  </si>
  <si>
    <t>PR-0900</t>
  </si>
  <si>
    <t>PR-0901</t>
  </si>
  <si>
    <t>PR-0902</t>
  </si>
  <si>
    <t>PR-0903</t>
  </si>
  <si>
    <t>PR-0904</t>
  </si>
  <si>
    <t>PR-0905</t>
  </si>
  <si>
    <t>PR-0906</t>
  </si>
  <si>
    <t>PR-0907</t>
  </si>
  <si>
    <t>PR-0908</t>
  </si>
  <si>
    <t>PR-0909</t>
  </si>
  <si>
    <t>PR-0910</t>
  </si>
  <si>
    <t>PR-0911</t>
  </si>
  <si>
    <t>PR-0912</t>
  </si>
  <si>
    <t>PR-0913</t>
  </si>
  <si>
    <t>PR-0914</t>
  </si>
  <si>
    <t>PR-0915</t>
  </si>
  <si>
    <t>PR-0916</t>
  </si>
  <si>
    <t>PR-0917</t>
  </si>
  <si>
    <t>PR-0918</t>
  </si>
  <si>
    <t>PR-0919</t>
  </si>
  <si>
    <t>PR-0920</t>
  </si>
  <si>
    <t>PR-0921</t>
  </si>
  <si>
    <t>PR-0922</t>
  </si>
  <si>
    <t>PR-0923</t>
  </si>
  <si>
    <t>PR-0924</t>
  </si>
  <si>
    <t>PR-0925</t>
  </si>
  <si>
    <t>PR-0926</t>
  </si>
  <si>
    <t>PR-0927</t>
  </si>
  <si>
    <t>PR-0928</t>
  </si>
  <si>
    <t>PR-0929</t>
  </si>
  <si>
    <t>PR-0930</t>
  </si>
  <si>
    <t>PR-0931</t>
  </si>
  <si>
    <t>PR-0932</t>
  </si>
  <si>
    <t>PR-0933</t>
  </si>
  <si>
    <t>PR-0934</t>
  </si>
  <si>
    <t>PR-0935</t>
  </si>
  <si>
    <t>PR-0936</t>
  </si>
  <si>
    <t>PR-0937</t>
  </si>
  <si>
    <t>PR-0938</t>
  </si>
  <si>
    <t>PR-0939</t>
  </si>
  <si>
    <t>PR-0940</t>
  </si>
  <si>
    <t>PR-0941</t>
  </si>
  <si>
    <t>PR-0942</t>
  </si>
  <si>
    <t>PR-0943</t>
  </si>
  <si>
    <t>PR-0944</t>
  </si>
  <si>
    <t>PR-0945</t>
  </si>
  <si>
    <t>PR-0946</t>
  </si>
  <si>
    <t>PR-0947</t>
  </si>
  <si>
    <t>PR-0948</t>
  </si>
  <si>
    <t>PR-0949</t>
  </si>
  <si>
    <t>PR-0950</t>
  </si>
  <si>
    <t>PR-0951</t>
  </si>
  <si>
    <t>PR-0952</t>
  </si>
  <si>
    <t>PR-0953</t>
  </si>
  <si>
    <t>PR-0954</t>
  </si>
  <si>
    <t>PR-0955</t>
  </si>
  <si>
    <t>PR-0956</t>
  </si>
  <si>
    <t>PR-0957</t>
  </si>
  <si>
    <t>PR-0958</t>
  </si>
  <si>
    <t>PR-0959</t>
  </si>
  <si>
    <t>PR-0960</t>
  </si>
  <si>
    <t>PR-0961</t>
  </si>
  <si>
    <t>PR-0962</t>
  </si>
  <si>
    <t>PR-0963</t>
  </si>
  <si>
    <t>PR-0964</t>
  </si>
  <si>
    <t>PR-0965</t>
  </si>
  <si>
    <t>PR-0966</t>
  </si>
  <si>
    <t>PR-0967</t>
  </si>
  <si>
    <t>PR-0968</t>
  </si>
  <si>
    <t>PR-0969</t>
  </si>
  <si>
    <t>PR-0970</t>
  </si>
  <si>
    <t>PR-0971</t>
  </si>
  <si>
    <t>PR-0972</t>
  </si>
  <si>
    <t>PR-0973</t>
  </si>
  <si>
    <t>PR-0974</t>
  </si>
  <si>
    <t>PR-0975</t>
  </si>
  <si>
    <t>PR-0976</t>
  </si>
  <si>
    <t>PR-0977</t>
  </si>
  <si>
    <t>PR-0978</t>
  </si>
  <si>
    <t>PR-0979</t>
  </si>
  <si>
    <t>PR-0980</t>
  </si>
  <si>
    <t>PR-0981</t>
  </si>
  <si>
    <t>PR-0982</t>
  </si>
  <si>
    <t>PR-0983</t>
  </si>
  <si>
    <t>PR-0984</t>
  </si>
  <si>
    <t>PR-0985</t>
  </si>
  <si>
    <t>PR-0986</t>
  </si>
  <si>
    <t>PR-0987</t>
  </si>
  <si>
    <t>PR-0988</t>
  </si>
  <si>
    <t>PR-0989</t>
  </si>
  <si>
    <t>PR-0990</t>
  </si>
  <si>
    <t>PR-0991</t>
  </si>
  <si>
    <t>PR-0992</t>
  </si>
  <si>
    <t>PR-0993</t>
  </si>
  <si>
    <t>PR-0994</t>
  </si>
  <si>
    <t>PR-0995</t>
  </si>
  <si>
    <t>PR-0996</t>
  </si>
  <si>
    <t>PR-0997</t>
  </si>
  <si>
    <t>PR-0998</t>
  </si>
  <si>
    <t>PR-0999</t>
  </si>
  <si>
    <t>PR-1000</t>
  </si>
  <si>
    <t>PR-1001</t>
  </si>
  <si>
    <t>PR-1002</t>
  </si>
  <si>
    <t>PR-1003</t>
  </si>
  <si>
    <t>PR-1004</t>
  </si>
  <si>
    <t>PR-1005</t>
  </si>
  <si>
    <t>PR-1006</t>
  </si>
  <si>
    <t>PR-1007</t>
  </si>
  <si>
    <t>PR-1008</t>
  </si>
  <si>
    <t>PR-1009</t>
  </si>
  <si>
    <t>PR-1010</t>
  </si>
  <si>
    <t>PR-1011</t>
  </si>
  <si>
    <t>PR-1012</t>
  </si>
  <si>
    <t>PR-1013</t>
  </si>
  <si>
    <t>PR-1014</t>
  </si>
  <si>
    <t>PR-1015</t>
  </si>
  <si>
    <t>PR-1016</t>
  </si>
  <si>
    <t>PR-1017</t>
  </si>
  <si>
    <t>PR-1018</t>
  </si>
  <si>
    <t>PR-1019</t>
  </si>
  <si>
    <t>PR-1020</t>
  </si>
  <si>
    <t>PR-1021</t>
  </si>
  <si>
    <t>PR-1022</t>
  </si>
  <si>
    <t>PR-1023</t>
  </si>
  <si>
    <t>PR-1024</t>
  </si>
  <si>
    <t>PR-1025</t>
  </si>
  <si>
    <t>PR-1026</t>
  </si>
  <si>
    <t>PR-1027</t>
  </si>
  <si>
    <t>PR-1028</t>
  </si>
  <si>
    <t>PR-1029</t>
  </si>
  <si>
    <t>PR-1030</t>
  </si>
  <si>
    <t>PR-1031</t>
  </si>
  <si>
    <t>PR-1032</t>
  </si>
  <si>
    <t>PR-1033</t>
  </si>
  <si>
    <t>PR-1034</t>
  </si>
  <si>
    <t>PR-1035</t>
  </si>
  <si>
    <t>PR-1036</t>
  </si>
  <si>
    <t>PR-1037</t>
  </si>
  <si>
    <t>PR-1038</t>
  </si>
  <si>
    <t>PR-1039</t>
  </si>
  <si>
    <t>PR-1040</t>
  </si>
  <si>
    <t>PR-1041</t>
  </si>
  <si>
    <t>PR-1042</t>
  </si>
  <si>
    <t>PR-1043</t>
  </si>
  <si>
    <t>PR-1044</t>
  </si>
  <si>
    <t>PR-1045</t>
  </si>
  <si>
    <t>PR-1046</t>
  </si>
  <si>
    <t>PR-1047</t>
  </si>
  <si>
    <t>PR-1048</t>
  </si>
  <si>
    <t>PR-1049</t>
  </si>
  <si>
    <t>PR-1050</t>
  </si>
  <si>
    <t>PR-1051</t>
  </si>
  <si>
    <t>PR-1052</t>
  </si>
  <si>
    <t>PR-1053</t>
  </si>
  <si>
    <t>PR-1054</t>
  </si>
  <si>
    <t>PR-1055</t>
  </si>
  <si>
    <t>PR-1056</t>
  </si>
  <si>
    <t>PR-1057</t>
  </si>
  <si>
    <t>PR-1058</t>
  </si>
  <si>
    <t>PR-1059</t>
  </si>
  <si>
    <t>PR-1060</t>
  </si>
  <si>
    <t>PR-1061</t>
  </si>
  <si>
    <t>PR-1062</t>
  </si>
  <si>
    <t>PR-1063</t>
  </si>
  <si>
    <t>PR-1064</t>
  </si>
  <si>
    <t>PR-1065</t>
  </si>
  <si>
    <t>PR-1066</t>
  </si>
  <si>
    <t>PR-1067</t>
  </si>
  <si>
    <t>PR-1068</t>
  </si>
  <si>
    <t>PR-1069</t>
  </si>
  <si>
    <t>PR-1070</t>
  </si>
  <si>
    <t>PR-1071</t>
  </si>
  <si>
    <t>PR-1072</t>
  </si>
  <si>
    <t>PR-1073</t>
  </si>
  <si>
    <t>PR-1074</t>
  </si>
  <si>
    <t>PR-1075</t>
  </si>
  <si>
    <t>PR-1076</t>
  </si>
  <si>
    <t>PR-1077</t>
  </si>
  <si>
    <t>PR-1078</t>
  </si>
  <si>
    <t>PR-1079</t>
  </si>
  <si>
    <t>PR-1080</t>
  </si>
  <si>
    <t>PR-1081</t>
  </si>
  <si>
    <t>PR-1082</t>
  </si>
  <si>
    <t>PR-1083</t>
  </si>
  <si>
    <t>PR-1084</t>
  </si>
  <si>
    <t>PR-1085</t>
  </si>
  <si>
    <t>PR-1086</t>
  </si>
  <si>
    <t>PR-1087</t>
  </si>
  <si>
    <t>PR-1088</t>
  </si>
  <si>
    <t>PR-1089</t>
  </si>
  <si>
    <t>PR-1090</t>
  </si>
  <si>
    <t>PR-1091</t>
  </si>
  <si>
    <t>PR-1092</t>
  </si>
  <si>
    <t>PR-1093</t>
  </si>
  <si>
    <t>PR-1094</t>
  </si>
  <si>
    <t>PR-1095</t>
  </si>
  <si>
    <t>PR-1096</t>
  </si>
  <si>
    <t>PR-1097</t>
  </si>
  <si>
    <t>PR-1098</t>
  </si>
  <si>
    <t>PR-1099</t>
  </si>
  <si>
    <t>PR-1100</t>
  </si>
  <si>
    <t>PR-1101</t>
  </si>
  <si>
    <t>PR-1102</t>
  </si>
  <si>
    <t>PR-1103</t>
  </si>
  <si>
    <t>PR-1104</t>
  </si>
  <si>
    <t>PR-1105</t>
  </si>
  <si>
    <t>PR-1106</t>
  </si>
  <si>
    <t>PR-1107</t>
  </si>
  <si>
    <t>PR-1108</t>
  </si>
  <si>
    <t>PR-1109</t>
  </si>
  <si>
    <t>PR-1110</t>
  </si>
  <si>
    <t>PR-1111</t>
  </si>
  <si>
    <t>PR-1112</t>
  </si>
  <si>
    <t>PR-1113</t>
  </si>
  <si>
    <t>PR-1114</t>
  </si>
  <si>
    <t>PR-1115</t>
  </si>
  <si>
    <t>PR-1116</t>
  </si>
  <si>
    <t>PR-1117</t>
  </si>
  <si>
    <t>PR-1118</t>
  </si>
  <si>
    <t>PR-1119</t>
  </si>
  <si>
    <t>PR-1120</t>
  </si>
  <si>
    <t>PR-1121</t>
  </si>
  <si>
    <t>PR-1122</t>
  </si>
  <si>
    <t>PR-1123</t>
  </si>
  <si>
    <t>PR-1124</t>
  </si>
  <si>
    <t>PR-1125</t>
  </si>
  <si>
    <t>PR-1126</t>
  </si>
  <si>
    <t>PR-1127</t>
  </si>
  <si>
    <t>PR-1128</t>
  </si>
  <si>
    <t>PR-1129</t>
  </si>
  <si>
    <t>PR-1130</t>
  </si>
  <si>
    <t>PR-1131</t>
  </si>
  <si>
    <t>PR-1132</t>
  </si>
  <si>
    <t>PR-1133</t>
  </si>
  <si>
    <t>PR-1134</t>
  </si>
  <si>
    <t>PR-1135</t>
  </si>
  <si>
    <t>PR-1136</t>
  </si>
  <si>
    <t>PR-1137</t>
  </si>
  <si>
    <t>PR-1138</t>
  </si>
  <si>
    <t>PR-1139</t>
  </si>
  <si>
    <t>PR-1140</t>
  </si>
  <si>
    <t>PR-1141</t>
  </si>
  <si>
    <t>PR-1142</t>
  </si>
  <si>
    <t>PR-1143</t>
  </si>
  <si>
    <t>PR-1144</t>
  </si>
  <si>
    <t>PR-1145</t>
  </si>
  <si>
    <t>PR-1146</t>
  </si>
  <si>
    <t>PR-1147</t>
  </si>
  <si>
    <t>PR-1148</t>
  </si>
  <si>
    <t>PR-1149</t>
  </si>
  <si>
    <t>PR-1150</t>
  </si>
  <si>
    <t>PR-1151</t>
  </si>
  <si>
    <t>PR-1152</t>
  </si>
  <si>
    <t>PR-1153</t>
  </si>
  <si>
    <t>PR-1154</t>
  </si>
  <si>
    <t>PR-1155</t>
  </si>
  <si>
    <t>PR-1156</t>
  </si>
  <si>
    <t>PR-1157</t>
  </si>
  <si>
    <t>PR-1158</t>
  </si>
  <si>
    <t>PR-1159</t>
  </si>
  <si>
    <t>PR-1160</t>
  </si>
  <si>
    <t>PR-1161</t>
  </si>
  <si>
    <t>PR-1162</t>
  </si>
  <si>
    <t>PR-1163</t>
  </si>
  <si>
    <t>PR-1164</t>
  </si>
  <si>
    <t>PR-1165</t>
  </si>
  <si>
    <t>PR-1166</t>
  </si>
  <si>
    <t>PR-1167</t>
  </si>
  <si>
    <t>PR-1168</t>
  </si>
  <si>
    <t>PR-1169</t>
  </si>
  <si>
    <t>PR-1170</t>
  </si>
  <si>
    <t>PR-1171</t>
  </si>
  <si>
    <t>PR-1172</t>
  </si>
  <si>
    <t>PR-1173</t>
  </si>
  <si>
    <t>PR-1174</t>
  </si>
  <si>
    <t>PR-1175</t>
  </si>
  <si>
    <t>PR-1176</t>
  </si>
  <si>
    <t>PR-1177</t>
  </si>
  <si>
    <t>PR-1178</t>
  </si>
  <si>
    <t>PR-1179</t>
  </si>
  <si>
    <t>PR-1180</t>
  </si>
  <si>
    <t>PR-1181</t>
  </si>
  <si>
    <t>PR-1182</t>
  </si>
  <si>
    <t>PR-1183</t>
  </si>
  <si>
    <t>PR-1184</t>
  </si>
  <si>
    <t>PR-1185</t>
  </si>
  <si>
    <t>PR-1186</t>
  </si>
  <si>
    <t>PR-1187</t>
  </si>
  <si>
    <t>PR-1188</t>
  </si>
  <si>
    <t>PR-1189</t>
  </si>
  <si>
    <t>PR-1190</t>
  </si>
  <si>
    <t>PR-1191</t>
  </si>
  <si>
    <t>PR-1192</t>
  </si>
  <si>
    <t>PR-1193</t>
  </si>
  <si>
    <t>PR-1194</t>
  </si>
  <si>
    <t>PR-1195</t>
  </si>
  <si>
    <t>PR-1196</t>
  </si>
  <si>
    <t>PR-1197</t>
  </si>
  <si>
    <t>PR-1198</t>
  </si>
  <si>
    <t>PR-1199</t>
  </si>
  <si>
    <t>PR-1200</t>
  </si>
  <si>
    <t>PR-1201</t>
  </si>
  <si>
    <t>PR-1202</t>
  </si>
  <si>
    <t>PR-1203</t>
  </si>
  <si>
    <t>PR-1204</t>
  </si>
  <si>
    <t>PR-1205</t>
  </si>
  <si>
    <t>PR-1206</t>
  </si>
  <si>
    <t>PR-1207</t>
  </si>
  <si>
    <t>PR-1208</t>
  </si>
  <si>
    <t>PR-1209</t>
  </si>
  <si>
    <t>PR-1210</t>
  </si>
  <si>
    <t>PR-1211</t>
  </si>
  <si>
    <t>PR-1212</t>
  </si>
  <si>
    <t>PR-1213</t>
  </si>
  <si>
    <t>PR-1214</t>
  </si>
  <si>
    <t>PR-1215</t>
  </si>
  <si>
    <t>PR-1216</t>
  </si>
  <si>
    <t>PR-1217</t>
  </si>
  <si>
    <t>PR-1218</t>
  </si>
  <si>
    <t>PR-1219</t>
  </si>
  <si>
    <t>PR-1220</t>
  </si>
  <si>
    <t>PR-1221</t>
  </si>
  <si>
    <t>PR-1222</t>
  </si>
  <si>
    <t>PR-1223</t>
  </si>
  <si>
    <t>PR-1224</t>
  </si>
  <si>
    <t>PR-1225</t>
  </si>
  <si>
    <t>PR-1226</t>
  </si>
  <si>
    <t>PR-1227</t>
  </si>
  <si>
    <t>PR-1228</t>
  </si>
  <si>
    <t>PR-1229</t>
  </si>
  <si>
    <t>PR-1230</t>
  </si>
  <si>
    <t>PR-1231</t>
  </si>
  <si>
    <t>PR-1232</t>
  </si>
  <si>
    <t>PR-1233</t>
  </si>
  <si>
    <t>PR-1234</t>
  </si>
  <si>
    <t>PR-1235</t>
  </si>
  <si>
    <t>PR-1236</t>
  </si>
  <si>
    <t>PR-1237</t>
  </si>
  <si>
    <t>PR-1238</t>
  </si>
  <si>
    <t>PR-1239</t>
  </si>
  <si>
    <t>PR-1240</t>
  </si>
  <si>
    <t>PR-1241</t>
  </si>
  <si>
    <t>PR-1242</t>
  </si>
  <si>
    <t>PR-1243</t>
  </si>
  <si>
    <t>PR-1244</t>
  </si>
  <si>
    <t>PR-1245</t>
  </si>
  <si>
    <t>PR-1246</t>
  </si>
  <si>
    <t>PR-1247</t>
  </si>
  <si>
    <t>PR-1248</t>
  </si>
  <si>
    <t>PR-1249</t>
  </si>
  <si>
    <t>PR-1250</t>
  </si>
  <si>
    <t>PR-1251</t>
  </si>
  <si>
    <t>PR-1252</t>
  </si>
  <si>
    <t>PR-1253</t>
  </si>
  <si>
    <t>PR-1254</t>
  </si>
  <si>
    <t>PR-1255</t>
  </si>
  <si>
    <t>PR-1256</t>
  </si>
  <si>
    <t>PR-1257</t>
  </si>
  <si>
    <t>PR-1258</t>
  </si>
  <si>
    <t>PR-1259</t>
  </si>
  <si>
    <t>PR-1260</t>
  </si>
  <si>
    <t>PR-1261</t>
  </si>
  <si>
    <t>PR-1262</t>
  </si>
  <si>
    <t>PR-1263</t>
  </si>
  <si>
    <t>PR-1264</t>
  </si>
  <si>
    <t>PR-1265</t>
  </si>
  <si>
    <t>PR-1266</t>
  </si>
  <si>
    <t>PR-1267</t>
  </si>
  <si>
    <t>PR-1268</t>
  </si>
  <si>
    <t>PR-1269</t>
  </si>
  <si>
    <t>PR-1270</t>
  </si>
  <si>
    <t>PR-1271</t>
  </si>
  <si>
    <t>PR-1272</t>
  </si>
  <si>
    <t>PR-1273</t>
  </si>
  <si>
    <t>PR-1274</t>
  </si>
  <si>
    <t>PR-1275</t>
  </si>
  <si>
    <t>PR-1276</t>
  </si>
  <si>
    <t>PR-1277</t>
  </si>
  <si>
    <t>PR-1278</t>
  </si>
  <si>
    <t>PR-1279</t>
  </si>
  <si>
    <t>PR-1280</t>
  </si>
  <si>
    <t>PR-1281</t>
  </si>
  <si>
    <t>PR-1282</t>
  </si>
  <si>
    <t>PR-1283</t>
  </si>
  <si>
    <t>PR-1284</t>
  </si>
  <si>
    <t>PR-1285</t>
  </si>
  <si>
    <t>PR-1286</t>
  </si>
  <si>
    <t>PR-1287</t>
  </si>
  <si>
    <t>PR-1288</t>
  </si>
  <si>
    <t>PR-1289</t>
  </si>
  <si>
    <t>PR-1290</t>
  </si>
  <si>
    <t>PR-1291</t>
  </si>
  <si>
    <t>PR-1292</t>
  </si>
  <si>
    <t>PR-1293</t>
  </si>
  <si>
    <t>PR-1294</t>
  </si>
  <si>
    <t>PR-1295</t>
  </si>
  <si>
    <t>PR-1296</t>
  </si>
  <si>
    <t>PR-1297</t>
  </si>
  <si>
    <t>PR-1298</t>
  </si>
  <si>
    <t>PR-1299</t>
  </si>
  <si>
    <t>PR-1300</t>
  </si>
  <si>
    <t>PR-1301</t>
  </si>
  <si>
    <t>PR-1302</t>
  </si>
  <si>
    <t>PR-1303</t>
  </si>
  <si>
    <t>PR-1304</t>
  </si>
  <si>
    <t>PR-1305</t>
  </si>
  <si>
    <t>PR-1306</t>
  </si>
  <si>
    <t>PR-1307</t>
  </si>
  <si>
    <t>PR-1308</t>
  </si>
  <si>
    <t>PR-1309</t>
  </si>
  <si>
    <t>PR-1310</t>
  </si>
  <si>
    <t>PR-1311</t>
  </si>
  <si>
    <t>PR-1312</t>
  </si>
  <si>
    <t>PR-1313</t>
  </si>
  <si>
    <t>PR-1314</t>
  </si>
  <si>
    <t>PR-1315</t>
  </si>
  <si>
    <t>PR-1316</t>
  </si>
  <si>
    <t>PR-1317</t>
  </si>
  <si>
    <t>PR-1318</t>
  </si>
  <si>
    <t>PR-1319</t>
  </si>
  <si>
    <t>PR-1320</t>
  </si>
  <si>
    <t>PR-1321</t>
  </si>
  <si>
    <t>PR-1322</t>
  </si>
  <si>
    <t>PR-1323</t>
  </si>
  <si>
    <t>PR-1324</t>
  </si>
  <si>
    <t>PR-1325</t>
  </si>
  <si>
    <t>PR-1326</t>
  </si>
  <si>
    <t>PR-1327</t>
  </si>
  <si>
    <t>PR-1328</t>
  </si>
  <si>
    <t>PR-1329</t>
  </si>
  <si>
    <t>PR-1330</t>
  </si>
  <si>
    <t>PR-1331</t>
  </si>
  <si>
    <t>PR-1332</t>
  </si>
  <si>
    <t>PR-1333</t>
  </si>
  <si>
    <t>PR-1334</t>
  </si>
  <si>
    <t>PR-1335</t>
  </si>
  <si>
    <t>PR-1336</t>
  </si>
  <si>
    <t>PR-1337</t>
  </si>
  <si>
    <t>PR-1338</t>
  </si>
  <si>
    <t>PR-1339</t>
  </si>
  <si>
    <t>PR-1340</t>
  </si>
  <si>
    <t>PR-1341</t>
  </si>
  <si>
    <t>PR-1342</t>
  </si>
  <si>
    <t>PR-1343</t>
  </si>
  <si>
    <t>PR-1344</t>
  </si>
  <si>
    <t>PR-1345</t>
  </si>
  <si>
    <t>PR-1346</t>
  </si>
  <si>
    <t>PR-1347</t>
  </si>
  <si>
    <t>PR-1348</t>
  </si>
  <si>
    <t>PR-1349</t>
  </si>
  <si>
    <t>PR-1350</t>
  </si>
  <si>
    <t>PR-1351</t>
  </si>
  <si>
    <t>PR-1352</t>
  </si>
  <si>
    <t>PR-1353</t>
  </si>
  <si>
    <t>PR-1354</t>
  </si>
  <si>
    <t>PR-1355</t>
  </si>
  <si>
    <t>PR-1356</t>
  </si>
  <si>
    <t>PR-1357</t>
  </si>
  <si>
    <t>PR-1358</t>
  </si>
  <si>
    <t>PR-1359</t>
  </si>
  <si>
    <t>PR-1360</t>
  </si>
  <si>
    <t>PR-1361</t>
  </si>
  <si>
    <t>PR-1362</t>
  </si>
  <si>
    <t>PR-1363</t>
  </si>
  <si>
    <t>PR-1364</t>
  </si>
  <si>
    <t>PR-1365</t>
  </si>
  <si>
    <t>PR-1366</t>
  </si>
  <si>
    <t>PR-1367</t>
  </si>
  <si>
    <t>PR-1368</t>
  </si>
  <si>
    <t>PR-1369</t>
  </si>
  <si>
    <t>PR-1370</t>
  </si>
  <si>
    <t>PR-1371</t>
  </si>
  <si>
    <t>PR-1372</t>
  </si>
  <si>
    <t>PR-1373</t>
  </si>
  <si>
    <t>PR-1374</t>
  </si>
  <si>
    <t>PR-1375</t>
  </si>
  <si>
    <t>PR-1376</t>
  </si>
  <si>
    <t>PR-1377</t>
  </si>
  <si>
    <t>PR-1378</t>
  </si>
  <si>
    <t>PR-1379</t>
  </si>
  <si>
    <t>PR-1380</t>
  </si>
  <si>
    <t>PR-1381</t>
  </si>
  <si>
    <t>PR-1382</t>
  </si>
  <si>
    <t>PR-1383</t>
  </si>
  <si>
    <t>PR-1384</t>
  </si>
  <si>
    <t>PR-1385</t>
  </si>
  <si>
    <t>PR-1386</t>
  </si>
  <si>
    <t>PR-1387</t>
  </si>
  <si>
    <t>PR-1388</t>
  </si>
  <si>
    <t>PR-1389</t>
  </si>
  <si>
    <t>PR-1390</t>
  </si>
  <si>
    <t>PR-1391</t>
  </si>
  <si>
    <t>PR-1392</t>
  </si>
  <si>
    <t>PR-1393</t>
  </si>
  <si>
    <t>PR-1394</t>
  </si>
  <si>
    <t>PR-1395</t>
  </si>
  <si>
    <t>PR-1396</t>
  </si>
  <si>
    <t>PR-1397</t>
  </si>
  <si>
    <t>PR-1398</t>
  </si>
  <si>
    <t>PR-1399</t>
  </si>
  <si>
    <t>PR-1400</t>
  </si>
  <si>
    <t>PR-1401</t>
  </si>
  <si>
    <t>PR-1402</t>
  </si>
  <si>
    <t>PR-1403</t>
  </si>
  <si>
    <t>PR-1404</t>
  </si>
  <si>
    <t>PR-1405</t>
  </si>
  <si>
    <t>PR-1406</t>
  </si>
  <si>
    <t>PR-1407</t>
  </si>
  <si>
    <t>PR-1408</t>
  </si>
  <si>
    <t>PR-1409</t>
  </si>
  <si>
    <t>PR-1410</t>
  </si>
  <si>
    <t>PR-1411</t>
  </si>
  <si>
    <t>PR-1412</t>
  </si>
  <si>
    <t>PR-1413</t>
  </si>
  <si>
    <t>PR-1414</t>
  </si>
  <si>
    <t>PR-1415</t>
  </si>
  <si>
    <t>PR-1416</t>
  </si>
  <si>
    <t>PR-1417</t>
  </si>
  <si>
    <t>PR-1418</t>
  </si>
  <si>
    <t>PR-1419</t>
  </si>
  <si>
    <t>PR-1420</t>
  </si>
  <si>
    <t>PR-1421</t>
  </si>
  <si>
    <t>PR-1422</t>
  </si>
  <si>
    <t>PR-1423</t>
  </si>
  <si>
    <t>PR-1424</t>
  </si>
  <si>
    <t>PR-1425</t>
  </si>
  <si>
    <t>PR-1426</t>
  </si>
  <si>
    <t>PR-1427</t>
  </si>
  <si>
    <t>PR-1428</t>
  </si>
  <si>
    <t>PR-1429</t>
  </si>
  <si>
    <t>PR-1430</t>
  </si>
  <si>
    <t>PR-1431</t>
  </si>
  <si>
    <t>PR-1432</t>
  </si>
  <si>
    <t>PR-1433</t>
  </si>
  <si>
    <t>PR-1434</t>
  </si>
  <si>
    <t>PR-1435</t>
  </si>
  <si>
    <t>PR-1436</t>
  </si>
  <si>
    <t>PR-1437</t>
  </si>
  <si>
    <t>PR-1438</t>
  </si>
  <si>
    <t>PR-1439</t>
  </si>
  <si>
    <t>PR-1440</t>
  </si>
  <si>
    <t>PR-1441</t>
  </si>
  <si>
    <t>PR-1442</t>
  </si>
  <si>
    <t>PR-1443</t>
  </si>
  <si>
    <t>PR-1444</t>
  </si>
  <si>
    <t>PR-1445</t>
  </si>
  <si>
    <t>PR-1446</t>
  </si>
  <si>
    <t>PR-1447</t>
  </si>
  <si>
    <t>PR-1448</t>
  </si>
  <si>
    <t>PR-1449</t>
  </si>
  <si>
    <t>PR-1450</t>
  </si>
  <si>
    <t>PR-1451</t>
  </si>
  <si>
    <t>PR-1452</t>
  </si>
  <si>
    <t>PR-1453</t>
  </si>
  <si>
    <t>PR-1454</t>
  </si>
  <si>
    <t>PR-1455</t>
  </si>
  <si>
    <t>PR-1456</t>
  </si>
  <si>
    <t>PR-1457</t>
  </si>
  <si>
    <t>PR-1458</t>
  </si>
  <si>
    <t>PR-1459</t>
  </si>
  <si>
    <t>PR-1460</t>
  </si>
  <si>
    <t>PR-1461</t>
  </si>
  <si>
    <t>PR-1462</t>
  </si>
  <si>
    <t>PR-1463</t>
  </si>
  <si>
    <t>PR-1464</t>
  </si>
  <si>
    <t>PR-1465</t>
  </si>
  <si>
    <t>PR-1466</t>
  </si>
  <si>
    <t>PR-1467</t>
  </si>
  <si>
    <t>PR-1468</t>
  </si>
  <si>
    <t>PR-1469</t>
  </si>
  <si>
    <t>PR-1470</t>
  </si>
  <si>
    <t>PR-1471</t>
  </si>
  <si>
    <t>PR-1472</t>
  </si>
  <si>
    <t>PR-1473</t>
  </si>
  <si>
    <t>PR-1474</t>
  </si>
  <si>
    <t>PR-1475</t>
  </si>
  <si>
    <t>PR-1476</t>
  </si>
  <si>
    <t>PR-1477</t>
  </si>
  <si>
    <t>PR-1478</t>
  </si>
  <si>
    <t>PR-1479</t>
  </si>
  <si>
    <t>PR-1480</t>
  </si>
  <si>
    <t>PR-1481</t>
  </si>
  <si>
    <t>PR-1482</t>
  </si>
  <si>
    <t>PR-1483</t>
  </si>
  <si>
    <t>PR-1484</t>
  </si>
  <si>
    <t>PR-1485</t>
  </si>
  <si>
    <t>PR-1486</t>
  </si>
  <si>
    <t>PR-1487</t>
  </si>
  <si>
    <t>PR-1488</t>
  </si>
  <si>
    <t>PR-1489</t>
  </si>
  <si>
    <t>PR-1490</t>
  </si>
  <si>
    <t>PR-1491</t>
  </si>
  <si>
    <t>PR-1492</t>
  </si>
  <si>
    <t>PR-1493</t>
  </si>
  <si>
    <t>PR-1494</t>
  </si>
  <si>
    <t>PR-1495</t>
  </si>
  <si>
    <t>PR-1496</t>
  </si>
  <si>
    <t>PR-1497</t>
  </si>
  <si>
    <t>PR-1498</t>
  </si>
  <si>
    <t>PR-1499</t>
  </si>
  <si>
    <t>PR-1500</t>
  </si>
  <si>
    <t>PR-1501</t>
  </si>
  <si>
    <t>PR-1502</t>
  </si>
  <si>
    <t>PR-1503</t>
  </si>
  <si>
    <t>PR-1504</t>
  </si>
  <si>
    <t>PR-1505</t>
  </si>
  <si>
    <t>PR-1506</t>
  </si>
  <si>
    <t>PR-1507</t>
  </si>
  <si>
    <t>PR-1508</t>
  </si>
  <si>
    <t>PR-1509</t>
  </si>
  <si>
    <t>PR-1510</t>
  </si>
  <si>
    <t>PR-1511</t>
  </si>
  <si>
    <t>PR-1512</t>
  </si>
  <si>
    <t>PR-1513</t>
  </si>
  <si>
    <t>PR-1514</t>
  </si>
  <si>
    <t>PR-1515</t>
  </si>
  <si>
    <t>PR-1516</t>
  </si>
  <si>
    <t>PR-1517</t>
  </si>
  <si>
    <t>PR-1518</t>
  </si>
  <si>
    <t>PR-1519</t>
  </si>
  <si>
    <t>PR-1520</t>
  </si>
  <si>
    <t>PR-1521</t>
  </si>
  <si>
    <t>PR-1522</t>
  </si>
  <si>
    <t>PR-1523</t>
  </si>
  <si>
    <t>PR-1524</t>
  </si>
  <si>
    <t>PR-1525</t>
  </si>
  <si>
    <t>PR-1526</t>
  </si>
  <si>
    <t>PR-1527</t>
  </si>
  <si>
    <t>PR-1528</t>
  </si>
  <si>
    <t>PR-1529</t>
  </si>
  <si>
    <t>PR-1530</t>
  </si>
  <si>
    <t>PR-1531</t>
  </si>
  <si>
    <t>PR-1532</t>
  </si>
  <si>
    <t>PR-1533</t>
  </si>
  <si>
    <t>PR-1534</t>
  </si>
  <si>
    <t>PR-1535</t>
  </si>
  <si>
    <t>PR-1536</t>
  </si>
  <si>
    <t>PR-1537</t>
  </si>
  <si>
    <t>PR-1538</t>
  </si>
  <si>
    <t>PR-1539</t>
  </si>
  <si>
    <t>PR-1540</t>
  </si>
  <si>
    <t>PR-1541</t>
  </si>
  <si>
    <t>PR-1542</t>
  </si>
  <si>
    <t>PR-1543</t>
  </si>
  <si>
    <t>PR-1544</t>
  </si>
  <si>
    <t>PR-1545</t>
  </si>
  <si>
    <t>PR-1546</t>
  </si>
  <si>
    <t>PR-1547</t>
  </si>
  <si>
    <t>PR-1548</t>
  </si>
  <si>
    <t>PR-1549</t>
  </si>
  <si>
    <t>PR-1550</t>
  </si>
  <si>
    <t>PR-1551</t>
  </si>
  <si>
    <t>PR-1552</t>
  </si>
  <si>
    <t>PR-1553</t>
  </si>
  <si>
    <t>PR-1554</t>
  </si>
  <si>
    <t>PR-1555</t>
  </si>
  <si>
    <t>PR-1556</t>
  </si>
  <si>
    <t>PR-1557</t>
  </si>
  <si>
    <t>PR-1558</t>
  </si>
  <si>
    <t>PR-1559</t>
  </si>
  <si>
    <t>PR-1560</t>
  </si>
  <si>
    <t>PR-1561</t>
  </si>
  <si>
    <t>PR-1562</t>
  </si>
  <si>
    <t>PR-1563</t>
  </si>
  <si>
    <t>PR-1564</t>
  </si>
  <si>
    <t>PR-1565</t>
  </si>
  <si>
    <t>PR-1566</t>
  </si>
  <si>
    <t>PR-1567</t>
  </si>
  <si>
    <t>PR-1568</t>
  </si>
  <si>
    <t>PR-1569</t>
  </si>
  <si>
    <t>PR-1570</t>
  </si>
  <si>
    <t>PR-1571</t>
  </si>
  <si>
    <t>PR-1572</t>
  </si>
  <si>
    <t>PR-1573</t>
  </si>
  <si>
    <t>PR-1574</t>
  </si>
  <si>
    <t>PR-1575</t>
  </si>
  <si>
    <t>PR-1576</t>
  </si>
  <si>
    <t>PR-1577</t>
  </si>
  <si>
    <t>PR-1578</t>
  </si>
  <si>
    <t>PR-1579</t>
  </si>
  <si>
    <t>PR-1580</t>
  </si>
  <si>
    <t>PR-1581</t>
  </si>
  <si>
    <t>PR-1582</t>
  </si>
  <si>
    <t>PR-1583</t>
  </si>
  <si>
    <t>PR-1584</t>
  </si>
  <si>
    <t>PR-1585</t>
  </si>
  <si>
    <t>PR-1586</t>
  </si>
  <si>
    <t>PR-1587</t>
  </si>
  <si>
    <t>PR-1588</t>
  </si>
  <si>
    <t>PR-1589</t>
  </si>
  <si>
    <t>PR-1590</t>
  </si>
  <si>
    <t>PR-1591</t>
  </si>
  <si>
    <t>PR-1592</t>
  </si>
  <si>
    <t>PR-1593</t>
  </si>
  <si>
    <t>PR-1594</t>
  </si>
  <si>
    <t>PR-1595</t>
  </si>
  <si>
    <t>PR-1596</t>
  </si>
  <si>
    <t>PR-1597</t>
  </si>
  <si>
    <t>PR-1598</t>
  </si>
  <si>
    <t>PR-1599</t>
  </si>
  <si>
    <t>PR-1600</t>
  </si>
  <si>
    <t>PR-1601</t>
  </si>
  <si>
    <t>PR-1602</t>
  </si>
  <si>
    <t>PR-1603</t>
  </si>
  <si>
    <t>PR-1604</t>
  </si>
  <si>
    <t>PR-1605</t>
  </si>
  <si>
    <t>PR-1606</t>
  </si>
  <si>
    <t>PR-1607</t>
  </si>
  <si>
    <t>PR-1608</t>
  </si>
  <si>
    <t>PR-1609</t>
  </si>
  <si>
    <t>PR-1610</t>
  </si>
  <si>
    <t>PR-1611</t>
  </si>
  <si>
    <t>PR-1612</t>
  </si>
  <si>
    <t>PR-1613</t>
  </si>
  <si>
    <t>PR-1614</t>
  </si>
  <si>
    <t>PR-1615</t>
  </si>
  <si>
    <t>PR-1616</t>
  </si>
  <si>
    <t>PR-1617</t>
  </si>
  <si>
    <t>PR-1618</t>
  </si>
  <si>
    <t>PR-1619</t>
  </si>
  <si>
    <t>PR-1620</t>
  </si>
  <si>
    <t>PR-1621</t>
  </si>
  <si>
    <t>PR-1622</t>
  </si>
  <si>
    <t>PR-1623</t>
  </si>
  <si>
    <t>PR-1624</t>
  </si>
  <si>
    <t>PR-1625</t>
  </si>
  <si>
    <t>PR-1626</t>
  </si>
  <si>
    <t>PR-1627</t>
  </si>
  <si>
    <t>PR-1628</t>
  </si>
  <si>
    <t>PR-1629</t>
  </si>
  <si>
    <t>PR-1630</t>
  </si>
  <si>
    <t>PR-1631</t>
  </si>
  <si>
    <t>PR-1632</t>
  </si>
  <si>
    <t>PR-1633</t>
  </si>
  <si>
    <t>PR-1634</t>
  </si>
  <si>
    <t>PR-1635</t>
  </si>
  <si>
    <t>PR-1636</t>
  </si>
  <si>
    <t>PR-1637</t>
  </si>
  <si>
    <t>PR-1638</t>
  </si>
  <si>
    <t>PR-1639</t>
  </si>
  <si>
    <t>PR-1640</t>
  </si>
  <si>
    <t>PR-1641</t>
  </si>
  <si>
    <t>PR-1642</t>
  </si>
  <si>
    <t>PR-1643</t>
  </si>
  <si>
    <t>PR-1644</t>
  </si>
  <si>
    <t>PR-1645</t>
  </si>
  <si>
    <t>PR-1646</t>
  </si>
  <si>
    <t>PR-1647</t>
  </si>
  <si>
    <t>PR-1648</t>
  </si>
  <si>
    <t>PR-1649</t>
  </si>
  <si>
    <t>PR-1650</t>
  </si>
  <si>
    <t>PR-1651</t>
  </si>
  <si>
    <t>PR-1652</t>
  </si>
  <si>
    <t>PR-1653</t>
  </si>
  <si>
    <t>PR-1654</t>
  </si>
  <si>
    <t>PR-1655</t>
  </si>
  <si>
    <t>PR-1656</t>
  </si>
  <si>
    <t>PR-1657</t>
  </si>
  <si>
    <t>PR-1658</t>
  </si>
  <si>
    <t>PR-1659</t>
  </si>
  <si>
    <t>PR-1660</t>
  </si>
  <si>
    <t>PR-1661</t>
  </si>
  <si>
    <t>PR-1662</t>
  </si>
  <si>
    <t>PR-1663</t>
  </si>
  <si>
    <t>PR-1664</t>
  </si>
  <si>
    <t>PR-1665</t>
  </si>
  <si>
    <t>PR-1666</t>
  </si>
  <si>
    <t>PR-1667</t>
  </si>
  <si>
    <t>PR-1668</t>
  </si>
  <si>
    <t>PR-1669</t>
  </si>
  <si>
    <t>PR-1670</t>
  </si>
  <si>
    <t>PR-1671</t>
  </si>
  <si>
    <t>PR-1672</t>
  </si>
  <si>
    <t>PR-1673</t>
  </si>
  <si>
    <t>PR-1674</t>
  </si>
  <si>
    <t>PR-1675</t>
  </si>
  <si>
    <t>PR-1676</t>
  </si>
  <si>
    <t>PR-1677</t>
  </si>
  <si>
    <t>PR-1678</t>
  </si>
  <si>
    <t>PR-1679</t>
  </si>
  <si>
    <t>PR-1680</t>
  </si>
  <si>
    <t>PR-1681</t>
  </si>
  <si>
    <t>PR-1682</t>
  </si>
  <si>
    <t>PR-1683</t>
  </si>
  <si>
    <t>PR-1684</t>
  </si>
  <si>
    <t>PR-1685</t>
  </si>
  <si>
    <t>PR-1686</t>
  </si>
  <si>
    <t>PR-1687</t>
  </si>
  <si>
    <t>PR-1688</t>
  </si>
  <si>
    <t>PR-1689</t>
  </si>
  <si>
    <t>PR-1690</t>
  </si>
  <si>
    <t>PR-1691</t>
  </si>
  <si>
    <t>PR-1692</t>
  </si>
  <si>
    <t>PR-1693</t>
  </si>
  <si>
    <t>PR-1694</t>
  </si>
  <si>
    <t>PR-1695</t>
  </si>
  <si>
    <t>PR-1696</t>
  </si>
  <si>
    <t>PR-1697</t>
  </si>
  <si>
    <t>PR-1698</t>
  </si>
  <si>
    <t>PR-1699</t>
  </si>
  <si>
    <t>PR-1700</t>
  </si>
  <si>
    <t>PR-1701</t>
  </si>
  <si>
    <t>PR-1702</t>
  </si>
  <si>
    <t>PR-1703</t>
  </si>
  <si>
    <t>PR-1704</t>
  </si>
  <si>
    <t>PR-1705</t>
  </si>
  <si>
    <t>PR-1706</t>
  </si>
  <si>
    <t>PR-1707</t>
  </si>
  <si>
    <t>PR-1708</t>
  </si>
  <si>
    <t>PR-1709</t>
  </si>
  <si>
    <t>PR-1710</t>
  </si>
  <si>
    <t>PR-1711</t>
  </si>
  <si>
    <t>PR-1712</t>
  </si>
  <si>
    <t>PR-1713</t>
  </si>
  <si>
    <t>PR-1714</t>
  </si>
  <si>
    <t>PR-1715</t>
  </si>
  <si>
    <t>PR-1716</t>
  </si>
  <si>
    <t>PR-1717</t>
  </si>
  <si>
    <t>PR-1718</t>
  </si>
  <si>
    <t>PR-1719</t>
  </si>
  <si>
    <t>PR-1720</t>
  </si>
  <si>
    <t>PR-1721</t>
  </si>
  <si>
    <t>PR-1722</t>
  </si>
  <si>
    <t>PR-1723</t>
  </si>
  <si>
    <t>PR-1724</t>
  </si>
  <si>
    <t>PR-1725</t>
  </si>
  <si>
    <t>PR-1726</t>
  </si>
  <si>
    <t>PR-1727</t>
  </si>
  <si>
    <t>PR-1728</t>
  </si>
  <si>
    <t>PR-1729</t>
  </si>
  <si>
    <t>PR-1730</t>
  </si>
  <si>
    <t>PR-1731</t>
  </si>
  <si>
    <t>PR-1732</t>
  </si>
  <si>
    <t>PR-1733</t>
  </si>
  <si>
    <t>PR-1734</t>
  </si>
  <si>
    <t>PR-1735</t>
  </si>
  <si>
    <t>PR-1736</t>
  </si>
  <si>
    <t>PR-1737</t>
  </si>
  <si>
    <t>PR-1738</t>
  </si>
  <si>
    <t>PR-1739</t>
  </si>
  <si>
    <t>PR-1740</t>
  </si>
  <si>
    <t>PR-1741</t>
  </si>
  <si>
    <t>PR-1742</t>
  </si>
  <si>
    <t>PR-1743</t>
  </si>
  <si>
    <t>PR-1744</t>
  </si>
  <si>
    <t>PR-1745</t>
  </si>
  <si>
    <t>PR-1746</t>
  </si>
  <si>
    <t>PR-1747</t>
  </si>
  <si>
    <t>PR-1748</t>
  </si>
  <si>
    <t>PR-1749</t>
  </si>
  <si>
    <t>PR-1750</t>
  </si>
  <si>
    <t>PR-1751</t>
  </si>
  <si>
    <t>PR-1752</t>
  </si>
  <si>
    <t>PR-1753</t>
  </si>
  <si>
    <t>PR-1754</t>
  </si>
  <si>
    <t>PR-1755</t>
  </si>
  <si>
    <t>PR-1756</t>
  </si>
  <si>
    <t>PR-1757</t>
  </si>
  <si>
    <t>PR-1758</t>
  </si>
  <si>
    <t>PR-1759</t>
  </si>
  <si>
    <t>PR-1760</t>
  </si>
  <si>
    <t>PR-1761</t>
  </si>
  <si>
    <t>PR-1762</t>
  </si>
  <si>
    <t>PR-1763</t>
  </si>
  <si>
    <t>PR-1764</t>
  </si>
  <si>
    <t>PR-1765</t>
  </si>
  <si>
    <t>PR-1766</t>
  </si>
  <si>
    <t>PR-1767</t>
  </si>
  <si>
    <t>PR-1768</t>
  </si>
  <si>
    <t>PR-1769</t>
  </si>
  <si>
    <t>PR-1770</t>
  </si>
  <si>
    <t>PR-1771</t>
  </si>
  <si>
    <t>PR-1772</t>
  </si>
  <si>
    <t>PR-1773</t>
  </si>
  <si>
    <t>PR-1774</t>
  </si>
  <si>
    <t>PR-1775</t>
  </si>
  <si>
    <t>PR-1776</t>
  </si>
  <si>
    <t>PR-1777</t>
  </si>
  <si>
    <t>PR-1778</t>
  </si>
  <si>
    <t>PR-1779</t>
  </si>
  <si>
    <t>PR-1780</t>
  </si>
  <si>
    <t>PR-1781</t>
  </si>
  <si>
    <t>PR-1782</t>
  </si>
  <si>
    <t>PR-1783</t>
  </si>
  <si>
    <t>PR-1784</t>
  </si>
  <si>
    <t>PR-1785</t>
  </si>
  <si>
    <t>PR-1786</t>
  </si>
  <si>
    <t>PR-1787</t>
  </si>
  <si>
    <t>PR-1788</t>
  </si>
  <si>
    <t>PR-1789</t>
  </si>
  <si>
    <t>PR-1790</t>
  </si>
  <si>
    <t>PR-1791</t>
  </si>
  <si>
    <t>PR-1792</t>
  </si>
  <si>
    <t>PR-1793</t>
  </si>
  <si>
    <t>PR-1794</t>
  </si>
  <si>
    <t>PR-1795</t>
  </si>
  <si>
    <t>PR-1796</t>
  </si>
  <si>
    <t>PR-1797</t>
  </si>
  <si>
    <t>PR-1798</t>
  </si>
  <si>
    <t>PR-1799</t>
  </si>
  <si>
    <t>PR-1800</t>
  </si>
  <si>
    <t>PR-1801</t>
  </si>
  <si>
    <t>PR-1802</t>
  </si>
  <si>
    <t>PR-1803</t>
  </si>
  <si>
    <t>PR-1804</t>
  </si>
  <si>
    <t>PR-1805</t>
  </si>
  <si>
    <t>PR-1806</t>
  </si>
  <si>
    <t>PR-1807</t>
  </si>
  <si>
    <t>PR-1808</t>
  </si>
  <si>
    <t>PR-1809</t>
  </si>
  <si>
    <t>PR-1810</t>
  </si>
  <si>
    <t>PR-1811</t>
  </si>
  <si>
    <t>PR-1812</t>
  </si>
  <si>
    <t>PR-1813</t>
  </si>
  <si>
    <t>PR-1814</t>
  </si>
  <si>
    <t>PR-1815</t>
  </si>
  <si>
    <t>PR-1816</t>
  </si>
  <si>
    <t>PR-1817</t>
  </si>
  <si>
    <t>PR-1818</t>
  </si>
  <si>
    <t>PR-1819</t>
  </si>
  <si>
    <t>PR-1820</t>
  </si>
  <si>
    <t>PR-1821</t>
  </si>
  <si>
    <t>PR-1822</t>
  </si>
  <si>
    <t>PR-1823</t>
  </si>
  <si>
    <t>PR-1824</t>
  </si>
  <si>
    <t>PR-1825</t>
  </si>
  <si>
    <t>PR-1826</t>
  </si>
  <si>
    <t>PR-1827</t>
  </si>
  <si>
    <t>PR-1828</t>
  </si>
  <si>
    <t>PR-1829</t>
  </si>
  <si>
    <t>PR-1830</t>
  </si>
  <si>
    <t>PR-1831</t>
  </si>
  <si>
    <t>PR-1832</t>
  </si>
  <si>
    <t>PR-1833</t>
  </si>
  <si>
    <t>PR-1834</t>
  </si>
  <si>
    <t>PR-1835</t>
  </si>
  <si>
    <t>PR-1836</t>
  </si>
  <si>
    <t>PR-1837</t>
  </si>
  <si>
    <t>PR-1838</t>
  </si>
  <si>
    <t>PR-1839</t>
  </si>
  <si>
    <t>PR-1840</t>
  </si>
  <si>
    <t>PR-1841</t>
  </si>
  <si>
    <t>PR-1842</t>
  </si>
  <si>
    <t>PR-1843</t>
  </si>
  <si>
    <t>PR-1844</t>
  </si>
  <si>
    <t>PR-1845</t>
  </si>
  <si>
    <t>PR-1846</t>
  </si>
  <si>
    <t>PR-1847</t>
  </si>
  <si>
    <t>PR-1848</t>
  </si>
  <si>
    <t>PR-1849</t>
  </si>
  <si>
    <t>PR-1850</t>
  </si>
  <si>
    <t>PR-1851</t>
  </si>
  <si>
    <t>PR-1852</t>
  </si>
  <si>
    <t>PR-1853</t>
  </si>
  <si>
    <t>PR-1854</t>
  </si>
  <si>
    <t>PR-1855</t>
  </si>
  <si>
    <t>PR-1856</t>
  </si>
  <si>
    <t>PR-1857</t>
  </si>
  <si>
    <t>PR-1858</t>
  </si>
  <si>
    <t>PR-1859</t>
  </si>
  <si>
    <t>PR-1860</t>
  </si>
  <si>
    <t>PR-1861</t>
  </si>
  <si>
    <t>PR-1862</t>
  </si>
  <si>
    <t>PR-1863</t>
  </si>
  <si>
    <t>PR-1864</t>
  </si>
  <si>
    <t>PR-1865</t>
  </si>
  <si>
    <t>PR-1866</t>
  </si>
  <si>
    <t>PR-1867</t>
  </si>
  <si>
    <t>PR-1868</t>
  </si>
  <si>
    <t>PR-1869</t>
  </si>
  <si>
    <t>PR-1870</t>
  </si>
  <si>
    <t>PR-1871</t>
  </si>
  <si>
    <t>PR-1872</t>
  </si>
  <si>
    <t>PR-1873</t>
  </si>
  <si>
    <t>PR-1874</t>
  </si>
  <si>
    <t>PR-1875</t>
  </si>
  <si>
    <t>PR-1876</t>
  </si>
  <si>
    <t>PR-1877</t>
  </si>
  <si>
    <t>PR-1878</t>
  </si>
  <si>
    <t>PR-1879</t>
  </si>
  <si>
    <t>PR-1880</t>
  </si>
  <si>
    <t>PR-1881</t>
  </si>
  <si>
    <t>PR-1882</t>
  </si>
  <si>
    <t>PR-1883</t>
  </si>
  <si>
    <t>PR-1884</t>
  </si>
  <si>
    <t>PR-1885</t>
  </si>
  <si>
    <t>PR-1886</t>
  </si>
  <si>
    <t>PR-1887</t>
  </si>
  <si>
    <t>PR-1888</t>
  </si>
  <si>
    <t>PR-1889</t>
  </si>
  <si>
    <t>PR-1890</t>
  </si>
  <si>
    <t>PR-1891</t>
  </si>
  <si>
    <t>PR-1892</t>
  </si>
  <si>
    <t>PR-1893</t>
  </si>
  <si>
    <t>PR-1894</t>
  </si>
  <si>
    <t>PR-1895</t>
  </si>
  <si>
    <t>PR-1896</t>
  </si>
  <si>
    <t>PR-1897</t>
  </si>
  <si>
    <t>PR-1898</t>
  </si>
  <si>
    <t>PR-1899</t>
  </si>
  <si>
    <t>PR-1900</t>
  </si>
  <si>
    <t>PR-1901</t>
  </si>
  <si>
    <t>PR-1902</t>
  </si>
  <si>
    <t>PR-1903</t>
  </si>
  <si>
    <t>PR-1904</t>
  </si>
  <si>
    <t>PR-1905</t>
  </si>
  <si>
    <t>PR-1906</t>
  </si>
  <si>
    <t>PR-1907</t>
  </si>
  <si>
    <t>PR-1908</t>
  </si>
  <si>
    <t>PR-1909</t>
  </si>
  <si>
    <t>PR-1910</t>
  </si>
  <si>
    <t>PR-1911</t>
  </si>
  <si>
    <t>PR-1912</t>
  </si>
  <si>
    <t>PR-1913</t>
  </si>
  <si>
    <t>PR-1914</t>
  </si>
  <si>
    <t>PR-1915</t>
  </si>
  <si>
    <t>PR-1916</t>
  </si>
  <si>
    <t>PR-1917</t>
  </si>
  <si>
    <t>PR-1918</t>
  </si>
  <si>
    <t>PR-1919</t>
  </si>
  <si>
    <t>PR-1920</t>
  </si>
  <si>
    <t>PR-1921</t>
  </si>
  <si>
    <t>PR-1922</t>
  </si>
  <si>
    <t>PR-1923</t>
  </si>
  <si>
    <t>PR-1924</t>
  </si>
  <si>
    <t>PR-1925</t>
  </si>
  <si>
    <t>PR-1926</t>
  </si>
  <si>
    <t>PR-1927</t>
  </si>
  <si>
    <t>PR-1928</t>
  </si>
  <si>
    <t>PR-1929</t>
  </si>
  <si>
    <t>PR-1930</t>
  </si>
  <si>
    <t>PR-1931</t>
  </si>
  <si>
    <t>PR-1932</t>
  </si>
  <si>
    <t>PR-1933</t>
  </si>
  <si>
    <t>PR-1934</t>
  </si>
  <si>
    <t>PR-1935</t>
  </si>
  <si>
    <t>PR-1936</t>
  </si>
  <si>
    <t>PR-1937</t>
  </si>
  <si>
    <t>PR-1938</t>
  </si>
  <si>
    <t>PR-1939</t>
  </si>
  <si>
    <t>PR-1940</t>
  </si>
  <si>
    <t>PR-1941</t>
  </si>
  <si>
    <t>PR-1942</t>
  </si>
  <si>
    <t>PR-1943</t>
  </si>
  <si>
    <t>PR-1944</t>
  </si>
  <si>
    <t>PR-1945</t>
  </si>
  <si>
    <t>PR-1946</t>
  </si>
  <si>
    <t>PR-1947</t>
  </si>
  <si>
    <t>PR-1948</t>
  </si>
  <si>
    <t>PR-1949</t>
  </si>
  <si>
    <t>PR-1950</t>
  </si>
  <si>
    <t>PR-1951</t>
  </si>
  <si>
    <t>PR-1952</t>
  </si>
  <si>
    <t>PR-1953</t>
  </si>
  <si>
    <t>PR-1954</t>
  </si>
  <si>
    <t>PR-1955</t>
  </si>
  <si>
    <t>PR-1956</t>
  </si>
  <si>
    <t>PR-1957</t>
  </si>
  <si>
    <t>PR-1958</t>
  </si>
  <si>
    <t>PR-1959</t>
  </si>
  <si>
    <t>PR-1960</t>
  </si>
  <si>
    <t>PR-1961</t>
  </si>
  <si>
    <t>PR-1962</t>
  </si>
  <si>
    <t>PR-1963</t>
  </si>
  <si>
    <t>PR-1964</t>
  </si>
  <si>
    <t>PR-1965</t>
  </si>
  <si>
    <t>PR-1966</t>
  </si>
  <si>
    <t>PR-1967</t>
  </si>
  <si>
    <t>PR-1968</t>
  </si>
  <si>
    <t>PR-1969</t>
  </si>
  <si>
    <t>PR-1970</t>
  </si>
  <si>
    <t>PR-1971</t>
  </si>
  <si>
    <t>PR-1972</t>
  </si>
  <si>
    <t>PR-1973</t>
  </si>
  <si>
    <t>PR-1974</t>
  </si>
  <si>
    <t>PR-1975</t>
  </si>
  <si>
    <t>PR-1976</t>
  </si>
  <si>
    <t>PR-1977</t>
  </si>
  <si>
    <t>PR-1978</t>
  </si>
  <si>
    <t>PR-1979</t>
  </si>
  <si>
    <t>PR-1980</t>
  </si>
  <si>
    <t>PR-1981</t>
  </si>
  <si>
    <t>PR-1982</t>
  </si>
  <si>
    <t>PR-1983</t>
  </si>
  <si>
    <t>PR-1984</t>
  </si>
  <si>
    <t>PR-1985</t>
  </si>
  <si>
    <t>PR-1986</t>
  </si>
  <si>
    <t>PR-1987</t>
  </si>
  <si>
    <t>PR-1988</t>
  </si>
  <si>
    <t>PR-1989</t>
  </si>
  <si>
    <t>PR-1990</t>
  </si>
  <si>
    <t>PR-1991</t>
  </si>
  <si>
    <t>PR-1992</t>
  </si>
  <si>
    <t>PR-1993</t>
  </si>
  <si>
    <t>PR-1994</t>
  </si>
  <si>
    <t>PR-1995</t>
  </si>
  <si>
    <t>PR-1996</t>
  </si>
  <si>
    <t>PR-1997</t>
  </si>
  <si>
    <t>PR-1998</t>
  </si>
  <si>
    <t>PR-1999</t>
  </si>
  <si>
    <t>PR-2000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</si>
</sst>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2"/>
      <color theme="1"/>
      <name val="Calibri"/>
      <family val="2"/>
      <scheme val="minor"/>
    </font>
    <font>
      <sz val="8"/>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1">
    <xf numFmtId="0" fontId="0" fillId="0" borderId="0"/>
  </cellStyleXfs>
  <cellXfs count="12">
    <xf numFmtId="0" fontId="0" fillId="0" borderId="0" xfId="0"/>
    <xf numFmtId="49" fontId="1" fillId="0" borderId="0" xfId="0" applyNumberFormat="1" applyFont="1"/>
    <xf numFmtId="0" fontId="1" fillId="0" borderId="0" xfId="0" applyFont="1"/>
    <xf numFmtId="49" fontId="0" fillId="0" borderId="0" xfId="0" applyNumberFormat="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1" fontId="0" fillId="0" borderId="0" xfId="0" applyNumberFormat="1" applyAlignment="1">
      <alignment horizontal="center" vertical="center"/>
    </xf>
    <xf numFmtId="0" fontId="3" fillId="2" borderId="1" xfId="0" applyFont="1" applyFill="1" applyBorder="1"/>
    <xf numFmtId="0" fontId="0" fillId="0" borderId="0" xfId="0" applyNumberFormat="1"/>
  </cellXfs>
  <cellStyles count="1">
    <cellStyle name="Normal" xfId="0" builtinId="0"/>
  </cellStyles>
  <dxfs count="1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2"/>
        <color theme="1"/>
        <name val="Calibri"/>
        <family val="2"/>
        <scheme val="minor"/>
      </font>
    </dxf>
    <dxf>
      <font>
        <b/>
        <i val="0"/>
        <sz val="9"/>
        <color theme="0"/>
        <name val="Calibri"/>
        <family val="2"/>
        <scheme val="minor"/>
      </font>
      <fill>
        <patternFill>
          <bgColor theme="1"/>
        </patternFill>
      </fill>
      <border>
        <left style="thin">
          <color theme="1"/>
        </left>
        <right style="thin">
          <color theme="1"/>
        </right>
        <top style="thin">
          <color theme="1"/>
        </top>
        <bottom style="thin">
          <color theme="1"/>
        </bottom>
        <vertical/>
        <horizontal/>
      </border>
    </dxf>
    <dxf>
      <font>
        <b/>
        <i val="0"/>
        <u val="none"/>
        <color theme="0"/>
      </font>
      <fill>
        <patternFill>
          <bgColor theme="1"/>
        </patternFill>
      </fill>
      <border diagonalUp="0" diagonalDown="0">
        <left style="thin">
          <color theme="1"/>
        </left>
        <right style="thin">
          <color theme="1"/>
        </right>
        <top style="thin">
          <color theme="1"/>
        </top>
        <bottom style="thin">
          <color theme="1"/>
        </bottom>
        <vertical/>
        <horizontal/>
      </border>
    </dxf>
  </dxfs>
  <tableStyles count="1" defaultTableStyle="TableStyleMedium2" defaultPivotStyle="PivotStyleLight16">
    <tableStyle name="SlicerStyleLight1 2" pivot="0" table="0" count="10" xr9:uid="{F67D000C-DFCA-4593-9F11-10111C9623F3}">
      <tableStyleElement type="wholeTable" dxfId="13"/>
      <tableStyleElement type="headerRow" dxfId="12"/>
    </tableStyle>
  </tableStyles>
  <colors>
    <mruColors>
      <color rgb="FFE2973C"/>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9"/>
            <color theme="7" tint="0.59996337778862885"/>
            <name val="Calibri"/>
            <family val="2"/>
            <scheme val="minor"/>
          </font>
          <fill>
            <patternFill patternType="solid">
              <fgColor auto="1"/>
              <bgColor rgb="FF00B050"/>
            </patternFill>
          </fill>
          <border>
            <left style="thin">
              <color rgb="FF999999"/>
            </left>
            <right style="thin">
              <color rgb="FF999999"/>
            </right>
            <top style="thin">
              <color rgb="FF999999"/>
            </top>
            <bottom style="thin">
              <color rgb="FF999999"/>
            </bottom>
            <vertical/>
            <horizontal/>
          </border>
        </dxf>
        <dxf>
          <font>
            <b/>
            <i val="0"/>
            <sz val="9"/>
            <color theme="7" tint="0.59996337778862885"/>
            <name val="Calibri"/>
            <family val="2"/>
            <scheme val="minor"/>
          </font>
          <fill>
            <patternFill patternType="solid">
              <fgColor auto="1"/>
              <bgColor rgb="FF00B05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9"/>
            <color theme="0"/>
            <name val="Calibri"/>
            <family val="2"/>
            <scheme val="minor"/>
          </font>
          <fill>
            <patternFill patternType="solid">
              <fgColor theme="1"/>
              <bgColor theme="8"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9"/>
            <color theme="0"/>
            <name val="Calibri"/>
            <family val="2"/>
            <scheme val="minor"/>
          </font>
          <fill>
            <patternFill patternType="solid">
              <fgColor rgb="FFFFFFFF"/>
              <bgColor theme="9"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(VBA).xlsm]Sales Trend!PivotTable3</c:name>
    <c:fmtId val="2"/>
  </c:pivotSource>
  <c:chart>
    <c:autoTitleDeleted val="1"/>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8575" cap="rnd">
            <a:solidFill>
              <a:schemeClr val="bg1"/>
            </a:solidFill>
            <a:round/>
          </a:ln>
          <a:effectLst/>
        </c:spPr>
        <c:marker>
          <c:symbol val="circle"/>
          <c:size val="5"/>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Trend'!$B$3</c:f>
              <c:strCache>
                <c:ptCount val="1"/>
                <c:pt idx="0">
                  <c:v>Total</c:v>
                </c:pt>
              </c:strCache>
            </c:strRef>
          </c:tx>
          <c:spPr>
            <a:ln w="28575" cap="rnd">
              <a:solidFill>
                <a:schemeClr val="bg1"/>
              </a:solidFill>
              <a:round/>
            </a:ln>
            <a:effectLst/>
          </c:spPr>
          <c:marker>
            <c:symbol val="circle"/>
            <c:size val="5"/>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cat>
            <c:multiLvlStrRef>
              <c:f>'Sales Trend'!$A$4:$A$28</c:f>
              <c:multiLvlStrCache>
                <c:ptCount val="2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lvl>
                <c:lvl>
                  <c:pt idx="0">
                    <c:v>2018</c:v>
                  </c:pt>
                  <c:pt idx="12">
                    <c:v>2019</c:v>
                  </c:pt>
                </c:lvl>
              </c:multiLvlStrCache>
            </c:multiLvlStrRef>
          </c:cat>
          <c:val>
            <c:numRef>
              <c:f>'Sales Trend'!$B$4:$B$28</c:f>
              <c:numCache>
                <c:formatCode>General</c:formatCode>
                <c:ptCount val="22"/>
                <c:pt idx="0">
                  <c:v>9275900</c:v>
                </c:pt>
                <c:pt idx="1">
                  <c:v>9309600</c:v>
                </c:pt>
                <c:pt idx="2">
                  <c:v>10330900</c:v>
                </c:pt>
                <c:pt idx="3">
                  <c:v>9339200</c:v>
                </c:pt>
                <c:pt idx="4">
                  <c:v>11852300</c:v>
                </c:pt>
                <c:pt idx="5">
                  <c:v>10511300</c:v>
                </c:pt>
                <c:pt idx="6">
                  <c:v>8669400</c:v>
                </c:pt>
                <c:pt idx="7">
                  <c:v>9614300</c:v>
                </c:pt>
                <c:pt idx="8">
                  <c:v>8945900</c:v>
                </c:pt>
                <c:pt idx="9">
                  <c:v>8889100</c:v>
                </c:pt>
                <c:pt idx="10">
                  <c:v>9969900</c:v>
                </c:pt>
                <c:pt idx="11">
                  <c:v>9107300</c:v>
                </c:pt>
                <c:pt idx="12">
                  <c:v>8429300</c:v>
                </c:pt>
                <c:pt idx="13">
                  <c:v>10603300</c:v>
                </c:pt>
                <c:pt idx="14">
                  <c:v>12707400</c:v>
                </c:pt>
                <c:pt idx="15">
                  <c:v>9240000</c:v>
                </c:pt>
                <c:pt idx="16">
                  <c:v>9163700</c:v>
                </c:pt>
                <c:pt idx="17">
                  <c:v>8801200</c:v>
                </c:pt>
                <c:pt idx="18">
                  <c:v>7198000</c:v>
                </c:pt>
                <c:pt idx="19">
                  <c:v>8883800</c:v>
                </c:pt>
                <c:pt idx="20">
                  <c:v>8275800</c:v>
                </c:pt>
                <c:pt idx="21">
                  <c:v>3741500</c:v>
                </c:pt>
              </c:numCache>
            </c:numRef>
          </c:val>
          <c:smooth val="1"/>
          <c:extLst>
            <c:ext xmlns:c16="http://schemas.microsoft.com/office/drawing/2014/chart" uri="{C3380CC4-5D6E-409C-BE32-E72D297353CC}">
              <c16:uniqueId val="{00000006-C27D-4600-9E3D-E89283B0EBE0}"/>
            </c:ext>
          </c:extLst>
        </c:ser>
        <c:dLbls>
          <c:showLegendKey val="0"/>
          <c:showVal val="0"/>
          <c:showCatName val="0"/>
          <c:showSerName val="0"/>
          <c:showPercent val="0"/>
          <c:showBubbleSize val="0"/>
        </c:dLbls>
        <c:marker val="1"/>
        <c:smooth val="0"/>
        <c:axId val="1704485711"/>
        <c:axId val="1704481967"/>
      </c:lineChart>
      <c:catAx>
        <c:axId val="1704485711"/>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04481967"/>
        <c:crosses val="autoZero"/>
        <c:auto val="1"/>
        <c:lblAlgn val="ctr"/>
        <c:lblOffset val="100"/>
        <c:noMultiLvlLbl val="0"/>
      </c:catAx>
      <c:valAx>
        <c:axId val="17044819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04485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(VBA).xlsm]Sales by Employee!PivotTable13</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E2973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Employee'!$B$3:$B$4</c:f>
              <c:strCache>
                <c:ptCount val="1"/>
                <c:pt idx="0">
                  <c:v>Annie Chaudhary</c:v>
                </c:pt>
              </c:strCache>
            </c:strRef>
          </c:tx>
          <c:spPr>
            <a:solidFill>
              <a:schemeClr val="accent2">
                <a:lumMod val="40000"/>
                <a:lumOff val="60000"/>
              </a:schemeClr>
            </a:solidFill>
            <a:ln>
              <a:noFill/>
            </a:ln>
            <a:effectLst/>
          </c:spPr>
          <c:invertIfNegative val="0"/>
          <c:cat>
            <c:strRef>
              <c:f>'Sales by Employee'!$A$5:$A$7</c:f>
              <c:strCache>
                <c:ptCount val="2"/>
                <c:pt idx="0">
                  <c:v>2018</c:v>
                </c:pt>
                <c:pt idx="1">
                  <c:v>2019</c:v>
                </c:pt>
              </c:strCache>
            </c:strRef>
          </c:cat>
          <c:val>
            <c:numRef>
              <c:f>'Sales by Employee'!$B$5:$B$7</c:f>
              <c:numCache>
                <c:formatCode>General</c:formatCode>
                <c:ptCount val="2"/>
                <c:pt idx="0">
                  <c:v>14161400</c:v>
                </c:pt>
                <c:pt idx="1">
                  <c:v>13476400</c:v>
                </c:pt>
              </c:numCache>
            </c:numRef>
          </c:val>
          <c:extLst>
            <c:ext xmlns:c16="http://schemas.microsoft.com/office/drawing/2014/chart" uri="{C3380CC4-5D6E-409C-BE32-E72D297353CC}">
              <c16:uniqueId val="{00000000-4BA8-43E4-91BE-FF020FB1D1DB}"/>
            </c:ext>
          </c:extLst>
        </c:ser>
        <c:ser>
          <c:idx val="1"/>
          <c:order val="1"/>
          <c:tx>
            <c:strRef>
              <c:f>'Sales by Employee'!$C$3:$C$4</c:f>
              <c:strCache>
                <c:ptCount val="1"/>
                <c:pt idx="0">
                  <c:v>Arjun Reddy</c:v>
                </c:pt>
              </c:strCache>
            </c:strRef>
          </c:tx>
          <c:spPr>
            <a:solidFill>
              <a:srgbClr val="E2973C"/>
            </a:solidFill>
            <a:ln>
              <a:noFill/>
            </a:ln>
            <a:effectLst/>
          </c:spPr>
          <c:invertIfNegative val="0"/>
          <c:cat>
            <c:strRef>
              <c:f>'Sales by Employee'!$A$5:$A$7</c:f>
              <c:strCache>
                <c:ptCount val="2"/>
                <c:pt idx="0">
                  <c:v>2018</c:v>
                </c:pt>
                <c:pt idx="1">
                  <c:v>2019</c:v>
                </c:pt>
              </c:strCache>
            </c:strRef>
          </c:cat>
          <c:val>
            <c:numRef>
              <c:f>'Sales by Employee'!$C$5:$C$7</c:f>
              <c:numCache>
                <c:formatCode>General</c:formatCode>
                <c:ptCount val="2"/>
                <c:pt idx="0">
                  <c:v>12634400</c:v>
                </c:pt>
                <c:pt idx="1">
                  <c:v>10544400</c:v>
                </c:pt>
              </c:numCache>
            </c:numRef>
          </c:val>
          <c:extLst>
            <c:ext xmlns:c16="http://schemas.microsoft.com/office/drawing/2014/chart" uri="{C3380CC4-5D6E-409C-BE32-E72D297353CC}">
              <c16:uniqueId val="{00000000-8D21-4CAC-B078-F3953E720E4E}"/>
            </c:ext>
          </c:extLst>
        </c:ser>
        <c:ser>
          <c:idx val="2"/>
          <c:order val="2"/>
          <c:tx>
            <c:strRef>
              <c:f>'Sales by Employee'!$D$3:$D$4</c:f>
              <c:strCache>
                <c:ptCount val="1"/>
                <c:pt idx="0">
                  <c:v>Avinash Thakur</c:v>
                </c:pt>
              </c:strCache>
            </c:strRef>
          </c:tx>
          <c:spPr>
            <a:solidFill>
              <a:schemeClr val="accent2">
                <a:lumMod val="75000"/>
              </a:schemeClr>
            </a:solidFill>
            <a:ln>
              <a:noFill/>
            </a:ln>
            <a:effectLst/>
          </c:spPr>
          <c:invertIfNegative val="0"/>
          <c:cat>
            <c:strRef>
              <c:f>'Sales by Employee'!$A$5:$A$7</c:f>
              <c:strCache>
                <c:ptCount val="2"/>
                <c:pt idx="0">
                  <c:v>2018</c:v>
                </c:pt>
                <c:pt idx="1">
                  <c:v>2019</c:v>
                </c:pt>
              </c:strCache>
            </c:strRef>
          </c:cat>
          <c:val>
            <c:numRef>
              <c:f>'Sales by Employee'!$D$5:$D$7</c:f>
              <c:numCache>
                <c:formatCode>General</c:formatCode>
                <c:ptCount val="2"/>
                <c:pt idx="0">
                  <c:v>15511100</c:v>
                </c:pt>
                <c:pt idx="1">
                  <c:v>9667900</c:v>
                </c:pt>
              </c:numCache>
            </c:numRef>
          </c:val>
          <c:extLst>
            <c:ext xmlns:c16="http://schemas.microsoft.com/office/drawing/2014/chart" uri="{C3380CC4-5D6E-409C-BE32-E72D297353CC}">
              <c16:uniqueId val="{00000001-FBE2-4886-B023-991C5D2D3E43}"/>
            </c:ext>
          </c:extLst>
        </c:ser>
        <c:ser>
          <c:idx val="3"/>
          <c:order val="3"/>
          <c:tx>
            <c:strRef>
              <c:f>'Sales by Employee'!$E$3:$E$4</c:f>
              <c:strCache>
                <c:ptCount val="1"/>
                <c:pt idx="0">
                  <c:v>Harsh Makhija</c:v>
                </c:pt>
              </c:strCache>
            </c:strRef>
          </c:tx>
          <c:spPr>
            <a:solidFill>
              <a:schemeClr val="accent2">
                <a:lumMod val="50000"/>
              </a:schemeClr>
            </a:solidFill>
            <a:ln>
              <a:noFill/>
            </a:ln>
            <a:effectLst/>
          </c:spPr>
          <c:invertIfNegative val="0"/>
          <c:cat>
            <c:strRef>
              <c:f>'Sales by Employee'!$A$5:$A$7</c:f>
              <c:strCache>
                <c:ptCount val="2"/>
                <c:pt idx="0">
                  <c:v>2018</c:v>
                </c:pt>
                <c:pt idx="1">
                  <c:v>2019</c:v>
                </c:pt>
              </c:strCache>
            </c:strRef>
          </c:cat>
          <c:val>
            <c:numRef>
              <c:f>'Sales by Employee'!$E$5:$E$7</c:f>
              <c:numCache>
                <c:formatCode>General</c:formatCode>
                <c:ptCount val="2"/>
                <c:pt idx="0">
                  <c:v>17683800</c:v>
                </c:pt>
                <c:pt idx="1">
                  <c:v>9949300</c:v>
                </c:pt>
              </c:numCache>
            </c:numRef>
          </c:val>
          <c:extLst>
            <c:ext xmlns:c16="http://schemas.microsoft.com/office/drawing/2014/chart" uri="{C3380CC4-5D6E-409C-BE32-E72D297353CC}">
              <c16:uniqueId val="{00000002-FBE2-4886-B023-991C5D2D3E43}"/>
            </c:ext>
          </c:extLst>
        </c:ser>
        <c:ser>
          <c:idx val="4"/>
          <c:order val="4"/>
          <c:tx>
            <c:strRef>
              <c:f>'Sales by Employee'!$F$3:$F$4</c:f>
              <c:strCache>
                <c:ptCount val="1"/>
                <c:pt idx="0">
                  <c:v>Kunal Rai</c:v>
                </c:pt>
              </c:strCache>
            </c:strRef>
          </c:tx>
          <c:spPr>
            <a:solidFill>
              <a:srgbClr val="FFFF00"/>
            </a:solidFill>
            <a:ln>
              <a:noFill/>
            </a:ln>
            <a:effectLst/>
          </c:spPr>
          <c:invertIfNegative val="0"/>
          <c:cat>
            <c:strRef>
              <c:f>'Sales by Employee'!$A$5:$A$7</c:f>
              <c:strCache>
                <c:ptCount val="2"/>
                <c:pt idx="0">
                  <c:v>2018</c:v>
                </c:pt>
                <c:pt idx="1">
                  <c:v>2019</c:v>
                </c:pt>
              </c:strCache>
            </c:strRef>
          </c:cat>
          <c:val>
            <c:numRef>
              <c:f>'Sales by Employee'!$F$5:$F$7</c:f>
              <c:numCache>
                <c:formatCode>General</c:formatCode>
                <c:ptCount val="2"/>
                <c:pt idx="0">
                  <c:v>13843700</c:v>
                </c:pt>
                <c:pt idx="1">
                  <c:v>10524400</c:v>
                </c:pt>
              </c:numCache>
            </c:numRef>
          </c:val>
          <c:extLst>
            <c:ext xmlns:c16="http://schemas.microsoft.com/office/drawing/2014/chart" uri="{C3380CC4-5D6E-409C-BE32-E72D297353CC}">
              <c16:uniqueId val="{00000003-FBE2-4886-B023-991C5D2D3E43}"/>
            </c:ext>
          </c:extLst>
        </c:ser>
        <c:ser>
          <c:idx val="5"/>
          <c:order val="5"/>
          <c:tx>
            <c:strRef>
              <c:f>'Sales by Employee'!$G$3:$G$4</c:f>
              <c:strCache>
                <c:ptCount val="1"/>
                <c:pt idx="0">
                  <c:v>Ravi Kumar</c:v>
                </c:pt>
              </c:strCache>
            </c:strRef>
          </c:tx>
          <c:spPr>
            <a:solidFill>
              <a:srgbClr val="FFC000"/>
            </a:solidFill>
            <a:ln>
              <a:noFill/>
            </a:ln>
            <a:effectLst/>
          </c:spPr>
          <c:invertIfNegative val="0"/>
          <c:cat>
            <c:strRef>
              <c:f>'Sales by Employee'!$A$5:$A$7</c:f>
              <c:strCache>
                <c:ptCount val="2"/>
                <c:pt idx="0">
                  <c:v>2018</c:v>
                </c:pt>
                <c:pt idx="1">
                  <c:v>2019</c:v>
                </c:pt>
              </c:strCache>
            </c:strRef>
          </c:cat>
          <c:val>
            <c:numRef>
              <c:f>'Sales by Employee'!$G$5:$G$7</c:f>
              <c:numCache>
                <c:formatCode>General</c:formatCode>
                <c:ptCount val="2"/>
                <c:pt idx="0">
                  <c:v>13545500</c:v>
                </c:pt>
                <c:pt idx="1">
                  <c:v>12030200</c:v>
                </c:pt>
              </c:numCache>
            </c:numRef>
          </c:val>
          <c:extLst>
            <c:ext xmlns:c16="http://schemas.microsoft.com/office/drawing/2014/chart" uri="{C3380CC4-5D6E-409C-BE32-E72D297353CC}">
              <c16:uniqueId val="{00000004-FBE2-4886-B023-991C5D2D3E43}"/>
            </c:ext>
          </c:extLst>
        </c:ser>
        <c:ser>
          <c:idx val="6"/>
          <c:order val="6"/>
          <c:tx>
            <c:strRef>
              <c:f>'Sales by Employee'!$H$3:$H$4</c:f>
              <c:strCache>
                <c:ptCount val="1"/>
                <c:pt idx="0">
                  <c:v>Varun Saran</c:v>
                </c:pt>
              </c:strCache>
            </c:strRef>
          </c:tx>
          <c:spPr>
            <a:solidFill>
              <a:schemeClr val="accent4">
                <a:lumMod val="75000"/>
              </a:schemeClr>
            </a:solidFill>
            <a:ln>
              <a:noFill/>
            </a:ln>
            <a:effectLst/>
          </c:spPr>
          <c:invertIfNegative val="0"/>
          <c:cat>
            <c:strRef>
              <c:f>'Sales by Employee'!$A$5:$A$7</c:f>
              <c:strCache>
                <c:ptCount val="2"/>
                <c:pt idx="0">
                  <c:v>2018</c:v>
                </c:pt>
                <c:pt idx="1">
                  <c:v>2019</c:v>
                </c:pt>
              </c:strCache>
            </c:strRef>
          </c:cat>
          <c:val>
            <c:numRef>
              <c:f>'Sales by Employee'!$H$5:$H$7</c:f>
              <c:numCache>
                <c:formatCode>General</c:formatCode>
                <c:ptCount val="2"/>
                <c:pt idx="0">
                  <c:v>15720700</c:v>
                </c:pt>
                <c:pt idx="1">
                  <c:v>9446500</c:v>
                </c:pt>
              </c:numCache>
            </c:numRef>
          </c:val>
          <c:extLst>
            <c:ext xmlns:c16="http://schemas.microsoft.com/office/drawing/2014/chart" uri="{C3380CC4-5D6E-409C-BE32-E72D297353CC}">
              <c16:uniqueId val="{00000005-FBE2-4886-B023-991C5D2D3E43}"/>
            </c:ext>
          </c:extLst>
        </c:ser>
        <c:ser>
          <c:idx val="7"/>
          <c:order val="7"/>
          <c:tx>
            <c:strRef>
              <c:f>'Sales by Employee'!$I$3:$I$4</c:f>
              <c:strCache>
                <c:ptCount val="1"/>
                <c:pt idx="0">
                  <c:v>Vikram Rathore</c:v>
                </c:pt>
              </c:strCache>
            </c:strRef>
          </c:tx>
          <c:spPr>
            <a:solidFill>
              <a:schemeClr val="accent4">
                <a:lumMod val="50000"/>
              </a:schemeClr>
            </a:solidFill>
            <a:ln>
              <a:noFill/>
            </a:ln>
            <a:effectLst/>
          </c:spPr>
          <c:invertIfNegative val="0"/>
          <c:cat>
            <c:strRef>
              <c:f>'Sales by Employee'!$A$5:$A$7</c:f>
              <c:strCache>
                <c:ptCount val="2"/>
                <c:pt idx="0">
                  <c:v>2018</c:v>
                </c:pt>
                <c:pt idx="1">
                  <c:v>2019</c:v>
                </c:pt>
              </c:strCache>
            </c:strRef>
          </c:cat>
          <c:val>
            <c:numRef>
              <c:f>'Sales by Employee'!$I$5:$I$7</c:f>
              <c:numCache>
                <c:formatCode>General</c:formatCode>
                <c:ptCount val="2"/>
                <c:pt idx="0">
                  <c:v>12714500</c:v>
                </c:pt>
                <c:pt idx="1">
                  <c:v>11404900</c:v>
                </c:pt>
              </c:numCache>
            </c:numRef>
          </c:val>
          <c:extLst>
            <c:ext xmlns:c16="http://schemas.microsoft.com/office/drawing/2014/chart" uri="{C3380CC4-5D6E-409C-BE32-E72D297353CC}">
              <c16:uniqueId val="{00000006-FBE2-4886-B023-991C5D2D3E43}"/>
            </c:ext>
          </c:extLst>
        </c:ser>
        <c:dLbls>
          <c:showLegendKey val="0"/>
          <c:showVal val="0"/>
          <c:showCatName val="0"/>
          <c:showSerName val="0"/>
          <c:showPercent val="0"/>
          <c:showBubbleSize val="0"/>
        </c:dLbls>
        <c:gapWidth val="219"/>
        <c:overlap val="-27"/>
        <c:axId val="1707343535"/>
        <c:axId val="1707348111"/>
      </c:barChart>
      <c:catAx>
        <c:axId val="170734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1707348111"/>
        <c:crosses val="autoZero"/>
        <c:auto val="1"/>
        <c:lblAlgn val="ctr"/>
        <c:lblOffset val="100"/>
        <c:noMultiLvlLbl val="0"/>
      </c:catAx>
      <c:valAx>
        <c:axId val="1707348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500" b="0" i="0" u="none" strike="noStrike" kern="1200" baseline="0">
                <a:solidFill>
                  <a:schemeClr val="bg1"/>
                </a:solidFill>
                <a:latin typeface="+mn-lt"/>
                <a:ea typeface="+mn-ea"/>
                <a:cs typeface="+mn-cs"/>
              </a:defRPr>
            </a:pPr>
            <a:endParaRPr lang="en-US"/>
          </a:p>
        </c:txPr>
        <c:crossAx val="1707343535"/>
        <c:crosses val="autoZero"/>
        <c:crossBetween val="between"/>
      </c:valAx>
      <c:spPr>
        <a:noFill/>
        <a:ln>
          <a:noFill/>
        </a:ln>
        <a:effectLst/>
      </c:spPr>
    </c:plotArea>
    <c:legend>
      <c:legendPos val="r"/>
      <c:layout>
        <c:manualLayout>
          <c:xMode val="edge"/>
          <c:yMode val="edge"/>
          <c:x val="0.6661589118451493"/>
          <c:y val="9.0131752170826585E-2"/>
          <c:w val="0.31340078312114167"/>
          <c:h val="0.67022994015910775"/>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(VBA).xlsm]Item Share (Revenue)!PivotTable14</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6">
              <a:lumMod val="75000"/>
            </a:schemeClr>
          </a:solidFill>
          <a:ln w="19050">
            <a:noFill/>
          </a:ln>
          <a:effectLst/>
        </c:spPr>
      </c:pivotFmt>
      <c:pivotFmt>
        <c:idx val="9"/>
        <c:spPr>
          <a:solidFill>
            <a:schemeClr val="accent6">
              <a:lumMod val="50000"/>
            </a:schemeClr>
          </a:solidFill>
          <a:ln w="19050">
            <a:noFill/>
          </a:ln>
          <a:effectLst/>
        </c:spPr>
      </c:pivotFmt>
      <c:pivotFmt>
        <c:idx val="10"/>
        <c:spPr>
          <a:solidFill>
            <a:schemeClr val="accent6">
              <a:lumMod val="40000"/>
              <a:lumOff val="60000"/>
            </a:schemeClr>
          </a:solidFill>
          <a:ln w="19050">
            <a:noFill/>
          </a:ln>
          <a:effectLst/>
        </c:spPr>
      </c:pivotFmt>
      <c:pivotFmt>
        <c:idx val="11"/>
        <c:spPr>
          <a:solidFill>
            <a:srgbClr val="92D050"/>
          </a:solidFill>
          <a:ln w="19050">
            <a:noFill/>
          </a:ln>
          <a:effectLst/>
        </c:spPr>
      </c:pivotFmt>
      <c:pivotFmt>
        <c:idx val="12"/>
        <c:spPr>
          <a:solidFill>
            <a:srgbClr val="00B050"/>
          </a:solidFill>
          <a:ln w="19050">
            <a:noFill/>
          </a:ln>
          <a:effectLst/>
        </c:spPr>
      </c:pivotFmt>
    </c:pivotFmts>
    <c:plotArea>
      <c:layout>
        <c:manualLayout>
          <c:layoutTarget val="inner"/>
          <c:xMode val="edge"/>
          <c:yMode val="edge"/>
          <c:x val="6.712333511106186E-2"/>
          <c:y val="4.3230952000027231E-2"/>
          <c:w val="0.87748125881649452"/>
          <c:h val="0.80860091704082426"/>
        </c:manualLayout>
      </c:layout>
      <c:doughnutChart>
        <c:varyColors val="1"/>
        <c:ser>
          <c:idx val="0"/>
          <c:order val="0"/>
          <c:tx>
            <c:strRef>
              <c:f>'Item Share (Revenue)'!$B$3</c:f>
              <c:strCache>
                <c:ptCount val="1"/>
                <c:pt idx="0">
                  <c:v>Total</c:v>
                </c:pt>
              </c:strCache>
            </c:strRef>
          </c:tx>
          <c:spPr>
            <a:ln>
              <a:noFill/>
            </a:ln>
          </c:spPr>
          <c:dPt>
            <c:idx val="0"/>
            <c:bubble3D val="0"/>
            <c:spPr>
              <a:solidFill>
                <a:schemeClr val="accent6">
                  <a:lumMod val="75000"/>
                </a:schemeClr>
              </a:solidFill>
              <a:ln w="19050">
                <a:noFill/>
              </a:ln>
              <a:effectLst/>
            </c:spPr>
            <c:extLst>
              <c:ext xmlns:c16="http://schemas.microsoft.com/office/drawing/2014/chart" uri="{C3380CC4-5D6E-409C-BE32-E72D297353CC}">
                <c16:uniqueId val="{00000001-3D08-4445-AB2B-EC1833BE1D61}"/>
              </c:ext>
            </c:extLst>
          </c:dPt>
          <c:dPt>
            <c:idx val="1"/>
            <c:bubble3D val="0"/>
            <c:spPr>
              <a:solidFill>
                <a:schemeClr val="accent6">
                  <a:lumMod val="50000"/>
                </a:schemeClr>
              </a:solidFill>
              <a:ln w="19050">
                <a:noFill/>
              </a:ln>
              <a:effectLst/>
            </c:spPr>
            <c:extLst>
              <c:ext xmlns:c16="http://schemas.microsoft.com/office/drawing/2014/chart" uri="{C3380CC4-5D6E-409C-BE32-E72D297353CC}">
                <c16:uniqueId val="{00000003-3D08-4445-AB2B-EC1833BE1D6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3D08-4445-AB2B-EC1833BE1D61}"/>
              </c:ext>
            </c:extLst>
          </c:dPt>
          <c:dPt>
            <c:idx val="3"/>
            <c:bubble3D val="0"/>
            <c:spPr>
              <a:solidFill>
                <a:srgbClr val="92D050"/>
              </a:solidFill>
              <a:ln w="19050">
                <a:noFill/>
              </a:ln>
              <a:effectLst/>
            </c:spPr>
            <c:extLst>
              <c:ext xmlns:c16="http://schemas.microsoft.com/office/drawing/2014/chart" uri="{C3380CC4-5D6E-409C-BE32-E72D297353CC}">
                <c16:uniqueId val="{00000007-3D08-4445-AB2B-EC1833BE1D61}"/>
              </c:ext>
            </c:extLst>
          </c:dPt>
          <c:dPt>
            <c:idx val="4"/>
            <c:bubble3D val="0"/>
            <c:spPr>
              <a:solidFill>
                <a:srgbClr val="00B050"/>
              </a:solidFill>
              <a:ln w="19050">
                <a:noFill/>
              </a:ln>
              <a:effectLst/>
            </c:spPr>
            <c:extLst>
              <c:ext xmlns:c16="http://schemas.microsoft.com/office/drawing/2014/chart" uri="{C3380CC4-5D6E-409C-BE32-E72D297353CC}">
                <c16:uniqueId val="{00000009-3D08-4445-AB2B-EC1833BE1D6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'Item Share (Revenue)'!$A$4:$A$9</c:f>
              <c:strCache>
                <c:ptCount val="5"/>
                <c:pt idx="0">
                  <c:v>Desktop</c:v>
                </c:pt>
                <c:pt idx="1">
                  <c:v>Headphone</c:v>
                </c:pt>
                <c:pt idx="2">
                  <c:v>Laptop 1</c:v>
                </c:pt>
                <c:pt idx="3">
                  <c:v>Laptop 2</c:v>
                </c:pt>
                <c:pt idx="4">
                  <c:v>Tablet</c:v>
                </c:pt>
              </c:strCache>
            </c:strRef>
          </c:cat>
          <c:val>
            <c:numRef>
              <c:f>'Item Share (Revenue)'!$B$4:$B$9</c:f>
              <c:numCache>
                <c:formatCode>General</c:formatCode>
                <c:ptCount val="5"/>
                <c:pt idx="0">
                  <c:v>36576200</c:v>
                </c:pt>
                <c:pt idx="1">
                  <c:v>12489000</c:v>
                </c:pt>
                <c:pt idx="2">
                  <c:v>73695300</c:v>
                </c:pt>
                <c:pt idx="3">
                  <c:v>49968100</c:v>
                </c:pt>
                <c:pt idx="4">
                  <c:v>30130500</c:v>
                </c:pt>
              </c:numCache>
            </c:numRef>
          </c:val>
          <c:extLst>
            <c:ext xmlns:c16="http://schemas.microsoft.com/office/drawing/2014/chart" uri="{C3380CC4-5D6E-409C-BE32-E72D297353CC}">
              <c16:uniqueId val="{0000000A-3D08-4445-AB2B-EC1833BE1D61}"/>
            </c:ext>
          </c:extLst>
        </c:ser>
        <c:dLbls>
          <c:showLegendKey val="0"/>
          <c:showVal val="0"/>
          <c:showCatName val="0"/>
          <c:showSerName val="0"/>
          <c:showPercent val="0"/>
          <c:showBubbleSize val="0"/>
          <c:showLeaderLines val="1"/>
        </c:dLbls>
        <c:firstSliceAng val="0"/>
        <c:holeSize val="40"/>
      </c:doughnutChart>
      <c:spPr>
        <a:noFill/>
        <a:ln>
          <a:noFill/>
        </a:ln>
        <a:effectLst/>
      </c:spPr>
    </c:plotArea>
    <c:legend>
      <c:legendPos val="b"/>
      <c:layout>
        <c:manualLayout>
          <c:xMode val="edge"/>
          <c:yMode val="edge"/>
          <c:x val="4.5954974984820048E-2"/>
          <c:y val="0.86962974561818562"/>
          <c:w val="0.90222539288954762"/>
          <c:h val="0.10335090938179739"/>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(VBA).xlsm]Customer Revenue!PivotTable15</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1">
                  <a:lumMod val="60000"/>
                  <a:lumOff val="40000"/>
                </a:schemeClr>
              </a:gs>
              <a:gs pos="62000">
                <a:srgbClr val="00B050"/>
              </a:gs>
              <a:gs pos="78000">
                <a:schemeClr val="accent6">
                  <a:lumMod val="75000"/>
                </a:schemeClr>
              </a:gs>
              <a:gs pos="99000">
                <a:schemeClr val="accent6">
                  <a:lumMod val="5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7664332140169924"/>
          <c:y val="2.656877350400657E-2"/>
          <c:w val="0.52201864987282587"/>
          <c:h val="0.95958433176129554"/>
        </c:manualLayout>
      </c:layout>
      <c:barChart>
        <c:barDir val="bar"/>
        <c:grouping val="clustered"/>
        <c:varyColors val="0"/>
        <c:ser>
          <c:idx val="0"/>
          <c:order val="0"/>
          <c:tx>
            <c:strRef>
              <c:f>'Customer Revenue'!$B$3</c:f>
              <c:strCache>
                <c:ptCount val="1"/>
                <c:pt idx="0">
                  <c:v>Total</c:v>
                </c:pt>
              </c:strCache>
            </c:strRef>
          </c:tx>
          <c:spPr>
            <a:gradFill>
              <a:gsLst>
                <a:gs pos="0">
                  <a:schemeClr val="accent1">
                    <a:lumMod val="60000"/>
                    <a:lumOff val="40000"/>
                  </a:schemeClr>
                </a:gs>
                <a:gs pos="62000">
                  <a:srgbClr val="00B050"/>
                </a:gs>
                <a:gs pos="78000">
                  <a:schemeClr val="accent6">
                    <a:lumMod val="75000"/>
                  </a:schemeClr>
                </a:gs>
                <a:gs pos="99000">
                  <a:schemeClr val="accent6">
                    <a:lumMod val="50000"/>
                  </a:schemeClr>
                </a:gs>
              </a:gsLst>
              <a:lin ang="5400000" scaled="1"/>
            </a:gradFill>
            <a:ln>
              <a:noFill/>
            </a:ln>
            <a:effectLst/>
          </c:spPr>
          <c:invertIfNegative val="0"/>
          <c:cat>
            <c:strRef>
              <c:f>'Customer Revenue'!$A$4:$A$24</c:f>
              <c:strCache>
                <c:ptCount val="20"/>
                <c:pt idx="0">
                  <c:v>Amul</c:v>
                </c:pt>
                <c:pt idx="1">
                  <c:v>Bata India Limited</c:v>
                </c:pt>
                <c:pt idx="2">
                  <c:v>Cadbury</c:v>
                </c:pt>
                <c:pt idx="3">
                  <c:v>Dixcy India Ltd</c:v>
                </c:pt>
                <c:pt idx="4">
                  <c:v>Dollar Industries Ltd</c:v>
                </c:pt>
                <c:pt idx="5">
                  <c:v>EMAMI</c:v>
                </c:pt>
                <c:pt idx="6">
                  <c:v>Flipkart India Limited</c:v>
                </c:pt>
                <c:pt idx="7">
                  <c:v>Great Eastern Trading Co</c:v>
                </c:pt>
                <c:pt idx="8">
                  <c:v>Hindustan Unilever Limited</c:v>
                </c:pt>
                <c:pt idx="9">
                  <c:v>ITC</c:v>
                </c:pt>
                <c:pt idx="10">
                  <c:v>Khadim India Limited</c:v>
                </c:pt>
                <c:pt idx="11">
                  <c:v>Lux India Ltd</c:v>
                </c:pt>
                <c:pt idx="12">
                  <c:v>Malcom India Ltd</c:v>
                </c:pt>
                <c:pt idx="13">
                  <c:v>Mirza International</c:v>
                </c:pt>
                <c:pt idx="14">
                  <c:v>Nestle</c:v>
                </c:pt>
                <c:pt idx="15">
                  <c:v>PEPSICO</c:v>
                </c:pt>
                <c:pt idx="16">
                  <c:v>Relaxo Footwear</c:v>
                </c:pt>
                <c:pt idx="17">
                  <c:v>Reliance Footprint</c:v>
                </c:pt>
                <c:pt idx="18">
                  <c:v>Rupa Industries Ltd</c:v>
                </c:pt>
                <c:pt idx="19">
                  <c:v>Suraksha Diagonistics</c:v>
                </c:pt>
              </c:strCache>
            </c:strRef>
          </c:cat>
          <c:val>
            <c:numRef>
              <c:f>'Customer Revenue'!$B$4:$B$24</c:f>
              <c:numCache>
                <c:formatCode>General</c:formatCode>
                <c:ptCount val="20"/>
                <c:pt idx="0">
                  <c:v>11564100</c:v>
                </c:pt>
                <c:pt idx="1">
                  <c:v>12282100</c:v>
                </c:pt>
                <c:pt idx="2">
                  <c:v>12208500</c:v>
                </c:pt>
                <c:pt idx="3">
                  <c:v>8627200</c:v>
                </c:pt>
                <c:pt idx="4">
                  <c:v>11199100</c:v>
                </c:pt>
                <c:pt idx="5">
                  <c:v>10593300</c:v>
                </c:pt>
                <c:pt idx="6">
                  <c:v>9387600</c:v>
                </c:pt>
                <c:pt idx="7">
                  <c:v>9839700</c:v>
                </c:pt>
                <c:pt idx="8">
                  <c:v>11444700</c:v>
                </c:pt>
                <c:pt idx="9">
                  <c:v>8381800</c:v>
                </c:pt>
                <c:pt idx="10">
                  <c:v>10623000</c:v>
                </c:pt>
                <c:pt idx="11">
                  <c:v>9280600</c:v>
                </c:pt>
                <c:pt idx="12">
                  <c:v>10610700</c:v>
                </c:pt>
                <c:pt idx="13">
                  <c:v>9858000</c:v>
                </c:pt>
                <c:pt idx="14">
                  <c:v>8921400</c:v>
                </c:pt>
                <c:pt idx="15">
                  <c:v>9443000</c:v>
                </c:pt>
                <c:pt idx="16">
                  <c:v>8369100</c:v>
                </c:pt>
                <c:pt idx="17">
                  <c:v>9310400</c:v>
                </c:pt>
                <c:pt idx="18">
                  <c:v>10823900</c:v>
                </c:pt>
                <c:pt idx="19">
                  <c:v>10090900</c:v>
                </c:pt>
              </c:numCache>
            </c:numRef>
          </c:val>
          <c:extLst>
            <c:ext xmlns:c16="http://schemas.microsoft.com/office/drawing/2014/chart" uri="{C3380CC4-5D6E-409C-BE32-E72D297353CC}">
              <c16:uniqueId val="{00000000-943C-4F45-A3AA-F0BF6ED747D9}"/>
            </c:ext>
          </c:extLst>
        </c:ser>
        <c:dLbls>
          <c:showLegendKey val="0"/>
          <c:showVal val="0"/>
          <c:showCatName val="0"/>
          <c:showSerName val="0"/>
          <c:showPercent val="0"/>
          <c:showBubbleSize val="0"/>
        </c:dLbls>
        <c:gapWidth val="84"/>
        <c:axId val="1707330223"/>
        <c:axId val="1707349775"/>
      </c:barChart>
      <c:catAx>
        <c:axId val="1707330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1707349775"/>
        <c:crosses val="autoZero"/>
        <c:auto val="1"/>
        <c:lblAlgn val="ctr"/>
        <c:lblOffset val="100"/>
        <c:noMultiLvlLbl val="0"/>
      </c:catAx>
      <c:valAx>
        <c:axId val="1707349775"/>
        <c:scaling>
          <c:orientation val="minMax"/>
          <c:max val="13000000"/>
          <c:min val="0"/>
        </c:scaling>
        <c:delete val="1"/>
        <c:axPos val="b"/>
        <c:numFmt formatCode="General" sourceLinked="1"/>
        <c:majorTickMark val="none"/>
        <c:minorTickMark val="none"/>
        <c:tickLblPos val="nextTo"/>
        <c:crossAx val="1707330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(VBA).xlsm]Units Trend!PivotTable2</c:name>
    <c:fmtId val="20"/>
  </c:pivotSource>
  <c:chart>
    <c:autoTitleDeleted val="1"/>
    <c:pivotFmts>
      <c:pivotFmt>
        <c:idx val="0"/>
        <c:spPr>
          <a:solidFill>
            <a:schemeClr val="accent1"/>
          </a:solidFill>
          <a:ln w="28575" cap="rnd">
            <a:solidFill>
              <a:schemeClr val="accent1"/>
            </a:solidFill>
            <a:round/>
          </a:ln>
          <a:effectLst/>
        </c:spPr>
        <c:marker>
          <c:symbol val="circle"/>
          <c:size val="5"/>
          <c:spPr>
            <a:gradFill flip="none" rotWithShape="1">
              <a:gsLst>
                <a:gs pos="0">
                  <a:schemeClr val="accent1">
                    <a:lumMod val="20000"/>
                    <a:lumOff val="80000"/>
                  </a:schemeClr>
                </a:gs>
                <a:gs pos="49000">
                  <a:schemeClr val="accent1">
                    <a:lumMod val="60000"/>
                    <a:lumOff val="40000"/>
                  </a:schemeClr>
                </a:gs>
                <a:gs pos="99000">
                  <a:schemeClr val="accent1">
                    <a:lumMod val="20000"/>
                    <a:lumOff val="80000"/>
                  </a:schemeClr>
                </a:gs>
              </a:gsLst>
              <a:path path="circle">
                <a:fillToRect l="100000" t="100000"/>
              </a:path>
              <a:tileRect r="-100000" b="-100000"/>
            </a:gradFill>
            <a:ln w="9525">
              <a:solidFill>
                <a:schemeClr val="accent1"/>
              </a:solidFill>
            </a:ln>
            <a:effectLst/>
            <a:scene3d>
              <a:camera prst="orthographicFront"/>
              <a:lightRig rig="threePt" dir="t"/>
            </a:scene3d>
            <a:sp3d>
              <a:bevelT w="190500" h="381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gradFill flip="none" rotWithShape="1">
              <a:gsLst>
                <a:gs pos="0">
                  <a:schemeClr val="accent1">
                    <a:lumMod val="20000"/>
                    <a:lumOff val="80000"/>
                  </a:schemeClr>
                </a:gs>
                <a:gs pos="49000">
                  <a:schemeClr val="accent1">
                    <a:lumMod val="60000"/>
                    <a:lumOff val="40000"/>
                  </a:schemeClr>
                </a:gs>
                <a:gs pos="99000">
                  <a:schemeClr val="accent1">
                    <a:lumMod val="20000"/>
                    <a:lumOff val="80000"/>
                  </a:schemeClr>
                </a:gs>
              </a:gsLst>
              <a:path path="circle">
                <a:fillToRect l="100000" t="100000"/>
              </a:path>
              <a:tileRect r="-100000" b="-100000"/>
            </a:gradFill>
            <a:ln w="9525">
              <a:solidFill>
                <a:schemeClr val="accent1"/>
              </a:solidFill>
            </a:ln>
            <a:effectLst/>
            <a:scene3d>
              <a:camera prst="orthographicFront"/>
              <a:lightRig rig="threePt" dir="t"/>
            </a:scene3d>
            <a:sp3d>
              <a:bevelT w="190500" h="381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lumMod val="40000"/>
                <a:lumOff val="60000"/>
              </a:schemeClr>
            </a:solidFill>
            <a:round/>
          </a:ln>
          <a:effectLst/>
        </c:spPr>
        <c:marker>
          <c:symbol val="circle"/>
          <c:size val="5"/>
          <c:spPr>
            <a:gradFill flip="none" rotWithShape="1">
              <a:gsLst>
                <a:gs pos="0">
                  <a:schemeClr val="accent1">
                    <a:lumMod val="20000"/>
                    <a:lumOff val="80000"/>
                  </a:schemeClr>
                </a:gs>
                <a:gs pos="49000">
                  <a:schemeClr val="accent1">
                    <a:lumMod val="60000"/>
                    <a:lumOff val="40000"/>
                  </a:schemeClr>
                </a:gs>
                <a:gs pos="99000">
                  <a:schemeClr val="accent1">
                    <a:lumMod val="20000"/>
                    <a:lumOff val="80000"/>
                  </a:schemeClr>
                </a:gs>
              </a:gsLst>
              <a:path path="circle">
                <a:fillToRect l="100000" t="100000"/>
              </a:path>
              <a:tileRect r="-100000" b="-100000"/>
            </a:gradFill>
            <a:ln w="9525">
              <a:solidFill>
                <a:schemeClr val="accent1"/>
              </a:solidFill>
            </a:ln>
            <a:effectLst/>
            <a:scene3d>
              <a:camera prst="orthographicFront"/>
              <a:lightRig rig="threePt" dir="t"/>
            </a:scene3d>
            <a:sp3d>
              <a:bevelT w="190500" h="381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'Units Trend'!$B$4</c:f>
              <c:strCache>
                <c:ptCount val="1"/>
                <c:pt idx="0">
                  <c:v>Total</c:v>
                </c:pt>
              </c:strCache>
            </c:strRef>
          </c:tx>
          <c:spPr>
            <a:ln w="28575" cap="rnd">
              <a:solidFill>
                <a:schemeClr val="accent4">
                  <a:lumMod val="40000"/>
                  <a:lumOff val="60000"/>
                </a:schemeClr>
              </a:solidFill>
              <a:round/>
            </a:ln>
            <a:effectLst/>
          </c:spPr>
          <c:marker>
            <c:symbol val="circle"/>
            <c:size val="5"/>
            <c:spPr>
              <a:gradFill flip="none" rotWithShape="1">
                <a:gsLst>
                  <a:gs pos="0">
                    <a:schemeClr val="accent1">
                      <a:lumMod val="20000"/>
                      <a:lumOff val="80000"/>
                    </a:schemeClr>
                  </a:gs>
                  <a:gs pos="49000">
                    <a:schemeClr val="accent1">
                      <a:lumMod val="60000"/>
                      <a:lumOff val="40000"/>
                    </a:schemeClr>
                  </a:gs>
                  <a:gs pos="99000">
                    <a:schemeClr val="accent1">
                      <a:lumMod val="20000"/>
                      <a:lumOff val="80000"/>
                    </a:schemeClr>
                  </a:gs>
                </a:gsLst>
                <a:path path="circle">
                  <a:fillToRect l="100000" t="100000"/>
                </a:path>
                <a:tileRect r="-100000" b="-100000"/>
              </a:gradFill>
              <a:ln w="9525">
                <a:solidFill>
                  <a:schemeClr val="accent1"/>
                </a:solidFill>
              </a:ln>
              <a:effectLst/>
              <a:scene3d>
                <a:camera prst="orthographicFront"/>
                <a:lightRig rig="threePt" dir="t"/>
              </a:scene3d>
              <a:sp3d>
                <a:bevelT w="190500" h="38100"/>
              </a:sp3d>
            </c:spPr>
          </c:marker>
          <c:cat>
            <c:multiLvlStrRef>
              <c:f>'Units Trend'!$A$5:$A$29</c:f>
              <c:multiLvlStrCache>
                <c:ptCount val="2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lvl>
                <c:lvl>
                  <c:pt idx="0">
                    <c:v>2018</c:v>
                  </c:pt>
                  <c:pt idx="12">
                    <c:v>2019</c:v>
                  </c:pt>
                </c:lvl>
              </c:multiLvlStrCache>
            </c:multiLvlStrRef>
          </c:cat>
          <c:val>
            <c:numRef>
              <c:f>'Units Trend'!$B$5:$B$29</c:f>
              <c:numCache>
                <c:formatCode>General</c:formatCode>
                <c:ptCount val="22"/>
                <c:pt idx="0">
                  <c:v>421</c:v>
                </c:pt>
                <c:pt idx="1">
                  <c:v>414</c:v>
                </c:pt>
                <c:pt idx="2">
                  <c:v>481</c:v>
                </c:pt>
                <c:pt idx="3">
                  <c:v>438</c:v>
                </c:pt>
                <c:pt idx="4">
                  <c:v>597</c:v>
                </c:pt>
                <c:pt idx="5">
                  <c:v>437</c:v>
                </c:pt>
                <c:pt idx="6">
                  <c:v>406</c:v>
                </c:pt>
                <c:pt idx="7">
                  <c:v>407</c:v>
                </c:pt>
                <c:pt idx="8">
                  <c:v>411</c:v>
                </c:pt>
                <c:pt idx="9">
                  <c:v>409</c:v>
                </c:pt>
                <c:pt idx="10">
                  <c:v>421</c:v>
                </c:pt>
                <c:pt idx="11">
                  <c:v>417</c:v>
                </c:pt>
                <c:pt idx="12">
                  <c:v>387</c:v>
                </c:pt>
                <c:pt idx="13">
                  <c:v>437</c:v>
                </c:pt>
                <c:pt idx="14">
                  <c:v>516</c:v>
                </c:pt>
                <c:pt idx="15">
                  <c:v>400</c:v>
                </c:pt>
                <c:pt idx="16">
                  <c:v>453</c:v>
                </c:pt>
                <c:pt idx="17">
                  <c:v>388</c:v>
                </c:pt>
                <c:pt idx="18">
                  <c:v>310</c:v>
                </c:pt>
                <c:pt idx="19">
                  <c:v>432</c:v>
                </c:pt>
                <c:pt idx="20">
                  <c:v>362</c:v>
                </c:pt>
                <c:pt idx="21">
                  <c:v>175</c:v>
                </c:pt>
              </c:numCache>
            </c:numRef>
          </c:val>
          <c:smooth val="1"/>
          <c:extLst>
            <c:ext xmlns:c16="http://schemas.microsoft.com/office/drawing/2014/chart" uri="{C3380CC4-5D6E-409C-BE32-E72D297353CC}">
              <c16:uniqueId val="{00000000-D802-4F60-8524-DC87555270F5}"/>
            </c:ext>
          </c:extLst>
        </c:ser>
        <c:dLbls>
          <c:showLegendKey val="0"/>
          <c:showVal val="0"/>
          <c:showCatName val="0"/>
          <c:showSerName val="0"/>
          <c:showPercent val="0"/>
          <c:showBubbleSize val="0"/>
        </c:dLbls>
        <c:marker val="1"/>
        <c:smooth val="0"/>
        <c:axId val="817625216"/>
        <c:axId val="817625632"/>
      </c:lineChart>
      <c:catAx>
        <c:axId val="817625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17625632"/>
        <c:crosses val="autoZero"/>
        <c:auto val="1"/>
        <c:lblAlgn val="ctr"/>
        <c:lblOffset val="100"/>
        <c:noMultiLvlLbl val="0"/>
      </c:catAx>
      <c:valAx>
        <c:axId val="8176256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17625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(VBA).xlsm]Units by Employee!PivotTable8</c:name>
    <c:fmtId val="7"/>
  </c:pivotSource>
  <c:chart>
    <c:autoTitleDeleted val="0"/>
    <c:pivotFmts>
      <c:pivotFmt>
        <c:idx val="0"/>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'Units by Employee'!$B$3:$B$4</c:f>
              <c:strCache>
                <c:ptCount val="1"/>
                <c:pt idx="0">
                  <c:v>Annie Chaudhary</c:v>
                </c:pt>
              </c:strCache>
            </c:strRef>
          </c:tx>
          <c:spPr>
            <a:solidFill>
              <a:schemeClr val="accent2">
                <a:lumMod val="20000"/>
                <a:lumOff val="80000"/>
              </a:schemeClr>
            </a:solidFill>
            <a:ln>
              <a:noFill/>
            </a:ln>
            <a:effectLst/>
          </c:spPr>
          <c:invertIfNegative val="0"/>
          <c:cat>
            <c:strRef>
              <c:f>'Units by Employee'!$A$5:$A$7</c:f>
              <c:strCache>
                <c:ptCount val="2"/>
                <c:pt idx="0">
                  <c:v>2018</c:v>
                </c:pt>
                <c:pt idx="1">
                  <c:v>2019</c:v>
                </c:pt>
              </c:strCache>
            </c:strRef>
          </c:cat>
          <c:val>
            <c:numRef>
              <c:f>'Units by Employee'!$B$5:$B$7</c:f>
              <c:numCache>
                <c:formatCode>General</c:formatCode>
                <c:ptCount val="2"/>
                <c:pt idx="0">
                  <c:v>656</c:v>
                </c:pt>
                <c:pt idx="1">
                  <c:v>576</c:v>
                </c:pt>
              </c:numCache>
            </c:numRef>
          </c:val>
          <c:extLst>
            <c:ext xmlns:c16="http://schemas.microsoft.com/office/drawing/2014/chart" uri="{C3380CC4-5D6E-409C-BE32-E72D297353CC}">
              <c16:uniqueId val="{00000000-13D3-4EFD-9F34-6B6419E7F2D3}"/>
            </c:ext>
          </c:extLst>
        </c:ser>
        <c:ser>
          <c:idx val="1"/>
          <c:order val="1"/>
          <c:tx>
            <c:strRef>
              <c:f>'Units by Employee'!$C$3:$C$4</c:f>
              <c:strCache>
                <c:ptCount val="1"/>
                <c:pt idx="0">
                  <c:v>Arjun Reddy</c:v>
                </c:pt>
              </c:strCache>
            </c:strRef>
          </c:tx>
          <c:spPr>
            <a:solidFill>
              <a:schemeClr val="accent2">
                <a:lumMod val="40000"/>
                <a:lumOff val="60000"/>
              </a:schemeClr>
            </a:solidFill>
            <a:ln>
              <a:noFill/>
            </a:ln>
            <a:effectLst/>
          </c:spPr>
          <c:invertIfNegative val="0"/>
          <c:cat>
            <c:strRef>
              <c:f>'Units by Employee'!$A$5:$A$7</c:f>
              <c:strCache>
                <c:ptCount val="2"/>
                <c:pt idx="0">
                  <c:v>2018</c:v>
                </c:pt>
                <c:pt idx="1">
                  <c:v>2019</c:v>
                </c:pt>
              </c:strCache>
            </c:strRef>
          </c:cat>
          <c:val>
            <c:numRef>
              <c:f>'Units by Employee'!$C$5:$C$7</c:f>
              <c:numCache>
                <c:formatCode>General</c:formatCode>
                <c:ptCount val="2"/>
                <c:pt idx="0">
                  <c:v>566</c:v>
                </c:pt>
                <c:pt idx="1">
                  <c:v>456</c:v>
                </c:pt>
              </c:numCache>
            </c:numRef>
          </c:val>
          <c:extLst>
            <c:ext xmlns:c16="http://schemas.microsoft.com/office/drawing/2014/chart" uri="{C3380CC4-5D6E-409C-BE32-E72D297353CC}">
              <c16:uniqueId val="{00000001-D097-45A7-BE4B-11D0599B3963}"/>
            </c:ext>
          </c:extLst>
        </c:ser>
        <c:ser>
          <c:idx val="2"/>
          <c:order val="2"/>
          <c:tx>
            <c:strRef>
              <c:f>'Units by Employee'!$D$3:$D$4</c:f>
              <c:strCache>
                <c:ptCount val="1"/>
                <c:pt idx="0">
                  <c:v>Avinash Thakur</c:v>
                </c:pt>
              </c:strCache>
            </c:strRef>
          </c:tx>
          <c:spPr>
            <a:solidFill>
              <a:schemeClr val="accent2">
                <a:lumMod val="60000"/>
                <a:lumOff val="40000"/>
              </a:schemeClr>
            </a:solidFill>
            <a:ln>
              <a:noFill/>
            </a:ln>
            <a:effectLst/>
          </c:spPr>
          <c:invertIfNegative val="0"/>
          <c:cat>
            <c:strRef>
              <c:f>'Units by Employee'!$A$5:$A$7</c:f>
              <c:strCache>
                <c:ptCount val="2"/>
                <c:pt idx="0">
                  <c:v>2018</c:v>
                </c:pt>
                <c:pt idx="1">
                  <c:v>2019</c:v>
                </c:pt>
              </c:strCache>
            </c:strRef>
          </c:cat>
          <c:val>
            <c:numRef>
              <c:f>'Units by Employee'!$D$5:$D$7</c:f>
              <c:numCache>
                <c:formatCode>General</c:formatCode>
                <c:ptCount val="2"/>
                <c:pt idx="0">
                  <c:v>669</c:v>
                </c:pt>
                <c:pt idx="1">
                  <c:v>431</c:v>
                </c:pt>
              </c:numCache>
            </c:numRef>
          </c:val>
          <c:extLst>
            <c:ext xmlns:c16="http://schemas.microsoft.com/office/drawing/2014/chart" uri="{C3380CC4-5D6E-409C-BE32-E72D297353CC}">
              <c16:uniqueId val="{00000000-3F9D-4102-A24B-0815E6B9B86A}"/>
            </c:ext>
          </c:extLst>
        </c:ser>
        <c:ser>
          <c:idx val="3"/>
          <c:order val="3"/>
          <c:tx>
            <c:strRef>
              <c:f>'Units by Employee'!$E$3:$E$4</c:f>
              <c:strCache>
                <c:ptCount val="1"/>
                <c:pt idx="0">
                  <c:v>Harsh Makhija</c:v>
                </c:pt>
              </c:strCache>
            </c:strRef>
          </c:tx>
          <c:spPr>
            <a:solidFill>
              <a:schemeClr val="accent2">
                <a:lumMod val="75000"/>
              </a:schemeClr>
            </a:solidFill>
            <a:ln>
              <a:noFill/>
            </a:ln>
            <a:effectLst/>
          </c:spPr>
          <c:invertIfNegative val="0"/>
          <c:cat>
            <c:strRef>
              <c:f>'Units by Employee'!$A$5:$A$7</c:f>
              <c:strCache>
                <c:ptCount val="2"/>
                <c:pt idx="0">
                  <c:v>2018</c:v>
                </c:pt>
                <c:pt idx="1">
                  <c:v>2019</c:v>
                </c:pt>
              </c:strCache>
            </c:strRef>
          </c:cat>
          <c:val>
            <c:numRef>
              <c:f>'Units by Employee'!$E$5:$E$7</c:f>
              <c:numCache>
                <c:formatCode>General</c:formatCode>
                <c:ptCount val="2"/>
                <c:pt idx="0">
                  <c:v>762</c:v>
                </c:pt>
                <c:pt idx="1">
                  <c:v>457</c:v>
                </c:pt>
              </c:numCache>
            </c:numRef>
          </c:val>
          <c:extLst>
            <c:ext xmlns:c16="http://schemas.microsoft.com/office/drawing/2014/chart" uri="{C3380CC4-5D6E-409C-BE32-E72D297353CC}">
              <c16:uniqueId val="{00000001-3F9D-4102-A24B-0815E6B9B86A}"/>
            </c:ext>
          </c:extLst>
        </c:ser>
        <c:ser>
          <c:idx val="4"/>
          <c:order val="4"/>
          <c:tx>
            <c:strRef>
              <c:f>'Units by Employee'!$F$3:$F$4</c:f>
              <c:strCache>
                <c:ptCount val="1"/>
                <c:pt idx="0">
                  <c:v>Kunal Rai</c:v>
                </c:pt>
              </c:strCache>
            </c:strRef>
          </c:tx>
          <c:spPr>
            <a:solidFill>
              <a:srgbClr val="FFFF00"/>
            </a:solidFill>
            <a:ln>
              <a:noFill/>
            </a:ln>
            <a:effectLst/>
          </c:spPr>
          <c:invertIfNegative val="0"/>
          <c:cat>
            <c:strRef>
              <c:f>'Units by Employee'!$A$5:$A$7</c:f>
              <c:strCache>
                <c:ptCount val="2"/>
                <c:pt idx="0">
                  <c:v>2018</c:v>
                </c:pt>
                <c:pt idx="1">
                  <c:v>2019</c:v>
                </c:pt>
              </c:strCache>
            </c:strRef>
          </c:cat>
          <c:val>
            <c:numRef>
              <c:f>'Units by Employee'!$F$5:$F$7</c:f>
              <c:numCache>
                <c:formatCode>General</c:formatCode>
                <c:ptCount val="2"/>
                <c:pt idx="0">
                  <c:v>663</c:v>
                </c:pt>
                <c:pt idx="1">
                  <c:v>476</c:v>
                </c:pt>
              </c:numCache>
            </c:numRef>
          </c:val>
          <c:extLst>
            <c:ext xmlns:c16="http://schemas.microsoft.com/office/drawing/2014/chart" uri="{C3380CC4-5D6E-409C-BE32-E72D297353CC}">
              <c16:uniqueId val="{00000002-3F9D-4102-A24B-0815E6B9B86A}"/>
            </c:ext>
          </c:extLst>
        </c:ser>
        <c:ser>
          <c:idx val="5"/>
          <c:order val="5"/>
          <c:tx>
            <c:strRef>
              <c:f>'Units by Employee'!$G$3:$G$4</c:f>
              <c:strCache>
                <c:ptCount val="1"/>
                <c:pt idx="0">
                  <c:v>Ravi Kumar</c:v>
                </c:pt>
              </c:strCache>
            </c:strRef>
          </c:tx>
          <c:spPr>
            <a:solidFill>
              <a:schemeClr val="accent4">
                <a:lumMod val="60000"/>
                <a:lumOff val="40000"/>
              </a:schemeClr>
            </a:solidFill>
            <a:ln>
              <a:noFill/>
            </a:ln>
            <a:effectLst/>
          </c:spPr>
          <c:invertIfNegative val="0"/>
          <c:cat>
            <c:strRef>
              <c:f>'Units by Employee'!$A$5:$A$7</c:f>
              <c:strCache>
                <c:ptCount val="2"/>
                <c:pt idx="0">
                  <c:v>2018</c:v>
                </c:pt>
                <c:pt idx="1">
                  <c:v>2019</c:v>
                </c:pt>
              </c:strCache>
            </c:strRef>
          </c:cat>
          <c:val>
            <c:numRef>
              <c:f>'Units by Employee'!$G$5:$G$7</c:f>
              <c:numCache>
                <c:formatCode>General</c:formatCode>
                <c:ptCount val="2"/>
                <c:pt idx="0">
                  <c:v>615</c:v>
                </c:pt>
                <c:pt idx="1">
                  <c:v>548</c:v>
                </c:pt>
              </c:numCache>
            </c:numRef>
          </c:val>
          <c:extLst>
            <c:ext xmlns:c16="http://schemas.microsoft.com/office/drawing/2014/chart" uri="{C3380CC4-5D6E-409C-BE32-E72D297353CC}">
              <c16:uniqueId val="{00000003-3F9D-4102-A24B-0815E6B9B86A}"/>
            </c:ext>
          </c:extLst>
        </c:ser>
        <c:ser>
          <c:idx val="6"/>
          <c:order val="6"/>
          <c:tx>
            <c:strRef>
              <c:f>'Units by Employee'!$H$3:$H$4</c:f>
              <c:strCache>
                <c:ptCount val="1"/>
                <c:pt idx="0">
                  <c:v>Varun Saran</c:v>
                </c:pt>
              </c:strCache>
            </c:strRef>
          </c:tx>
          <c:spPr>
            <a:solidFill>
              <a:srgbClr val="FFC000"/>
            </a:solidFill>
            <a:ln>
              <a:noFill/>
            </a:ln>
            <a:effectLst/>
          </c:spPr>
          <c:invertIfNegative val="0"/>
          <c:cat>
            <c:strRef>
              <c:f>'Units by Employee'!$A$5:$A$7</c:f>
              <c:strCache>
                <c:ptCount val="2"/>
                <c:pt idx="0">
                  <c:v>2018</c:v>
                </c:pt>
                <c:pt idx="1">
                  <c:v>2019</c:v>
                </c:pt>
              </c:strCache>
            </c:strRef>
          </c:cat>
          <c:val>
            <c:numRef>
              <c:f>'Units by Employee'!$H$5:$H$7</c:f>
              <c:numCache>
                <c:formatCode>General</c:formatCode>
                <c:ptCount val="2"/>
                <c:pt idx="0">
                  <c:v>743</c:v>
                </c:pt>
                <c:pt idx="1">
                  <c:v>395</c:v>
                </c:pt>
              </c:numCache>
            </c:numRef>
          </c:val>
          <c:extLst>
            <c:ext xmlns:c16="http://schemas.microsoft.com/office/drawing/2014/chart" uri="{C3380CC4-5D6E-409C-BE32-E72D297353CC}">
              <c16:uniqueId val="{00000004-3F9D-4102-A24B-0815E6B9B86A}"/>
            </c:ext>
          </c:extLst>
        </c:ser>
        <c:ser>
          <c:idx val="7"/>
          <c:order val="7"/>
          <c:tx>
            <c:strRef>
              <c:f>'Units by Employee'!$I$3:$I$4</c:f>
              <c:strCache>
                <c:ptCount val="1"/>
                <c:pt idx="0">
                  <c:v>Vikram Rathore</c:v>
                </c:pt>
              </c:strCache>
            </c:strRef>
          </c:tx>
          <c:spPr>
            <a:solidFill>
              <a:schemeClr val="accent4">
                <a:lumMod val="75000"/>
              </a:schemeClr>
            </a:solidFill>
            <a:ln>
              <a:noFill/>
            </a:ln>
            <a:effectLst/>
          </c:spPr>
          <c:invertIfNegative val="0"/>
          <c:cat>
            <c:strRef>
              <c:f>'Units by Employee'!$A$5:$A$7</c:f>
              <c:strCache>
                <c:ptCount val="2"/>
                <c:pt idx="0">
                  <c:v>2018</c:v>
                </c:pt>
                <c:pt idx="1">
                  <c:v>2019</c:v>
                </c:pt>
              </c:strCache>
            </c:strRef>
          </c:cat>
          <c:val>
            <c:numRef>
              <c:f>'Units by Employee'!$I$5:$I$7</c:f>
              <c:numCache>
                <c:formatCode>General</c:formatCode>
                <c:ptCount val="2"/>
                <c:pt idx="0">
                  <c:v>585</c:v>
                </c:pt>
                <c:pt idx="1">
                  <c:v>521</c:v>
                </c:pt>
              </c:numCache>
            </c:numRef>
          </c:val>
          <c:extLst>
            <c:ext xmlns:c16="http://schemas.microsoft.com/office/drawing/2014/chart" uri="{C3380CC4-5D6E-409C-BE32-E72D297353CC}">
              <c16:uniqueId val="{00000005-3F9D-4102-A24B-0815E6B9B86A}"/>
            </c:ext>
          </c:extLst>
        </c:ser>
        <c:dLbls>
          <c:showLegendKey val="0"/>
          <c:showVal val="0"/>
          <c:showCatName val="0"/>
          <c:showSerName val="0"/>
          <c:showPercent val="0"/>
          <c:showBubbleSize val="0"/>
        </c:dLbls>
        <c:gapWidth val="219"/>
        <c:overlap val="-27"/>
        <c:axId val="878875712"/>
        <c:axId val="878873216"/>
      </c:barChart>
      <c:catAx>
        <c:axId val="87887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878873216"/>
        <c:crosses val="autoZero"/>
        <c:auto val="1"/>
        <c:lblAlgn val="ctr"/>
        <c:lblOffset val="100"/>
        <c:noMultiLvlLbl val="0"/>
      </c:catAx>
      <c:valAx>
        <c:axId val="878873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878875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(VBA).xlsm]Item Share (Units)!PivotTable9</c:name>
    <c:fmtId val="5"/>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lumMod val="75000"/>
            </a:schemeClr>
          </a:solidFill>
          <a:ln w="19050">
            <a:noFill/>
          </a:ln>
          <a:effectLst/>
        </c:spPr>
      </c:pivotFmt>
      <c:pivotFmt>
        <c:idx val="2"/>
        <c:spPr>
          <a:solidFill>
            <a:schemeClr val="accent6">
              <a:lumMod val="50000"/>
            </a:schemeClr>
          </a:solidFill>
          <a:ln w="19050">
            <a:noFill/>
          </a:ln>
          <a:effectLst/>
        </c:spPr>
      </c:pivotFmt>
      <c:pivotFmt>
        <c:idx val="3"/>
        <c:spPr>
          <a:solidFill>
            <a:schemeClr val="accent6">
              <a:lumMod val="40000"/>
              <a:lumOff val="60000"/>
            </a:schemeClr>
          </a:solidFill>
          <a:ln w="19050">
            <a:noFill/>
          </a:ln>
          <a:effectLst/>
        </c:spPr>
      </c:pivotFmt>
      <c:pivotFmt>
        <c:idx val="4"/>
        <c:spPr>
          <a:solidFill>
            <a:srgbClr val="92D050"/>
          </a:solidFill>
          <a:ln w="19050">
            <a:noFill/>
          </a:ln>
          <a:effectLst/>
        </c:spPr>
      </c:pivotFmt>
      <c:pivotFmt>
        <c:idx val="5"/>
        <c:spPr>
          <a:solidFill>
            <a:srgbClr val="00B050"/>
          </a:solidFill>
          <a:ln w="19050">
            <a:no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6">
              <a:lumMod val="75000"/>
            </a:schemeClr>
          </a:solidFill>
          <a:ln w="19050">
            <a:noFill/>
          </a:ln>
          <a:effectLst/>
        </c:spPr>
      </c:pivotFmt>
      <c:pivotFmt>
        <c:idx val="8"/>
        <c:spPr>
          <a:solidFill>
            <a:schemeClr val="accent6">
              <a:lumMod val="50000"/>
            </a:schemeClr>
          </a:solidFill>
          <a:ln w="19050">
            <a:noFill/>
          </a:ln>
          <a:effectLst/>
        </c:spPr>
      </c:pivotFmt>
      <c:pivotFmt>
        <c:idx val="9"/>
        <c:spPr>
          <a:solidFill>
            <a:schemeClr val="accent6">
              <a:lumMod val="40000"/>
              <a:lumOff val="60000"/>
            </a:schemeClr>
          </a:solidFill>
          <a:ln w="19050">
            <a:noFill/>
          </a:ln>
          <a:effectLst/>
        </c:spPr>
      </c:pivotFmt>
      <c:pivotFmt>
        <c:idx val="10"/>
        <c:spPr>
          <a:solidFill>
            <a:srgbClr val="92D050"/>
          </a:solidFill>
          <a:ln w="19050">
            <a:noFill/>
          </a:ln>
          <a:effectLst/>
        </c:spPr>
      </c:pivotFmt>
      <c:pivotFmt>
        <c:idx val="11"/>
        <c:spPr>
          <a:solidFill>
            <a:srgbClr val="00B050"/>
          </a:solidFill>
          <a:ln w="19050">
            <a:noFill/>
          </a:ln>
          <a:effectLst/>
        </c:spPr>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6">
              <a:lumMod val="75000"/>
            </a:schemeClr>
          </a:solidFill>
          <a:ln w="19050">
            <a:noFill/>
          </a:ln>
          <a:effectLst/>
        </c:spPr>
      </c:pivotFmt>
      <c:pivotFmt>
        <c:idx val="14"/>
        <c:spPr>
          <a:solidFill>
            <a:schemeClr val="accent6">
              <a:lumMod val="50000"/>
            </a:schemeClr>
          </a:solidFill>
          <a:ln w="19050">
            <a:noFill/>
          </a:ln>
          <a:effectLst/>
        </c:spPr>
      </c:pivotFmt>
      <c:pivotFmt>
        <c:idx val="15"/>
        <c:spPr>
          <a:solidFill>
            <a:schemeClr val="accent6">
              <a:lumMod val="40000"/>
              <a:lumOff val="60000"/>
            </a:schemeClr>
          </a:solidFill>
          <a:ln w="19050">
            <a:noFill/>
          </a:ln>
          <a:effectLst/>
        </c:spPr>
      </c:pivotFmt>
      <c:pivotFmt>
        <c:idx val="16"/>
        <c:spPr>
          <a:solidFill>
            <a:srgbClr val="92D050"/>
          </a:solidFill>
          <a:ln w="19050">
            <a:noFill/>
          </a:ln>
          <a:effectLst/>
        </c:spPr>
      </c:pivotFmt>
      <c:pivotFmt>
        <c:idx val="17"/>
        <c:spPr>
          <a:solidFill>
            <a:srgbClr val="00B050"/>
          </a:solidFill>
          <a:ln w="19050">
            <a:noFill/>
          </a:ln>
          <a:effectLst/>
        </c:spPr>
      </c:pivotFmt>
    </c:pivotFmts>
    <c:plotArea>
      <c:layout>
        <c:manualLayout>
          <c:layoutTarget val="inner"/>
          <c:xMode val="edge"/>
          <c:yMode val="edge"/>
          <c:x val="0.11868309339239573"/>
          <c:y val="2.4455998459464664E-2"/>
          <c:w val="0.7743540051679586"/>
          <c:h val="0.8079048719430002"/>
        </c:manualLayout>
      </c:layout>
      <c:doughnutChart>
        <c:varyColors val="1"/>
        <c:ser>
          <c:idx val="0"/>
          <c:order val="0"/>
          <c:tx>
            <c:strRef>
              <c:f>'Item Share (Units)'!$B$3</c:f>
              <c:strCache>
                <c:ptCount val="1"/>
                <c:pt idx="0">
                  <c:v>Total</c:v>
                </c:pt>
              </c:strCache>
            </c:strRef>
          </c:tx>
          <c:spPr>
            <a:ln>
              <a:noFill/>
            </a:ln>
          </c:spPr>
          <c:dPt>
            <c:idx val="0"/>
            <c:bubble3D val="0"/>
            <c:spPr>
              <a:solidFill>
                <a:schemeClr val="accent6">
                  <a:lumMod val="75000"/>
                </a:schemeClr>
              </a:solidFill>
              <a:ln w="19050">
                <a:noFill/>
              </a:ln>
              <a:effectLst/>
            </c:spPr>
            <c:extLst>
              <c:ext xmlns:c16="http://schemas.microsoft.com/office/drawing/2014/chart" uri="{C3380CC4-5D6E-409C-BE32-E72D297353CC}">
                <c16:uniqueId val="{00000001-A933-4BD0-9959-E20003EFDE62}"/>
              </c:ext>
            </c:extLst>
          </c:dPt>
          <c:dPt>
            <c:idx val="1"/>
            <c:bubble3D val="0"/>
            <c:spPr>
              <a:solidFill>
                <a:schemeClr val="accent6">
                  <a:lumMod val="50000"/>
                </a:schemeClr>
              </a:solidFill>
              <a:ln w="19050">
                <a:noFill/>
              </a:ln>
              <a:effectLst/>
            </c:spPr>
            <c:extLst>
              <c:ext xmlns:c16="http://schemas.microsoft.com/office/drawing/2014/chart" uri="{C3380CC4-5D6E-409C-BE32-E72D297353CC}">
                <c16:uniqueId val="{00000003-A933-4BD0-9959-E20003EFDE62}"/>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A933-4BD0-9959-E20003EFDE62}"/>
              </c:ext>
            </c:extLst>
          </c:dPt>
          <c:dPt>
            <c:idx val="3"/>
            <c:bubble3D val="0"/>
            <c:spPr>
              <a:solidFill>
                <a:srgbClr val="92D050"/>
              </a:solidFill>
              <a:ln w="19050">
                <a:noFill/>
              </a:ln>
              <a:effectLst/>
            </c:spPr>
            <c:extLst>
              <c:ext xmlns:c16="http://schemas.microsoft.com/office/drawing/2014/chart" uri="{C3380CC4-5D6E-409C-BE32-E72D297353CC}">
                <c16:uniqueId val="{00000007-A933-4BD0-9959-E20003EFDE62}"/>
              </c:ext>
            </c:extLst>
          </c:dPt>
          <c:dPt>
            <c:idx val="4"/>
            <c:bubble3D val="0"/>
            <c:spPr>
              <a:solidFill>
                <a:srgbClr val="00B050"/>
              </a:solidFill>
              <a:ln w="19050">
                <a:noFill/>
              </a:ln>
              <a:effectLst/>
            </c:spPr>
            <c:extLst>
              <c:ext xmlns:c16="http://schemas.microsoft.com/office/drawing/2014/chart" uri="{C3380CC4-5D6E-409C-BE32-E72D297353CC}">
                <c16:uniqueId val="{00000009-A933-4BD0-9959-E20003EFDE6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'Item Share (Units)'!$A$4:$A$9</c:f>
              <c:strCache>
                <c:ptCount val="5"/>
                <c:pt idx="0">
                  <c:v>Desktop</c:v>
                </c:pt>
                <c:pt idx="1">
                  <c:v>Headphone</c:v>
                </c:pt>
                <c:pt idx="2">
                  <c:v>Laptop 1</c:v>
                </c:pt>
                <c:pt idx="3">
                  <c:v>Laptop 2</c:v>
                </c:pt>
                <c:pt idx="4">
                  <c:v>Tablet</c:v>
                </c:pt>
              </c:strCache>
            </c:strRef>
          </c:cat>
          <c:val>
            <c:numRef>
              <c:f>'Item Share (Units)'!$B$4:$B$9</c:f>
              <c:numCache>
                <c:formatCode>General</c:formatCode>
                <c:ptCount val="5"/>
                <c:pt idx="0">
                  <c:v>1838</c:v>
                </c:pt>
                <c:pt idx="1">
                  <c:v>1810</c:v>
                </c:pt>
                <c:pt idx="2">
                  <c:v>1847</c:v>
                </c:pt>
                <c:pt idx="3">
                  <c:v>1729</c:v>
                </c:pt>
                <c:pt idx="4">
                  <c:v>1895</c:v>
                </c:pt>
              </c:numCache>
            </c:numRef>
          </c:val>
          <c:extLst>
            <c:ext xmlns:c16="http://schemas.microsoft.com/office/drawing/2014/chart" uri="{C3380CC4-5D6E-409C-BE32-E72D297353CC}">
              <c16:uniqueId val="{0000000A-A933-4BD0-9959-E20003EFDE62}"/>
            </c:ext>
          </c:extLst>
        </c:ser>
        <c:dLbls>
          <c:showLegendKey val="0"/>
          <c:showVal val="1"/>
          <c:showCatName val="0"/>
          <c:showSerName val="0"/>
          <c:showPercent val="0"/>
          <c:showBubbleSize val="0"/>
          <c:showLeaderLines val="1"/>
        </c:dLbls>
        <c:firstSliceAng val="0"/>
        <c:holeSize val="40"/>
      </c:doughnutChart>
      <c:spPr>
        <a:noFill/>
        <a:ln>
          <a:noFill/>
        </a:ln>
        <a:effectLst/>
      </c:spPr>
    </c:plotArea>
    <c:legend>
      <c:legendPos val="b"/>
      <c:layout>
        <c:manualLayout>
          <c:xMode val="edge"/>
          <c:yMode val="edge"/>
          <c:x val="4.627260981912145E-2"/>
          <c:y val="0.85249759291353733"/>
          <c:w val="0.91917497231450718"/>
          <c:h val="0.135274407856730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(VBA).xlsm]Customer Units!PivotTable10</c:name>
    <c:fmtId val="5"/>
  </c:pivotSource>
  <c:chart>
    <c:autoTitleDeleted val="1"/>
    <c:pivotFmts>
      <c:pivotFmt>
        <c:idx val="0"/>
        <c:spPr>
          <a:gradFill>
            <a:gsLst>
              <a:gs pos="0">
                <a:schemeClr val="accent4">
                  <a:lumMod val="50000"/>
                </a:schemeClr>
              </a:gs>
              <a:gs pos="42000">
                <a:srgbClr val="FFC000"/>
              </a:gs>
              <a:gs pos="78000">
                <a:schemeClr val="accent6">
                  <a:lumMod val="75000"/>
                </a:schemeClr>
              </a:gs>
              <a:gs pos="99000">
                <a:schemeClr val="accent6">
                  <a:lumMod val="5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accent4">
                  <a:lumMod val="50000"/>
                </a:schemeClr>
              </a:gs>
              <a:gs pos="42000">
                <a:srgbClr val="FFC000"/>
              </a:gs>
              <a:gs pos="78000">
                <a:schemeClr val="accent6">
                  <a:lumMod val="75000"/>
                </a:schemeClr>
              </a:gs>
              <a:gs pos="99000">
                <a:schemeClr val="accent6">
                  <a:lumMod val="5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4">
                  <a:lumMod val="50000"/>
                </a:schemeClr>
              </a:gs>
              <a:gs pos="42000">
                <a:srgbClr val="FFC000"/>
              </a:gs>
              <a:gs pos="78000">
                <a:schemeClr val="accent6">
                  <a:lumMod val="75000"/>
                </a:schemeClr>
              </a:gs>
              <a:gs pos="99000">
                <a:schemeClr val="accent6">
                  <a:lumMod val="5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Units'!$B$3</c:f>
              <c:strCache>
                <c:ptCount val="1"/>
                <c:pt idx="0">
                  <c:v>Total</c:v>
                </c:pt>
              </c:strCache>
            </c:strRef>
          </c:tx>
          <c:spPr>
            <a:gradFill>
              <a:gsLst>
                <a:gs pos="0">
                  <a:schemeClr val="accent4">
                    <a:lumMod val="50000"/>
                  </a:schemeClr>
                </a:gs>
                <a:gs pos="42000">
                  <a:srgbClr val="FFC000"/>
                </a:gs>
                <a:gs pos="78000">
                  <a:schemeClr val="accent6">
                    <a:lumMod val="75000"/>
                  </a:schemeClr>
                </a:gs>
                <a:gs pos="99000">
                  <a:schemeClr val="accent6">
                    <a:lumMod val="50000"/>
                  </a:schemeClr>
                </a:gs>
              </a:gsLst>
              <a:lin ang="5400000" scaled="1"/>
            </a:gradFill>
            <a:ln>
              <a:noFill/>
            </a:ln>
            <a:effectLst/>
          </c:spPr>
          <c:invertIfNegative val="0"/>
          <c:cat>
            <c:strRef>
              <c:f>'Customer Units'!$A$4:$A$24</c:f>
              <c:strCache>
                <c:ptCount val="20"/>
                <c:pt idx="0">
                  <c:v>Amul</c:v>
                </c:pt>
                <c:pt idx="1">
                  <c:v>Bata India Limited</c:v>
                </c:pt>
                <c:pt idx="2">
                  <c:v>Cadbury</c:v>
                </c:pt>
                <c:pt idx="3">
                  <c:v>Dixcy India Ltd</c:v>
                </c:pt>
                <c:pt idx="4">
                  <c:v>Dollar Industries Ltd</c:v>
                </c:pt>
                <c:pt idx="5">
                  <c:v>EMAMI</c:v>
                </c:pt>
                <c:pt idx="6">
                  <c:v>Flipkart India Limited</c:v>
                </c:pt>
                <c:pt idx="7">
                  <c:v>Great Eastern Trading Co</c:v>
                </c:pt>
                <c:pt idx="8">
                  <c:v>Hindustan Unilever Limited</c:v>
                </c:pt>
                <c:pt idx="9">
                  <c:v>ITC</c:v>
                </c:pt>
                <c:pt idx="10">
                  <c:v>Khadim India Limited</c:v>
                </c:pt>
                <c:pt idx="11">
                  <c:v>Lux India Ltd</c:v>
                </c:pt>
                <c:pt idx="12">
                  <c:v>Malcom India Ltd</c:v>
                </c:pt>
                <c:pt idx="13">
                  <c:v>Mirza International</c:v>
                </c:pt>
                <c:pt idx="14">
                  <c:v>Nestle</c:v>
                </c:pt>
                <c:pt idx="15">
                  <c:v>PEPSICO</c:v>
                </c:pt>
                <c:pt idx="16">
                  <c:v>Relaxo Footwear</c:v>
                </c:pt>
                <c:pt idx="17">
                  <c:v>Reliance Footprint</c:v>
                </c:pt>
                <c:pt idx="18">
                  <c:v>Rupa Industries Ltd</c:v>
                </c:pt>
                <c:pt idx="19">
                  <c:v>Suraksha Diagonistics</c:v>
                </c:pt>
              </c:strCache>
            </c:strRef>
          </c:cat>
          <c:val>
            <c:numRef>
              <c:f>'Customer Units'!$B$4:$B$24</c:f>
              <c:numCache>
                <c:formatCode>General</c:formatCode>
                <c:ptCount val="20"/>
                <c:pt idx="0">
                  <c:v>509</c:v>
                </c:pt>
                <c:pt idx="1">
                  <c:v>539</c:v>
                </c:pt>
                <c:pt idx="2">
                  <c:v>515</c:v>
                </c:pt>
                <c:pt idx="3">
                  <c:v>388</c:v>
                </c:pt>
                <c:pt idx="4">
                  <c:v>489</c:v>
                </c:pt>
                <c:pt idx="5">
                  <c:v>507</c:v>
                </c:pt>
                <c:pt idx="6">
                  <c:v>404</c:v>
                </c:pt>
                <c:pt idx="7">
                  <c:v>423</c:v>
                </c:pt>
                <c:pt idx="8">
                  <c:v>473</c:v>
                </c:pt>
                <c:pt idx="9">
                  <c:v>402</c:v>
                </c:pt>
                <c:pt idx="10">
                  <c:v>450</c:v>
                </c:pt>
                <c:pt idx="11">
                  <c:v>434</c:v>
                </c:pt>
                <c:pt idx="12">
                  <c:v>523</c:v>
                </c:pt>
                <c:pt idx="13">
                  <c:v>460</c:v>
                </c:pt>
                <c:pt idx="14">
                  <c:v>436</c:v>
                </c:pt>
                <c:pt idx="15">
                  <c:v>440</c:v>
                </c:pt>
                <c:pt idx="16">
                  <c:v>379</c:v>
                </c:pt>
                <c:pt idx="17">
                  <c:v>416</c:v>
                </c:pt>
                <c:pt idx="18">
                  <c:v>461</c:v>
                </c:pt>
                <c:pt idx="19">
                  <c:v>471</c:v>
                </c:pt>
              </c:numCache>
            </c:numRef>
          </c:val>
          <c:extLst>
            <c:ext xmlns:c16="http://schemas.microsoft.com/office/drawing/2014/chart" uri="{C3380CC4-5D6E-409C-BE32-E72D297353CC}">
              <c16:uniqueId val="{00000000-9B93-4D7E-A85F-2F4062D93D8E}"/>
            </c:ext>
          </c:extLst>
        </c:ser>
        <c:dLbls>
          <c:showLegendKey val="0"/>
          <c:showVal val="0"/>
          <c:showCatName val="0"/>
          <c:showSerName val="0"/>
          <c:showPercent val="0"/>
          <c:showBubbleSize val="0"/>
        </c:dLbls>
        <c:gapWidth val="100"/>
        <c:axId val="878871552"/>
        <c:axId val="878881120"/>
      </c:barChart>
      <c:catAx>
        <c:axId val="878871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878881120"/>
        <c:crosses val="autoZero"/>
        <c:auto val="1"/>
        <c:lblAlgn val="ctr"/>
        <c:lblOffset val="100"/>
        <c:noMultiLvlLbl val="0"/>
      </c:catAx>
      <c:valAx>
        <c:axId val="878881120"/>
        <c:scaling>
          <c:orientation val="minMax"/>
        </c:scaling>
        <c:delete val="1"/>
        <c:axPos val="b"/>
        <c:numFmt formatCode="General" sourceLinked="1"/>
        <c:majorTickMark val="none"/>
        <c:minorTickMark val="none"/>
        <c:tickLblPos val="nextTo"/>
        <c:crossAx val="878871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(VBA).xlsm]Sales Trend!PivotTable3</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Trend'!$B$3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'Sales Trend'!$A$4:$A$28</c:f>
              <c:multiLvlStrCache>
                <c:ptCount val="2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lvl>
                <c:lvl>
                  <c:pt idx="0">
                    <c:v>2018</c:v>
                  </c:pt>
                  <c:pt idx="12">
                    <c:v>2019</c:v>
                  </c:pt>
                </c:lvl>
              </c:multiLvlStrCache>
            </c:multiLvlStrRef>
          </c:cat>
          <c:val>
            <c:numRef>
              <c:f>'Sales Trend'!$B$4:$B$28</c:f>
              <c:numCache>
                <c:formatCode>General</c:formatCode>
                <c:ptCount val="22"/>
                <c:pt idx="0">
                  <c:v>9275900</c:v>
                </c:pt>
                <c:pt idx="1">
                  <c:v>9309600</c:v>
                </c:pt>
                <c:pt idx="2">
                  <c:v>10330900</c:v>
                </c:pt>
                <c:pt idx="3">
                  <c:v>9339200</c:v>
                </c:pt>
                <c:pt idx="4">
                  <c:v>11852300</c:v>
                </c:pt>
                <c:pt idx="5">
                  <c:v>10511300</c:v>
                </c:pt>
                <c:pt idx="6">
                  <c:v>8669400</c:v>
                </c:pt>
                <c:pt idx="7">
                  <c:v>9614300</c:v>
                </c:pt>
                <c:pt idx="8">
                  <c:v>8945900</c:v>
                </c:pt>
                <c:pt idx="9">
                  <c:v>8889100</c:v>
                </c:pt>
                <c:pt idx="10">
                  <c:v>9969900</c:v>
                </c:pt>
                <c:pt idx="11">
                  <c:v>9107300</c:v>
                </c:pt>
                <c:pt idx="12">
                  <c:v>8429300</c:v>
                </c:pt>
                <c:pt idx="13">
                  <c:v>10603300</c:v>
                </c:pt>
                <c:pt idx="14">
                  <c:v>12707400</c:v>
                </c:pt>
                <c:pt idx="15">
                  <c:v>9240000</c:v>
                </c:pt>
                <c:pt idx="16">
                  <c:v>9163700</c:v>
                </c:pt>
                <c:pt idx="17">
                  <c:v>8801200</c:v>
                </c:pt>
                <c:pt idx="18">
                  <c:v>7198000</c:v>
                </c:pt>
                <c:pt idx="19">
                  <c:v>8883800</c:v>
                </c:pt>
                <c:pt idx="20">
                  <c:v>8275800</c:v>
                </c:pt>
                <c:pt idx="21">
                  <c:v>3741500</c:v>
                </c:pt>
              </c:numCache>
            </c:numRef>
          </c:val>
          <c:smooth val="0"/>
          <c:extLst>
            <c:ext xmlns:c16="http://schemas.microsoft.com/office/drawing/2014/chart" uri="{C3380CC4-5D6E-409C-BE32-E72D297353CC}">
              <c16:uniqueId val="{00000002-294A-4B12-A1D0-4A2D219C35BF}"/>
            </c:ext>
          </c:extLst>
        </c:ser>
        <c:dLbls>
          <c:showLegendKey val="0"/>
          <c:showVal val="0"/>
          <c:showCatName val="0"/>
          <c:showSerName val="0"/>
          <c:showPercent val="0"/>
          <c:showBubbleSize val="0"/>
        </c:dLbls>
        <c:marker val="1"/>
        <c:smooth val="0"/>
        <c:axId val="1704485711"/>
        <c:axId val="1704481967"/>
      </c:lineChart>
      <c:catAx>
        <c:axId val="1704485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81967"/>
        <c:crosses val="autoZero"/>
        <c:auto val="1"/>
        <c:lblAlgn val="ctr"/>
        <c:lblOffset val="100"/>
        <c:noMultiLvlLbl val="0"/>
      </c:catAx>
      <c:valAx>
        <c:axId val="1704481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85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(VBA).xlsm]Units Trend!PivotTable2</c:name>
    <c:fmtId val="18"/>
  </c:pivotSource>
  <c:chart>
    <c:autoTitleDeleted val="1"/>
    <c:pivotFmts>
      <c:pivotFmt>
        <c:idx val="0"/>
        <c:spPr>
          <a:ln w="28575" cap="rnd">
            <a:solidFill>
              <a:schemeClr val="accent1"/>
            </a:solidFill>
            <a:round/>
          </a:ln>
          <a:effectLst/>
        </c:spPr>
        <c:marker>
          <c:symbol val="circle"/>
          <c:size val="5"/>
          <c:spPr>
            <a:gradFill flip="none" rotWithShape="1">
              <a:gsLst>
                <a:gs pos="0">
                  <a:schemeClr val="accent1">
                    <a:lumMod val="20000"/>
                    <a:lumOff val="80000"/>
                  </a:schemeClr>
                </a:gs>
                <a:gs pos="49000">
                  <a:schemeClr val="accent1">
                    <a:lumMod val="60000"/>
                    <a:lumOff val="40000"/>
                  </a:schemeClr>
                </a:gs>
                <a:gs pos="99000">
                  <a:schemeClr val="accent1">
                    <a:lumMod val="20000"/>
                    <a:lumOff val="80000"/>
                  </a:schemeClr>
                </a:gs>
              </a:gsLst>
              <a:path path="circle">
                <a:fillToRect l="100000" t="100000"/>
              </a:path>
              <a:tileRect r="-100000" b="-100000"/>
            </a:gradFill>
            <a:ln w="9525">
              <a:solidFill>
                <a:schemeClr val="accent1"/>
              </a:solidFill>
            </a:ln>
            <a:effectLst/>
            <a:scene3d>
              <a:camera prst="orthographicFront"/>
              <a:lightRig rig="threePt" dir="t"/>
            </a:scene3d>
            <a:sp3d>
              <a:bevelT w="190500" h="381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'Units Trend'!$B$4</c:f>
              <c:strCache>
                <c:ptCount val="1"/>
                <c:pt idx="0">
                  <c:v>Total</c:v>
                </c:pt>
              </c:strCache>
            </c:strRef>
          </c:tx>
          <c:spPr>
            <a:ln w="28575" cap="rnd">
              <a:solidFill>
                <a:schemeClr val="accent1"/>
              </a:solidFill>
              <a:round/>
            </a:ln>
            <a:effectLst/>
          </c:spPr>
          <c:marker>
            <c:symbol val="circle"/>
            <c:size val="5"/>
            <c:spPr>
              <a:gradFill flip="none" rotWithShape="1">
                <a:gsLst>
                  <a:gs pos="0">
                    <a:schemeClr val="accent1">
                      <a:lumMod val="20000"/>
                      <a:lumOff val="80000"/>
                    </a:schemeClr>
                  </a:gs>
                  <a:gs pos="49000">
                    <a:schemeClr val="accent1">
                      <a:lumMod val="60000"/>
                      <a:lumOff val="40000"/>
                    </a:schemeClr>
                  </a:gs>
                  <a:gs pos="99000">
                    <a:schemeClr val="accent1">
                      <a:lumMod val="20000"/>
                      <a:lumOff val="80000"/>
                    </a:schemeClr>
                  </a:gs>
                </a:gsLst>
                <a:path path="circle">
                  <a:fillToRect l="100000" t="100000"/>
                </a:path>
                <a:tileRect r="-100000" b="-100000"/>
              </a:gradFill>
              <a:ln w="9525">
                <a:solidFill>
                  <a:schemeClr val="accent1"/>
                </a:solidFill>
              </a:ln>
              <a:effectLst/>
              <a:scene3d>
                <a:camera prst="orthographicFront"/>
                <a:lightRig rig="threePt" dir="t"/>
              </a:scene3d>
              <a:sp3d>
                <a:bevelT w="190500" h="38100"/>
              </a:sp3d>
            </c:spPr>
          </c:marker>
          <c:cat>
            <c:multiLvlStrRef>
              <c:f>'Units Trend'!$A$5:$A$29</c:f>
              <c:multiLvlStrCache>
                <c:ptCount val="22"/>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lvl>
                <c:lvl>
                  <c:pt idx="0">
                    <c:v>2018</c:v>
                  </c:pt>
                  <c:pt idx="12">
                    <c:v>2019</c:v>
                  </c:pt>
                </c:lvl>
              </c:multiLvlStrCache>
            </c:multiLvlStrRef>
          </c:cat>
          <c:val>
            <c:numRef>
              <c:f>'Units Trend'!$B$5:$B$29</c:f>
              <c:numCache>
                <c:formatCode>General</c:formatCode>
                <c:ptCount val="22"/>
                <c:pt idx="0">
                  <c:v>421</c:v>
                </c:pt>
                <c:pt idx="1">
                  <c:v>414</c:v>
                </c:pt>
                <c:pt idx="2">
                  <c:v>481</c:v>
                </c:pt>
                <c:pt idx="3">
                  <c:v>438</c:v>
                </c:pt>
                <c:pt idx="4">
                  <c:v>597</c:v>
                </c:pt>
                <c:pt idx="5">
                  <c:v>437</c:v>
                </c:pt>
                <c:pt idx="6">
                  <c:v>406</c:v>
                </c:pt>
                <c:pt idx="7">
                  <c:v>407</c:v>
                </c:pt>
                <c:pt idx="8">
                  <c:v>411</c:v>
                </c:pt>
                <c:pt idx="9">
                  <c:v>409</c:v>
                </c:pt>
                <c:pt idx="10">
                  <c:v>421</c:v>
                </c:pt>
                <c:pt idx="11">
                  <c:v>417</c:v>
                </c:pt>
                <c:pt idx="12">
                  <c:v>387</c:v>
                </c:pt>
                <c:pt idx="13">
                  <c:v>437</c:v>
                </c:pt>
                <c:pt idx="14">
                  <c:v>516</c:v>
                </c:pt>
                <c:pt idx="15">
                  <c:v>400</c:v>
                </c:pt>
                <c:pt idx="16">
                  <c:v>453</c:v>
                </c:pt>
                <c:pt idx="17">
                  <c:v>388</c:v>
                </c:pt>
                <c:pt idx="18">
                  <c:v>310</c:v>
                </c:pt>
                <c:pt idx="19">
                  <c:v>432</c:v>
                </c:pt>
                <c:pt idx="20">
                  <c:v>362</c:v>
                </c:pt>
                <c:pt idx="21">
                  <c:v>175</c:v>
                </c:pt>
              </c:numCache>
            </c:numRef>
          </c:val>
          <c:smooth val="0"/>
          <c:extLst>
            <c:ext xmlns:c16="http://schemas.microsoft.com/office/drawing/2014/chart" uri="{C3380CC4-5D6E-409C-BE32-E72D297353CC}">
              <c16:uniqueId val="{00000000-3104-4533-AC57-06503CA3C279}"/>
            </c:ext>
          </c:extLst>
        </c:ser>
        <c:dLbls>
          <c:showLegendKey val="0"/>
          <c:showVal val="0"/>
          <c:showCatName val="0"/>
          <c:showSerName val="0"/>
          <c:showPercent val="0"/>
          <c:showBubbleSize val="0"/>
        </c:dLbls>
        <c:marker val="1"/>
        <c:smooth val="0"/>
        <c:axId val="817625216"/>
        <c:axId val="817625632"/>
      </c:lineChart>
      <c:catAx>
        <c:axId val="817625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625632"/>
        <c:crosses val="autoZero"/>
        <c:auto val="1"/>
        <c:lblAlgn val="ctr"/>
        <c:lblOffset val="100"/>
        <c:noMultiLvlLbl val="0"/>
      </c:catAx>
      <c:valAx>
        <c:axId val="8176256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7625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(VBA).xlsm]Sales by Employee!PivotTable13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Employee'!$B$3:$B$4</c:f>
              <c:strCache>
                <c:ptCount val="1"/>
                <c:pt idx="0">
                  <c:v>Annie Chaudhary</c:v>
                </c:pt>
              </c:strCache>
            </c:strRef>
          </c:tx>
          <c:spPr>
            <a:solidFill>
              <a:schemeClr val="accent1"/>
            </a:solidFill>
            <a:ln>
              <a:noFill/>
            </a:ln>
            <a:effectLst/>
          </c:spPr>
          <c:invertIfNegative val="0"/>
          <c:cat>
            <c:strRef>
              <c:f>'Sales by Employee'!$A$5:$A$7</c:f>
              <c:strCache>
                <c:ptCount val="2"/>
                <c:pt idx="0">
                  <c:v>2018</c:v>
                </c:pt>
                <c:pt idx="1">
                  <c:v>2019</c:v>
                </c:pt>
              </c:strCache>
            </c:strRef>
          </c:cat>
          <c:val>
            <c:numRef>
              <c:f>'Sales by Employee'!$B$5:$B$7</c:f>
              <c:numCache>
                <c:formatCode>General</c:formatCode>
                <c:ptCount val="2"/>
                <c:pt idx="0">
                  <c:v>14161400</c:v>
                </c:pt>
                <c:pt idx="1">
                  <c:v>13476400</c:v>
                </c:pt>
              </c:numCache>
            </c:numRef>
          </c:val>
          <c:extLst>
            <c:ext xmlns:c16="http://schemas.microsoft.com/office/drawing/2014/chart" uri="{C3380CC4-5D6E-409C-BE32-E72D297353CC}">
              <c16:uniqueId val="{00000000-9B02-4563-8669-0DFB46E4F7C1}"/>
            </c:ext>
          </c:extLst>
        </c:ser>
        <c:ser>
          <c:idx val="1"/>
          <c:order val="1"/>
          <c:tx>
            <c:strRef>
              <c:f>'Sales by Employee'!$C$3:$C$4</c:f>
              <c:strCache>
                <c:ptCount val="1"/>
                <c:pt idx="0">
                  <c:v>Arjun Reddy</c:v>
                </c:pt>
              </c:strCache>
            </c:strRef>
          </c:tx>
          <c:spPr>
            <a:solidFill>
              <a:schemeClr val="accent2"/>
            </a:solidFill>
            <a:ln>
              <a:noFill/>
            </a:ln>
            <a:effectLst/>
          </c:spPr>
          <c:invertIfNegative val="0"/>
          <c:cat>
            <c:strRef>
              <c:f>'Sales by Employee'!$A$5:$A$7</c:f>
              <c:strCache>
                <c:ptCount val="2"/>
                <c:pt idx="0">
                  <c:v>2018</c:v>
                </c:pt>
                <c:pt idx="1">
                  <c:v>2019</c:v>
                </c:pt>
              </c:strCache>
            </c:strRef>
          </c:cat>
          <c:val>
            <c:numRef>
              <c:f>'Sales by Employee'!$C$5:$C$7</c:f>
              <c:numCache>
                <c:formatCode>General</c:formatCode>
                <c:ptCount val="2"/>
                <c:pt idx="0">
                  <c:v>12634400</c:v>
                </c:pt>
                <c:pt idx="1">
                  <c:v>10544400</c:v>
                </c:pt>
              </c:numCache>
            </c:numRef>
          </c:val>
          <c:extLst>
            <c:ext xmlns:c16="http://schemas.microsoft.com/office/drawing/2014/chart" uri="{C3380CC4-5D6E-409C-BE32-E72D297353CC}">
              <c16:uniqueId val="{00000000-E4FF-4A28-8837-EE8704B67619}"/>
            </c:ext>
          </c:extLst>
        </c:ser>
        <c:ser>
          <c:idx val="2"/>
          <c:order val="2"/>
          <c:tx>
            <c:strRef>
              <c:f>'Sales by Employee'!$D$3:$D$4</c:f>
              <c:strCache>
                <c:ptCount val="1"/>
                <c:pt idx="0">
                  <c:v>Avinash Thakur</c:v>
                </c:pt>
              </c:strCache>
            </c:strRef>
          </c:tx>
          <c:spPr>
            <a:solidFill>
              <a:schemeClr val="accent3"/>
            </a:solidFill>
            <a:ln>
              <a:noFill/>
            </a:ln>
            <a:effectLst/>
          </c:spPr>
          <c:invertIfNegative val="0"/>
          <c:cat>
            <c:strRef>
              <c:f>'Sales by Employee'!$A$5:$A$7</c:f>
              <c:strCache>
                <c:ptCount val="2"/>
                <c:pt idx="0">
                  <c:v>2018</c:v>
                </c:pt>
                <c:pt idx="1">
                  <c:v>2019</c:v>
                </c:pt>
              </c:strCache>
            </c:strRef>
          </c:cat>
          <c:val>
            <c:numRef>
              <c:f>'Sales by Employee'!$D$5:$D$7</c:f>
              <c:numCache>
                <c:formatCode>General</c:formatCode>
                <c:ptCount val="2"/>
                <c:pt idx="0">
                  <c:v>15511100</c:v>
                </c:pt>
                <c:pt idx="1">
                  <c:v>9667900</c:v>
                </c:pt>
              </c:numCache>
            </c:numRef>
          </c:val>
          <c:extLst>
            <c:ext xmlns:c16="http://schemas.microsoft.com/office/drawing/2014/chart" uri="{C3380CC4-5D6E-409C-BE32-E72D297353CC}">
              <c16:uniqueId val="{00000000-38CE-4376-B2FB-E9F51343F3E9}"/>
            </c:ext>
          </c:extLst>
        </c:ser>
        <c:ser>
          <c:idx val="3"/>
          <c:order val="3"/>
          <c:tx>
            <c:strRef>
              <c:f>'Sales by Employee'!$E$3:$E$4</c:f>
              <c:strCache>
                <c:ptCount val="1"/>
                <c:pt idx="0">
                  <c:v>Harsh Makhija</c:v>
                </c:pt>
              </c:strCache>
            </c:strRef>
          </c:tx>
          <c:spPr>
            <a:solidFill>
              <a:schemeClr val="accent4"/>
            </a:solidFill>
            <a:ln>
              <a:noFill/>
            </a:ln>
            <a:effectLst/>
          </c:spPr>
          <c:invertIfNegative val="0"/>
          <c:cat>
            <c:strRef>
              <c:f>'Sales by Employee'!$A$5:$A$7</c:f>
              <c:strCache>
                <c:ptCount val="2"/>
                <c:pt idx="0">
                  <c:v>2018</c:v>
                </c:pt>
                <c:pt idx="1">
                  <c:v>2019</c:v>
                </c:pt>
              </c:strCache>
            </c:strRef>
          </c:cat>
          <c:val>
            <c:numRef>
              <c:f>'Sales by Employee'!$E$5:$E$7</c:f>
              <c:numCache>
                <c:formatCode>General</c:formatCode>
                <c:ptCount val="2"/>
                <c:pt idx="0">
                  <c:v>17683800</c:v>
                </c:pt>
                <c:pt idx="1">
                  <c:v>9949300</c:v>
                </c:pt>
              </c:numCache>
            </c:numRef>
          </c:val>
          <c:extLst>
            <c:ext xmlns:c16="http://schemas.microsoft.com/office/drawing/2014/chart" uri="{C3380CC4-5D6E-409C-BE32-E72D297353CC}">
              <c16:uniqueId val="{00000001-38CE-4376-B2FB-E9F51343F3E9}"/>
            </c:ext>
          </c:extLst>
        </c:ser>
        <c:ser>
          <c:idx val="4"/>
          <c:order val="4"/>
          <c:tx>
            <c:strRef>
              <c:f>'Sales by Employee'!$F$3:$F$4</c:f>
              <c:strCache>
                <c:ptCount val="1"/>
                <c:pt idx="0">
                  <c:v>Kunal Rai</c:v>
                </c:pt>
              </c:strCache>
            </c:strRef>
          </c:tx>
          <c:spPr>
            <a:solidFill>
              <a:schemeClr val="accent5"/>
            </a:solidFill>
            <a:ln>
              <a:noFill/>
            </a:ln>
            <a:effectLst/>
          </c:spPr>
          <c:invertIfNegative val="0"/>
          <c:cat>
            <c:strRef>
              <c:f>'Sales by Employee'!$A$5:$A$7</c:f>
              <c:strCache>
                <c:ptCount val="2"/>
                <c:pt idx="0">
                  <c:v>2018</c:v>
                </c:pt>
                <c:pt idx="1">
                  <c:v>2019</c:v>
                </c:pt>
              </c:strCache>
            </c:strRef>
          </c:cat>
          <c:val>
            <c:numRef>
              <c:f>'Sales by Employee'!$F$5:$F$7</c:f>
              <c:numCache>
                <c:formatCode>General</c:formatCode>
                <c:ptCount val="2"/>
                <c:pt idx="0">
                  <c:v>13843700</c:v>
                </c:pt>
                <c:pt idx="1">
                  <c:v>10524400</c:v>
                </c:pt>
              </c:numCache>
            </c:numRef>
          </c:val>
          <c:extLst>
            <c:ext xmlns:c16="http://schemas.microsoft.com/office/drawing/2014/chart" uri="{C3380CC4-5D6E-409C-BE32-E72D297353CC}">
              <c16:uniqueId val="{00000002-38CE-4376-B2FB-E9F51343F3E9}"/>
            </c:ext>
          </c:extLst>
        </c:ser>
        <c:ser>
          <c:idx val="5"/>
          <c:order val="5"/>
          <c:tx>
            <c:strRef>
              <c:f>'Sales by Employee'!$G$3:$G$4</c:f>
              <c:strCache>
                <c:ptCount val="1"/>
                <c:pt idx="0">
                  <c:v>Ravi Kumar</c:v>
                </c:pt>
              </c:strCache>
            </c:strRef>
          </c:tx>
          <c:spPr>
            <a:solidFill>
              <a:schemeClr val="accent6"/>
            </a:solidFill>
            <a:ln>
              <a:noFill/>
            </a:ln>
            <a:effectLst/>
          </c:spPr>
          <c:invertIfNegative val="0"/>
          <c:cat>
            <c:strRef>
              <c:f>'Sales by Employee'!$A$5:$A$7</c:f>
              <c:strCache>
                <c:ptCount val="2"/>
                <c:pt idx="0">
                  <c:v>2018</c:v>
                </c:pt>
                <c:pt idx="1">
                  <c:v>2019</c:v>
                </c:pt>
              </c:strCache>
            </c:strRef>
          </c:cat>
          <c:val>
            <c:numRef>
              <c:f>'Sales by Employee'!$G$5:$G$7</c:f>
              <c:numCache>
                <c:formatCode>General</c:formatCode>
                <c:ptCount val="2"/>
                <c:pt idx="0">
                  <c:v>13545500</c:v>
                </c:pt>
                <c:pt idx="1">
                  <c:v>12030200</c:v>
                </c:pt>
              </c:numCache>
            </c:numRef>
          </c:val>
          <c:extLst>
            <c:ext xmlns:c16="http://schemas.microsoft.com/office/drawing/2014/chart" uri="{C3380CC4-5D6E-409C-BE32-E72D297353CC}">
              <c16:uniqueId val="{00000003-38CE-4376-B2FB-E9F51343F3E9}"/>
            </c:ext>
          </c:extLst>
        </c:ser>
        <c:ser>
          <c:idx val="6"/>
          <c:order val="6"/>
          <c:tx>
            <c:strRef>
              <c:f>'Sales by Employee'!$H$3:$H$4</c:f>
              <c:strCache>
                <c:ptCount val="1"/>
                <c:pt idx="0">
                  <c:v>Varun Saran</c:v>
                </c:pt>
              </c:strCache>
            </c:strRef>
          </c:tx>
          <c:spPr>
            <a:solidFill>
              <a:schemeClr val="accent1">
                <a:lumMod val="60000"/>
              </a:schemeClr>
            </a:solidFill>
            <a:ln>
              <a:noFill/>
            </a:ln>
            <a:effectLst/>
          </c:spPr>
          <c:invertIfNegative val="0"/>
          <c:cat>
            <c:strRef>
              <c:f>'Sales by Employee'!$A$5:$A$7</c:f>
              <c:strCache>
                <c:ptCount val="2"/>
                <c:pt idx="0">
                  <c:v>2018</c:v>
                </c:pt>
                <c:pt idx="1">
                  <c:v>2019</c:v>
                </c:pt>
              </c:strCache>
            </c:strRef>
          </c:cat>
          <c:val>
            <c:numRef>
              <c:f>'Sales by Employee'!$H$5:$H$7</c:f>
              <c:numCache>
                <c:formatCode>General</c:formatCode>
                <c:ptCount val="2"/>
                <c:pt idx="0">
                  <c:v>15720700</c:v>
                </c:pt>
                <c:pt idx="1">
                  <c:v>9446500</c:v>
                </c:pt>
              </c:numCache>
            </c:numRef>
          </c:val>
          <c:extLst>
            <c:ext xmlns:c16="http://schemas.microsoft.com/office/drawing/2014/chart" uri="{C3380CC4-5D6E-409C-BE32-E72D297353CC}">
              <c16:uniqueId val="{00000004-38CE-4376-B2FB-E9F51343F3E9}"/>
            </c:ext>
          </c:extLst>
        </c:ser>
        <c:ser>
          <c:idx val="7"/>
          <c:order val="7"/>
          <c:tx>
            <c:strRef>
              <c:f>'Sales by Employee'!$I$3:$I$4</c:f>
              <c:strCache>
                <c:ptCount val="1"/>
                <c:pt idx="0">
                  <c:v>Vikram Rathore</c:v>
                </c:pt>
              </c:strCache>
            </c:strRef>
          </c:tx>
          <c:spPr>
            <a:solidFill>
              <a:schemeClr val="accent2">
                <a:lumMod val="60000"/>
              </a:schemeClr>
            </a:solidFill>
            <a:ln>
              <a:noFill/>
            </a:ln>
            <a:effectLst/>
          </c:spPr>
          <c:invertIfNegative val="0"/>
          <c:cat>
            <c:strRef>
              <c:f>'Sales by Employee'!$A$5:$A$7</c:f>
              <c:strCache>
                <c:ptCount val="2"/>
                <c:pt idx="0">
                  <c:v>2018</c:v>
                </c:pt>
                <c:pt idx="1">
                  <c:v>2019</c:v>
                </c:pt>
              </c:strCache>
            </c:strRef>
          </c:cat>
          <c:val>
            <c:numRef>
              <c:f>'Sales by Employee'!$I$5:$I$7</c:f>
              <c:numCache>
                <c:formatCode>General</c:formatCode>
                <c:ptCount val="2"/>
                <c:pt idx="0">
                  <c:v>12714500</c:v>
                </c:pt>
                <c:pt idx="1">
                  <c:v>11404900</c:v>
                </c:pt>
              </c:numCache>
            </c:numRef>
          </c:val>
          <c:extLst>
            <c:ext xmlns:c16="http://schemas.microsoft.com/office/drawing/2014/chart" uri="{C3380CC4-5D6E-409C-BE32-E72D297353CC}">
              <c16:uniqueId val="{00000005-38CE-4376-B2FB-E9F51343F3E9}"/>
            </c:ext>
          </c:extLst>
        </c:ser>
        <c:dLbls>
          <c:showLegendKey val="0"/>
          <c:showVal val="0"/>
          <c:showCatName val="0"/>
          <c:showSerName val="0"/>
          <c:showPercent val="0"/>
          <c:showBubbleSize val="0"/>
        </c:dLbls>
        <c:gapWidth val="219"/>
        <c:overlap val="-27"/>
        <c:axId val="1707343535"/>
        <c:axId val="1707348111"/>
      </c:barChart>
      <c:catAx>
        <c:axId val="170734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7348111"/>
        <c:crosses val="autoZero"/>
        <c:auto val="1"/>
        <c:lblAlgn val="ctr"/>
        <c:lblOffset val="100"/>
        <c:noMultiLvlLbl val="0"/>
      </c:catAx>
      <c:valAx>
        <c:axId val="1707348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500" b="0" i="0" u="none" strike="noStrike" kern="1200" baseline="0">
                <a:solidFill>
                  <a:schemeClr val="tx1">
                    <a:lumMod val="65000"/>
                    <a:lumOff val="35000"/>
                  </a:schemeClr>
                </a:solidFill>
                <a:latin typeface="+mn-lt"/>
                <a:ea typeface="+mn-ea"/>
                <a:cs typeface="+mn-cs"/>
              </a:defRPr>
            </a:pPr>
            <a:endParaRPr lang="en-US"/>
          </a:p>
        </c:txPr>
        <c:crossAx val="1707343535"/>
        <c:crosses val="autoZero"/>
        <c:crossBetween val="between"/>
      </c:valAx>
      <c:spPr>
        <a:noFill/>
        <a:ln>
          <a:noFill/>
        </a:ln>
        <a:effectLst/>
      </c:spPr>
    </c:plotArea>
    <c:legend>
      <c:legendPos val="r"/>
      <c:layout>
        <c:manualLayout>
          <c:xMode val="edge"/>
          <c:yMode val="edge"/>
          <c:x val="0.65017627333695849"/>
          <c:y val="5.7429174201326101E-2"/>
          <c:w val="0.31325720500271886"/>
          <c:h val="0.67629897528631711"/>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(VBA).xlsm]Units by Employee!PivotTable8</c:name>
    <c:fmtId val="5"/>
  </c:pivotSource>
  <c:chart>
    <c:autoTitleDeleted val="0"/>
    <c:pivotFmts>
      <c:pivotFmt>
        <c:idx val="0"/>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'Units by Employee'!$B$3:$B$4</c:f>
              <c:strCache>
                <c:ptCount val="1"/>
                <c:pt idx="0">
                  <c:v>Annie Chaudhary</c:v>
                </c:pt>
              </c:strCache>
            </c:strRef>
          </c:tx>
          <c:spPr>
            <a:solidFill>
              <a:schemeClr val="accent2">
                <a:lumMod val="20000"/>
                <a:lumOff val="80000"/>
              </a:schemeClr>
            </a:solidFill>
            <a:ln>
              <a:noFill/>
            </a:ln>
            <a:effectLst/>
          </c:spPr>
          <c:invertIfNegative val="0"/>
          <c:cat>
            <c:strRef>
              <c:f>'Units by Employee'!$A$5:$A$7</c:f>
              <c:strCache>
                <c:ptCount val="2"/>
                <c:pt idx="0">
                  <c:v>2018</c:v>
                </c:pt>
                <c:pt idx="1">
                  <c:v>2019</c:v>
                </c:pt>
              </c:strCache>
            </c:strRef>
          </c:cat>
          <c:val>
            <c:numRef>
              <c:f>'Units by Employee'!$B$5:$B$7</c:f>
              <c:numCache>
                <c:formatCode>General</c:formatCode>
                <c:ptCount val="2"/>
                <c:pt idx="0">
                  <c:v>656</c:v>
                </c:pt>
                <c:pt idx="1">
                  <c:v>576</c:v>
                </c:pt>
              </c:numCache>
            </c:numRef>
          </c:val>
          <c:extLst>
            <c:ext xmlns:c16="http://schemas.microsoft.com/office/drawing/2014/chart" uri="{C3380CC4-5D6E-409C-BE32-E72D297353CC}">
              <c16:uniqueId val="{00000000-BC4E-4309-A2FF-BC23A061A4CF}"/>
            </c:ext>
          </c:extLst>
        </c:ser>
        <c:ser>
          <c:idx val="1"/>
          <c:order val="1"/>
          <c:tx>
            <c:strRef>
              <c:f>'Units by Employee'!$C$3:$C$4</c:f>
              <c:strCache>
                <c:ptCount val="1"/>
                <c:pt idx="0">
                  <c:v>Arjun Reddy</c:v>
                </c:pt>
              </c:strCache>
            </c:strRef>
          </c:tx>
          <c:spPr>
            <a:solidFill>
              <a:schemeClr val="accent2">
                <a:lumMod val="40000"/>
                <a:lumOff val="60000"/>
              </a:schemeClr>
            </a:solidFill>
            <a:ln>
              <a:noFill/>
            </a:ln>
            <a:effectLst/>
          </c:spPr>
          <c:invertIfNegative val="0"/>
          <c:cat>
            <c:strRef>
              <c:f>'Units by Employee'!$A$5:$A$7</c:f>
              <c:strCache>
                <c:ptCount val="2"/>
                <c:pt idx="0">
                  <c:v>2018</c:v>
                </c:pt>
                <c:pt idx="1">
                  <c:v>2019</c:v>
                </c:pt>
              </c:strCache>
            </c:strRef>
          </c:cat>
          <c:val>
            <c:numRef>
              <c:f>'Units by Employee'!$C$5:$C$7</c:f>
              <c:numCache>
                <c:formatCode>General</c:formatCode>
                <c:ptCount val="2"/>
                <c:pt idx="0">
                  <c:v>566</c:v>
                </c:pt>
                <c:pt idx="1">
                  <c:v>456</c:v>
                </c:pt>
              </c:numCache>
            </c:numRef>
          </c:val>
          <c:extLst>
            <c:ext xmlns:c16="http://schemas.microsoft.com/office/drawing/2014/chart" uri="{C3380CC4-5D6E-409C-BE32-E72D297353CC}">
              <c16:uniqueId val="{00000000-BCB8-4C2C-982E-5535D9D15677}"/>
            </c:ext>
          </c:extLst>
        </c:ser>
        <c:ser>
          <c:idx val="2"/>
          <c:order val="2"/>
          <c:tx>
            <c:strRef>
              <c:f>'Units by Employee'!$D$3:$D$4</c:f>
              <c:strCache>
                <c:ptCount val="1"/>
                <c:pt idx="0">
                  <c:v>Avinash Thakur</c:v>
                </c:pt>
              </c:strCache>
            </c:strRef>
          </c:tx>
          <c:spPr>
            <a:solidFill>
              <a:schemeClr val="accent2">
                <a:lumMod val="60000"/>
                <a:lumOff val="40000"/>
              </a:schemeClr>
            </a:solidFill>
            <a:ln>
              <a:noFill/>
            </a:ln>
            <a:effectLst/>
          </c:spPr>
          <c:invertIfNegative val="0"/>
          <c:cat>
            <c:strRef>
              <c:f>'Units by Employee'!$A$5:$A$7</c:f>
              <c:strCache>
                <c:ptCount val="2"/>
                <c:pt idx="0">
                  <c:v>2018</c:v>
                </c:pt>
                <c:pt idx="1">
                  <c:v>2019</c:v>
                </c:pt>
              </c:strCache>
            </c:strRef>
          </c:cat>
          <c:val>
            <c:numRef>
              <c:f>'Units by Employee'!$D$5:$D$7</c:f>
              <c:numCache>
                <c:formatCode>General</c:formatCode>
                <c:ptCount val="2"/>
                <c:pt idx="0">
                  <c:v>669</c:v>
                </c:pt>
                <c:pt idx="1">
                  <c:v>431</c:v>
                </c:pt>
              </c:numCache>
            </c:numRef>
          </c:val>
          <c:extLst>
            <c:ext xmlns:c16="http://schemas.microsoft.com/office/drawing/2014/chart" uri="{C3380CC4-5D6E-409C-BE32-E72D297353CC}">
              <c16:uniqueId val="{00000000-9D73-4848-AAED-D73F6EC55E59}"/>
            </c:ext>
          </c:extLst>
        </c:ser>
        <c:ser>
          <c:idx val="3"/>
          <c:order val="3"/>
          <c:tx>
            <c:strRef>
              <c:f>'Units by Employee'!$E$3:$E$4</c:f>
              <c:strCache>
                <c:ptCount val="1"/>
                <c:pt idx="0">
                  <c:v>Harsh Makhija</c:v>
                </c:pt>
              </c:strCache>
            </c:strRef>
          </c:tx>
          <c:spPr>
            <a:solidFill>
              <a:schemeClr val="accent2">
                <a:lumMod val="75000"/>
              </a:schemeClr>
            </a:solidFill>
            <a:ln>
              <a:noFill/>
            </a:ln>
            <a:effectLst/>
          </c:spPr>
          <c:invertIfNegative val="0"/>
          <c:cat>
            <c:strRef>
              <c:f>'Units by Employee'!$A$5:$A$7</c:f>
              <c:strCache>
                <c:ptCount val="2"/>
                <c:pt idx="0">
                  <c:v>2018</c:v>
                </c:pt>
                <c:pt idx="1">
                  <c:v>2019</c:v>
                </c:pt>
              </c:strCache>
            </c:strRef>
          </c:cat>
          <c:val>
            <c:numRef>
              <c:f>'Units by Employee'!$E$5:$E$7</c:f>
              <c:numCache>
                <c:formatCode>General</c:formatCode>
                <c:ptCount val="2"/>
                <c:pt idx="0">
                  <c:v>762</c:v>
                </c:pt>
                <c:pt idx="1">
                  <c:v>457</c:v>
                </c:pt>
              </c:numCache>
            </c:numRef>
          </c:val>
          <c:extLst>
            <c:ext xmlns:c16="http://schemas.microsoft.com/office/drawing/2014/chart" uri="{C3380CC4-5D6E-409C-BE32-E72D297353CC}">
              <c16:uniqueId val="{00000001-9D73-4848-AAED-D73F6EC55E59}"/>
            </c:ext>
          </c:extLst>
        </c:ser>
        <c:ser>
          <c:idx val="4"/>
          <c:order val="4"/>
          <c:tx>
            <c:strRef>
              <c:f>'Units by Employee'!$F$3:$F$4</c:f>
              <c:strCache>
                <c:ptCount val="1"/>
                <c:pt idx="0">
                  <c:v>Kunal Rai</c:v>
                </c:pt>
              </c:strCache>
            </c:strRef>
          </c:tx>
          <c:spPr>
            <a:solidFill>
              <a:srgbClr val="FFFF00"/>
            </a:solidFill>
            <a:ln>
              <a:noFill/>
            </a:ln>
            <a:effectLst/>
          </c:spPr>
          <c:invertIfNegative val="0"/>
          <c:cat>
            <c:strRef>
              <c:f>'Units by Employee'!$A$5:$A$7</c:f>
              <c:strCache>
                <c:ptCount val="2"/>
                <c:pt idx="0">
                  <c:v>2018</c:v>
                </c:pt>
                <c:pt idx="1">
                  <c:v>2019</c:v>
                </c:pt>
              </c:strCache>
            </c:strRef>
          </c:cat>
          <c:val>
            <c:numRef>
              <c:f>'Units by Employee'!$F$5:$F$7</c:f>
              <c:numCache>
                <c:formatCode>General</c:formatCode>
                <c:ptCount val="2"/>
                <c:pt idx="0">
                  <c:v>663</c:v>
                </c:pt>
                <c:pt idx="1">
                  <c:v>476</c:v>
                </c:pt>
              </c:numCache>
            </c:numRef>
          </c:val>
          <c:extLst>
            <c:ext xmlns:c16="http://schemas.microsoft.com/office/drawing/2014/chart" uri="{C3380CC4-5D6E-409C-BE32-E72D297353CC}">
              <c16:uniqueId val="{00000002-9D73-4848-AAED-D73F6EC55E59}"/>
            </c:ext>
          </c:extLst>
        </c:ser>
        <c:ser>
          <c:idx val="5"/>
          <c:order val="5"/>
          <c:tx>
            <c:strRef>
              <c:f>'Units by Employee'!$G$3:$G$4</c:f>
              <c:strCache>
                <c:ptCount val="1"/>
                <c:pt idx="0">
                  <c:v>Ravi Kumar</c:v>
                </c:pt>
              </c:strCache>
            </c:strRef>
          </c:tx>
          <c:spPr>
            <a:solidFill>
              <a:schemeClr val="accent4">
                <a:lumMod val="60000"/>
                <a:lumOff val="40000"/>
              </a:schemeClr>
            </a:solidFill>
            <a:ln>
              <a:noFill/>
            </a:ln>
            <a:effectLst/>
          </c:spPr>
          <c:invertIfNegative val="0"/>
          <c:cat>
            <c:strRef>
              <c:f>'Units by Employee'!$A$5:$A$7</c:f>
              <c:strCache>
                <c:ptCount val="2"/>
                <c:pt idx="0">
                  <c:v>2018</c:v>
                </c:pt>
                <c:pt idx="1">
                  <c:v>2019</c:v>
                </c:pt>
              </c:strCache>
            </c:strRef>
          </c:cat>
          <c:val>
            <c:numRef>
              <c:f>'Units by Employee'!$G$5:$G$7</c:f>
              <c:numCache>
                <c:formatCode>General</c:formatCode>
                <c:ptCount val="2"/>
                <c:pt idx="0">
                  <c:v>615</c:v>
                </c:pt>
                <c:pt idx="1">
                  <c:v>548</c:v>
                </c:pt>
              </c:numCache>
            </c:numRef>
          </c:val>
          <c:extLst>
            <c:ext xmlns:c16="http://schemas.microsoft.com/office/drawing/2014/chart" uri="{C3380CC4-5D6E-409C-BE32-E72D297353CC}">
              <c16:uniqueId val="{00000003-9D73-4848-AAED-D73F6EC55E59}"/>
            </c:ext>
          </c:extLst>
        </c:ser>
        <c:ser>
          <c:idx val="6"/>
          <c:order val="6"/>
          <c:tx>
            <c:strRef>
              <c:f>'Units by Employee'!$H$3:$H$4</c:f>
              <c:strCache>
                <c:ptCount val="1"/>
                <c:pt idx="0">
                  <c:v>Varun Saran</c:v>
                </c:pt>
              </c:strCache>
            </c:strRef>
          </c:tx>
          <c:spPr>
            <a:solidFill>
              <a:srgbClr val="FFC000"/>
            </a:solidFill>
            <a:ln>
              <a:noFill/>
            </a:ln>
            <a:effectLst/>
          </c:spPr>
          <c:invertIfNegative val="0"/>
          <c:cat>
            <c:strRef>
              <c:f>'Units by Employee'!$A$5:$A$7</c:f>
              <c:strCache>
                <c:ptCount val="2"/>
                <c:pt idx="0">
                  <c:v>2018</c:v>
                </c:pt>
                <c:pt idx="1">
                  <c:v>2019</c:v>
                </c:pt>
              </c:strCache>
            </c:strRef>
          </c:cat>
          <c:val>
            <c:numRef>
              <c:f>'Units by Employee'!$H$5:$H$7</c:f>
              <c:numCache>
                <c:formatCode>General</c:formatCode>
                <c:ptCount val="2"/>
                <c:pt idx="0">
                  <c:v>743</c:v>
                </c:pt>
                <c:pt idx="1">
                  <c:v>395</c:v>
                </c:pt>
              </c:numCache>
            </c:numRef>
          </c:val>
          <c:extLst>
            <c:ext xmlns:c16="http://schemas.microsoft.com/office/drawing/2014/chart" uri="{C3380CC4-5D6E-409C-BE32-E72D297353CC}">
              <c16:uniqueId val="{00000004-9D73-4848-AAED-D73F6EC55E59}"/>
            </c:ext>
          </c:extLst>
        </c:ser>
        <c:ser>
          <c:idx val="7"/>
          <c:order val="7"/>
          <c:tx>
            <c:strRef>
              <c:f>'Units by Employee'!$I$3:$I$4</c:f>
              <c:strCache>
                <c:ptCount val="1"/>
                <c:pt idx="0">
                  <c:v>Vikram Rathore</c:v>
                </c:pt>
              </c:strCache>
            </c:strRef>
          </c:tx>
          <c:spPr>
            <a:solidFill>
              <a:schemeClr val="accent4">
                <a:lumMod val="75000"/>
              </a:schemeClr>
            </a:solidFill>
            <a:ln>
              <a:noFill/>
            </a:ln>
            <a:effectLst/>
          </c:spPr>
          <c:invertIfNegative val="0"/>
          <c:cat>
            <c:strRef>
              <c:f>'Units by Employee'!$A$5:$A$7</c:f>
              <c:strCache>
                <c:ptCount val="2"/>
                <c:pt idx="0">
                  <c:v>2018</c:v>
                </c:pt>
                <c:pt idx="1">
                  <c:v>2019</c:v>
                </c:pt>
              </c:strCache>
            </c:strRef>
          </c:cat>
          <c:val>
            <c:numRef>
              <c:f>'Units by Employee'!$I$5:$I$7</c:f>
              <c:numCache>
                <c:formatCode>General</c:formatCode>
                <c:ptCount val="2"/>
                <c:pt idx="0">
                  <c:v>585</c:v>
                </c:pt>
                <c:pt idx="1">
                  <c:v>521</c:v>
                </c:pt>
              </c:numCache>
            </c:numRef>
          </c:val>
          <c:extLst>
            <c:ext xmlns:c16="http://schemas.microsoft.com/office/drawing/2014/chart" uri="{C3380CC4-5D6E-409C-BE32-E72D297353CC}">
              <c16:uniqueId val="{00000005-9D73-4848-AAED-D73F6EC55E59}"/>
            </c:ext>
          </c:extLst>
        </c:ser>
        <c:dLbls>
          <c:showLegendKey val="0"/>
          <c:showVal val="0"/>
          <c:showCatName val="0"/>
          <c:showSerName val="0"/>
          <c:showPercent val="0"/>
          <c:showBubbleSize val="0"/>
        </c:dLbls>
        <c:gapWidth val="219"/>
        <c:overlap val="-27"/>
        <c:axId val="878875712"/>
        <c:axId val="878873216"/>
      </c:barChart>
      <c:catAx>
        <c:axId val="87887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878873216"/>
        <c:crosses val="autoZero"/>
        <c:auto val="1"/>
        <c:lblAlgn val="ctr"/>
        <c:lblOffset val="100"/>
        <c:noMultiLvlLbl val="0"/>
      </c:catAx>
      <c:valAx>
        <c:axId val="878873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878875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(VBA).xlsm]Item Share (Revenue)!PivotTable14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1421234772978959"/>
          <c:y val="6.7253995763527821E-2"/>
          <c:w val="0.72747323735695824"/>
          <c:h val="0.75899287502407087"/>
        </c:manualLayout>
      </c:layout>
      <c:doughnutChart>
        <c:varyColors val="1"/>
        <c:ser>
          <c:idx val="0"/>
          <c:order val="0"/>
          <c:tx>
            <c:strRef>
              <c:f>'Item Share (Revenue)'!$B$3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A8-46BF-9B4F-7C3625EE12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CA8-46BF-9B4F-7C3625EE12D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CA8-46BF-9B4F-7C3625EE12D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CA8-46BF-9B4F-7C3625EE12D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CA8-46BF-9B4F-7C3625EE12D7}"/>
              </c:ext>
            </c:extLst>
          </c:dPt>
          <c:cat>
            <c:strRef>
              <c:f>'Item Share (Revenue)'!$A$4:$A$9</c:f>
              <c:strCache>
                <c:ptCount val="5"/>
                <c:pt idx="0">
                  <c:v>Desktop</c:v>
                </c:pt>
                <c:pt idx="1">
                  <c:v>Headphone</c:v>
                </c:pt>
                <c:pt idx="2">
                  <c:v>Laptop 1</c:v>
                </c:pt>
                <c:pt idx="3">
                  <c:v>Laptop 2</c:v>
                </c:pt>
                <c:pt idx="4">
                  <c:v>Tablet</c:v>
                </c:pt>
              </c:strCache>
            </c:strRef>
          </c:cat>
          <c:val>
            <c:numRef>
              <c:f>'Item Share (Revenue)'!$B$4:$B$9</c:f>
              <c:numCache>
                <c:formatCode>General</c:formatCode>
                <c:ptCount val="5"/>
                <c:pt idx="0">
                  <c:v>36576200</c:v>
                </c:pt>
                <c:pt idx="1">
                  <c:v>12489000</c:v>
                </c:pt>
                <c:pt idx="2">
                  <c:v>73695300</c:v>
                </c:pt>
                <c:pt idx="3">
                  <c:v>49968100</c:v>
                </c:pt>
                <c:pt idx="4">
                  <c:v>30130500</c:v>
                </c:pt>
              </c:numCache>
            </c:numRef>
          </c:val>
          <c:extLst>
            <c:ext xmlns:c16="http://schemas.microsoft.com/office/drawing/2014/chart" uri="{C3380CC4-5D6E-409C-BE32-E72D297353CC}">
              <c16:uniqueId val="{00000000-B652-4371-A9B6-DA307CB8865E}"/>
            </c:ext>
          </c:extLst>
        </c:ser>
        <c:dLbls>
          <c:showLegendKey val="0"/>
          <c:showVal val="0"/>
          <c:showCatName val="0"/>
          <c:showSerName val="0"/>
          <c:showPercent val="0"/>
          <c:showBubbleSize val="0"/>
          <c:showLeaderLines val="1"/>
        </c:dLbls>
        <c:firstSliceAng val="0"/>
        <c:holeSize val="40"/>
      </c:doughnutChart>
      <c:spPr>
        <a:noFill/>
        <a:ln>
          <a:noFill/>
        </a:ln>
        <a:effectLst/>
      </c:spPr>
    </c:plotArea>
    <c:legend>
      <c:legendPos val="b"/>
      <c:layout>
        <c:manualLayout>
          <c:xMode val="edge"/>
          <c:yMode val="edge"/>
          <c:x val="6.9712993724621627E-2"/>
          <c:y val="0.83415559406893891"/>
          <c:w val="0.8722942045035067"/>
          <c:h val="0.1536164067013287"/>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(VBA).xlsm]Item Share (Units)!PivotTable9</c:name>
    <c:fmtId val="3"/>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6">
              <a:lumMod val="75000"/>
            </a:schemeClr>
          </a:solidFill>
          <a:ln w="19050">
            <a:noFill/>
          </a:ln>
          <a:effectLst/>
        </c:spPr>
      </c:pivotFmt>
      <c:pivotFmt>
        <c:idx val="2"/>
        <c:spPr>
          <a:solidFill>
            <a:schemeClr val="accent6">
              <a:lumMod val="50000"/>
            </a:schemeClr>
          </a:solidFill>
          <a:ln w="19050">
            <a:noFill/>
          </a:ln>
          <a:effectLst/>
        </c:spPr>
      </c:pivotFmt>
      <c:pivotFmt>
        <c:idx val="3"/>
        <c:spPr>
          <a:solidFill>
            <a:schemeClr val="accent6">
              <a:lumMod val="40000"/>
              <a:lumOff val="60000"/>
            </a:schemeClr>
          </a:solidFill>
          <a:ln w="19050">
            <a:noFill/>
          </a:ln>
          <a:effectLst/>
        </c:spPr>
      </c:pivotFmt>
      <c:pivotFmt>
        <c:idx val="4"/>
        <c:spPr>
          <a:solidFill>
            <a:srgbClr val="92D050"/>
          </a:solidFill>
          <a:ln w="19050">
            <a:noFill/>
          </a:ln>
          <a:effectLst/>
        </c:spPr>
      </c:pivotFmt>
      <c:pivotFmt>
        <c:idx val="5"/>
        <c:spPr>
          <a:solidFill>
            <a:srgbClr val="00B050"/>
          </a:solidFill>
          <a:ln w="19050">
            <a:noFill/>
          </a:ln>
          <a:effectLst/>
        </c:spPr>
      </c:pivotFmt>
    </c:pivotFmts>
    <c:plotArea>
      <c:layout>
        <c:manualLayout>
          <c:layoutTarget val="inner"/>
          <c:xMode val="edge"/>
          <c:yMode val="edge"/>
          <c:x val="0.11868309339239573"/>
          <c:y val="2.4455998459464664E-2"/>
          <c:w val="0.7743540051679586"/>
          <c:h val="0.8079048719430002"/>
        </c:manualLayout>
      </c:layout>
      <c:doughnutChart>
        <c:varyColors val="1"/>
        <c:ser>
          <c:idx val="0"/>
          <c:order val="0"/>
          <c:tx>
            <c:strRef>
              <c:f>'Item Share (Units)'!$B$3</c:f>
              <c:strCache>
                <c:ptCount val="1"/>
                <c:pt idx="0">
                  <c:v>Total</c:v>
                </c:pt>
              </c:strCache>
            </c:strRef>
          </c:tx>
          <c:spPr>
            <a:ln>
              <a:noFill/>
            </a:ln>
          </c:spPr>
          <c:dPt>
            <c:idx val="0"/>
            <c:bubble3D val="0"/>
            <c:spPr>
              <a:solidFill>
                <a:schemeClr val="accent6">
                  <a:lumMod val="75000"/>
                </a:schemeClr>
              </a:solidFill>
              <a:ln w="19050">
                <a:noFill/>
              </a:ln>
              <a:effectLst/>
            </c:spPr>
            <c:extLst>
              <c:ext xmlns:c16="http://schemas.microsoft.com/office/drawing/2014/chart" uri="{C3380CC4-5D6E-409C-BE32-E72D297353CC}">
                <c16:uniqueId val="{00000002-BD67-4873-BFDD-D0849D3A36FD}"/>
              </c:ext>
            </c:extLst>
          </c:dPt>
          <c:dPt>
            <c:idx val="1"/>
            <c:bubble3D val="0"/>
            <c:spPr>
              <a:solidFill>
                <a:schemeClr val="accent6">
                  <a:lumMod val="50000"/>
                </a:schemeClr>
              </a:solidFill>
              <a:ln w="19050">
                <a:noFill/>
              </a:ln>
              <a:effectLst/>
            </c:spPr>
            <c:extLst>
              <c:ext xmlns:c16="http://schemas.microsoft.com/office/drawing/2014/chart" uri="{C3380CC4-5D6E-409C-BE32-E72D297353CC}">
                <c16:uniqueId val="{00000003-BD67-4873-BFDD-D0849D3A36FD}"/>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4-BD67-4873-BFDD-D0849D3A36FD}"/>
              </c:ext>
            </c:extLst>
          </c:dPt>
          <c:dPt>
            <c:idx val="3"/>
            <c:bubble3D val="0"/>
            <c:spPr>
              <a:solidFill>
                <a:srgbClr val="92D050"/>
              </a:solidFill>
              <a:ln w="19050">
                <a:noFill/>
              </a:ln>
              <a:effectLst/>
            </c:spPr>
            <c:extLst>
              <c:ext xmlns:c16="http://schemas.microsoft.com/office/drawing/2014/chart" uri="{C3380CC4-5D6E-409C-BE32-E72D297353CC}">
                <c16:uniqueId val="{00000005-BD67-4873-BFDD-D0849D3A36FD}"/>
              </c:ext>
            </c:extLst>
          </c:dPt>
          <c:dPt>
            <c:idx val="4"/>
            <c:bubble3D val="0"/>
            <c:spPr>
              <a:solidFill>
                <a:srgbClr val="00B050"/>
              </a:solidFill>
              <a:ln w="19050">
                <a:noFill/>
              </a:ln>
              <a:effectLst/>
            </c:spPr>
            <c:extLst>
              <c:ext xmlns:c16="http://schemas.microsoft.com/office/drawing/2014/chart" uri="{C3380CC4-5D6E-409C-BE32-E72D297353CC}">
                <c16:uniqueId val="{00000006-BD67-4873-BFDD-D0849D3A36F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'Item Share (Units)'!$A$4:$A$9</c:f>
              <c:strCache>
                <c:ptCount val="5"/>
                <c:pt idx="0">
                  <c:v>Desktop</c:v>
                </c:pt>
                <c:pt idx="1">
                  <c:v>Headphone</c:v>
                </c:pt>
                <c:pt idx="2">
                  <c:v>Laptop 1</c:v>
                </c:pt>
                <c:pt idx="3">
                  <c:v>Laptop 2</c:v>
                </c:pt>
                <c:pt idx="4">
                  <c:v>Tablet</c:v>
                </c:pt>
              </c:strCache>
            </c:strRef>
          </c:cat>
          <c:val>
            <c:numRef>
              <c:f>'Item Share (Units)'!$B$4:$B$9</c:f>
              <c:numCache>
                <c:formatCode>General</c:formatCode>
                <c:ptCount val="5"/>
                <c:pt idx="0">
                  <c:v>1838</c:v>
                </c:pt>
                <c:pt idx="1">
                  <c:v>1810</c:v>
                </c:pt>
                <c:pt idx="2">
                  <c:v>1847</c:v>
                </c:pt>
                <c:pt idx="3">
                  <c:v>1729</c:v>
                </c:pt>
                <c:pt idx="4">
                  <c:v>1895</c:v>
                </c:pt>
              </c:numCache>
            </c:numRef>
          </c:val>
          <c:extLst>
            <c:ext xmlns:c16="http://schemas.microsoft.com/office/drawing/2014/chart" uri="{C3380CC4-5D6E-409C-BE32-E72D297353CC}">
              <c16:uniqueId val="{00000000-BD67-4873-BFDD-D0849D3A36FD}"/>
            </c:ext>
          </c:extLst>
        </c:ser>
        <c:dLbls>
          <c:showLegendKey val="0"/>
          <c:showVal val="1"/>
          <c:showCatName val="0"/>
          <c:showSerName val="0"/>
          <c:showPercent val="0"/>
          <c:showBubbleSize val="0"/>
          <c:showLeaderLines val="1"/>
        </c:dLbls>
        <c:firstSliceAng val="0"/>
        <c:holeSize val="40"/>
      </c:doughnutChart>
      <c:spPr>
        <a:noFill/>
        <a:ln>
          <a:noFill/>
        </a:ln>
        <a:effectLst/>
      </c:spPr>
    </c:plotArea>
    <c:legend>
      <c:legendPos val="b"/>
      <c:layout>
        <c:manualLayout>
          <c:xMode val="edge"/>
          <c:yMode val="edge"/>
          <c:x val="4.627260981912145E-2"/>
          <c:y val="0.85249759291353733"/>
          <c:w val="0.91917497231450718"/>
          <c:h val="0.135274407856730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(VBA).xlsm]Customer Revenue!PivotTable15</c:name>
    <c:fmtId val="0"/>
  </c:pivotSource>
  <c:chart>
    <c:autoTitleDeleted val="1"/>
    <c:pivotFmts>
      <c:pivotFmt>
        <c:idx val="0"/>
        <c:spPr>
          <a:gradFill>
            <a:gsLst>
              <a:gs pos="0">
                <a:srgbClr val="FF0000">
                  <a:lumMod val="95000"/>
                  <a:lumOff val="5000"/>
                </a:srgbClr>
              </a:gs>
              <a:gs pos="39000">
                <a:schemeClr val="accent2">
                  <a:lumMod val="50000"/>
                </a:schemeClr>
              </a:gs>
              <a:gs pos="65000">
                <a:schemeClr val="accent6">
                  <a:lumMod val="75000"/>
                </a:schemeClr>
              </a:gs>
              <a:gs pos="99000">
                <a:schemeClr val="accent6">
                  <a:lumMod val="5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1873354397051077"/>
          <c:y val="3.8473320158102765E-2"/>
          <c:w val="0.57435580129892927"/>
          <c:h val="0.93469861660079057"/>
        </c:manualLayout>
      </c:layout>
      <c:barChart>
        <c:barDir val="bar"/>
        <c:grouping val="clustered"/>
        <c:varyColors val="0"/>
        <c:ser>
          <c:idx val="0"/>
          <c:order val="0"/>
          <c:tx>
            <c:strRef>
              <c:f>'Customer Revenue'!$B$3</c:f>
              <c:strCache>
                <c:ptCount val="1"/>
                <c:pt idx="0">
                  <c:v>Total</c:v>
                </c:pt>
              </c:strCache>
            </c:strRef>
          </c:tx>
          <c:spPr>
            <a:gradFill>
              <a:gsLst>
                <a:gs pos="0">
                  <a:srgbClr val="FF0000">
                    <a:lumMod val="95000"/>
                    <a:lumOff val="5000"/>
                  </a:srgbClr>
                </a:gs>
                <a:gs pos="39000">
                  <a:schemeClr val="accent2">
                    <a:lumMod val="50000"/>
                  </a:schemeClr>
                </a:gs>
                <a:gs pos="65000">
                  <a:schemeClr val="accent6">
                    <a:lumMod val="75000"/>
                  </a:schemeClr>
                </a:gs>
                <a:gs pos="99000">
                  <a:schemeClr val="accent6">
                    <a:lumMod val="50000"/>
                  </a:schemeClr>
                </a:gs>
              </a:gsLst>
              <a:lin ang="5400000" scaled="1"/>
            </a:gradFill>
            <a:ln>
              <a:noFill/>
            </a:ln>
            <a:effectLst/>
          </c:spPr>
          <c:invertIfNegative val="0"/>
          <c:cat>
            <c:strRef>
              <c:f>'Customer Revenue'!$A$4:$A$24</c:f>
              <c:strCache>
                <c:ptCount val="20"/>
                <c:pt idx="0">
                  <c:v>Amul</c:v>
                </c:pt>
                <c:pt idx="1">
                  <c:v>Bata India Limited</c:v>
                </c:pt>
                <c:pt idx="2">
                  <c:v>Cadbury</c:v>
                </c:pt>
                <c:pt idx="3">
                  <c:v>Dixcy India Ltd</c:v>
                </c:pt>
                <c:pt idx="4">
                  <c:v>Dollar Industries Ltd</c:v>
                </c:pt>
                <c:pt idx="5">
                  <c:v>EMAMI</c:v>
                </c:pt>
                <c:pt idx="6">
                  <c:v>Flipkart India Limited</c:v>
                </c:pt>
                <c:pt idx="7">
                  <c:v>Great Eastern Trading Co</c:v>
                </c:pt>
                <c:pt idx="8">
                  <c:v>Hindustan Unilever Limited</c:v>
                </c:pt>
                <c:pt idx="9">
                  <c:v>ITC</c:v>
                </c:pt>
                <c:pt idx="10">
                  <c:v>Khadim India Limited</c:v>
                </c:pt>
                <c:pt idx="11">
                  <c:v>Lux India Ltd</c:v>
                </c:pt>
                <c:pt idx="12">
                  <c:v>Malcom India Ltd</c:v>
                </c:pt>
                <c:pt idx="13">
                  <c:v>Mirza International</c:v>
                </c:pt>
                <c:pt idx="14">
                  <c:v>Nestle</c:v>
                </c:pt>
                <c:pt idx="15">
                  <c:v>PEPSICO</c:v>
                </c:pt>
                <c:pt idx="16">
                  <c:v>Relaxo Footwear</c:v>
                </c:pt>
                <c:pt idx="17">
                  <c:v>Reliance Footprint</c:v>
                </c:pt>
                <c:pt idx="18">
                  <c:v>Rupa Industries Ltd</c:v>
                </c:pt>
                <c:pt idx="19">
                  <c:v>Suraksha Diagonistics</c:v>
                </c:pt>
              </c:strCache>
            </c:strRef>
          </c:cat>
          <c:val>
            <c:numRef>
              <c:f>'Customer Revenue'!$B$4:$B$24</c:f>
              <c:numCache>
                <c:formatCode>General</c:formatCode>
                <c:ptCount val="20"/>
                <c:pt idx="0">
                  <c:v>11564100</c:v>
                </c:pt>
                <c:pt idx="1">
                  <c:v>12282100</c:v>
                </c:pt>
                <c:pt idx="2">
                  <c:v>12208500</c:v>
                </c:pt>
                <c:pt idx="3">
                  <c:v>8627200</c:v>
                </c:pt>
                <c:pt idx="4">
                  <c:v>11199100</c:v>
                </c:pt>
                <c:pt idx="5">
                  <c:v>10593300</c:v>
                </c:pt>
                <c:pt idx="6">
                  <c:v>9387600</c:v>
                </c:pt>
                <c:pt idx="7">
                  <c:v>9839700</c:v>
                </c:pt>
                <c:pt idx="8">
                  <c:v>11444700</c:v>
                </c:pt>
                <c:pt idx="9">
                  <c:v>8381800</c:v>
                </c:pt>
                <c:pt idx="10">
                  <c:v>10623000</c:v>
                </c:pt>
                <c:pt idx="11">
                  <c:v>9280600</c:v>
                </c:pt>
                <c:pt idx="12">
                  <c:v>10610700</c:v>
                </c:pt>
                <c:pt idx="13">
                  <c:v>9858000</c:v>
                </c:pt>
                <c:pt idx="14">
                  <c:v>8921400</c:v>
                </c:pt>
                <c:pt idx="15">
                  <c:v>9443000</c:v>
                </c:pt>
                <c:pt idx="16">
                  <c:v>8369100</c:v>
                </c:pt>
                <c:pt idx="17">
                  <c:v>9310400</c:v>
                </c:pt>
                <c:pt idx="18">
                  <c:v>10823900</c:v>
                </c:pt>
                <c:pt idx="19">
                  <c:v>10090900</c:v>
                </c:pt>
              </c:numCache>
            </c:numRef>
          </c:val>
          <c:extLst>
            <c:ext xmlns:c16="http://schemas.microsoft.com/office/drawing/2014/chart" uri="{C3380CC4-5D6E-409C-BE32-E72D297353CC}">
              <c16:uniqueId val="{00000000-58E8-46DE-BF82-1B79228D3EB3}"/>
            </c:ext>
          </c:extLst>
        </c:ser>
        <c:dLbls>
          <c:showLegendKey val="0"/>
          <c:showVal val="0"/>
          <c:showCatName val="0"/>
          <c:showSerName val="0"/>
          <c:showPercent val="0"/>
          <c:showBubbleSize val="0"/>
        </c:dLbls>
        <c:gapWidth val="84"/>
        <c:axId val="1707330223"/>
        <c:axId val="1707349775"/>
      </c:barChart>
      <c:catAx>
        <c:axId val="1707330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707349775"/>
        <c:crosses val="autoZero"/>
        <c:auto val="1"/>
        <c:lblAlgn val="ctr"/>
        <c:lblOffset val="80"/>
        <c:tickLblSkip val="1"/>
        <c:noMultiLvlLbl val="0"/>
      </c:catAx>
      <c:valAx>
        <c:axId val="1707349775"/>
        <c:scaling>
          <c:orientation val="minMax"/>
        </c:scaling>
        <c:delete val="1"/>
        <c:axPos val="b"/>
        <c:numFmt formatCode="General" sourceLinked="1"/>
        <c:majorTickMark val="none"/>
        <c:minorTickMark val="none"/>
        <c:tickLblPos val="nextTo"/>
        <c:crossAx val="1707330223"/>
        <c:crosses val="autoZero"/>
        <c:crossBetween val="between"/>
      </c:valAx>
      <c:spPr>
        <a:noFill/>
        <a:ln w="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 Dashboard (VBA).xlsm]Customer Units!PivotTable10</c:name>
    <c:fmtId val="3"/>
  </c:pivotSource>
  <c:chart>
    <c:autoTitleDeleted val="1"/>
    <c:pivotFmts>
      <c:pivotFmt>
        <c:idx val="0"/>
        <c:spPr>
          <a:gradFill>
            <a:gsLst>
              <a:gs pos="0">
                <a:schemeClr val="accent4">
                  <a:lumMod val="50000"/>
                </a:schemeClr>
              </a:gs>
              <a:gs pos="42000">
                <a:srgbClr val="FFC000"/>
              </a:gs>
              <a:gs pos="78000">
                <a:schemeClr val="accent6">
                  <a:lumMod val="75000"/>
                </a:schemeClr>
              </a:gs>
              <a:gs pos="99000">
                <a:schemeClr val="accent6">
                  <a:lumMod val="5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Units'!$B$3</c:f>
              <c:strCache>
                <c:ptCount val="1"/>
                <c:pt idx="0">
                  <c:v>Total</c:v>
                </c:pt>
              </c:strCache>
            </c:strRef>
          </c:tx>
          <c:spPr>
            <a:gradFill>
              <a:gsLst>
                <a:gs pos="0">
                  <a:schemeClr val="accent4">
                    <a:lumMod val="50000"/>
                  </a:schemeClr>
                </a:gs>
                <a:gs pos="42000">
                  <a:srgbClr val="FFC000"/>
                </a:gs>
                <a:gs pos="78000">
                  <a:schemeClr val="accent6">
                    <a:lumMod val="75000"/>
                  </a:schemeClr>
                </a:gs>
                <a:gs pos="99000">
                  <a:schemeClr val="accent6">
                    <a:lumMod val="50000"/>
                  </a:schemeClr>
                </a:gs>
              </a:gsLst>
              <a:lin ang="5400000" scaled="1"/>
            </a:gradFill>
            <a:ln>
              <a:noFill/>
            </a:ln>
            <a:effectLst/>
          </c:spPr>
          <c:invertIfNegative val="0"/>
          <c:cat>
            <c:strRef>
              <c:f>'Customer Units'!$A$4:$A$24</c:f>
              <c:strCache>
                <c:ptCount val="20"/>
                <c:pt idx="0">
                  <c:v>Amul</c:v>
                </c:pt>
                <c:pt idx="1">
                  <c:v>Bata India Limited</c:v>
                </c:pt>
                <c:pt idx="2">
                  <c:v>Cadbury</c:v>
                </c:pt>
                <c:pt idx="3">
                  <c:v>Dixcy India Ltd</c:v>
                </c:pt>
                <c:pt idx="4">
                  <c:v>Dollar Industries Ltd</c:v>
                </c:pt>
                <c:pt idx="5">
                  <c:v>EMAMI</c:v>
                </c:pt>
                <c:pt idx="6">
                  <c:v>Flipkart India Limited</c:v>
                </c:pt>
                <c:pt idx="7">
                  <c:v>Great Eastern Trading Co</c:v>
                </c:pt>
                <c:pt idx="8">
                  <c:v>Hindustan Unilever Limited</c:v>
                </c:pt>
                <c:pt idx="9">
                  <c:v>ITC</c:v>
                </c:pt>
                <c:pt idx="10">
                  <c:v>Khadim India Limited</c:v>
                </c:pt>
                <c:pt idx="11">
                  <c:v>Lux India Ltd</c:v>
                </c:pt>
                <c:pt idx="12">
                  <c:v>Malcom India Ltd</c:v>
                </c:pt>
                <c:pt idx="13">
                  <c:v>Mirza International</c:v>
                </c:pt>
                <c:pt idx="14">
                  <c:v>Nestle</c:v>
                </c:pt>
                <c:pt idx="15">
                  <c:v>PEPSICO</c:v>
                </c:pt>
                <c:pt idx="16">
                  <c:v>Relaxo Footwear</c:v>
                </c:pt>
                <c:pt idx="17">
                  <c:v>Reliance Footprint</c:v>
                </c:pt>
                <c:pt idx="18">
                  <c:v>Rupa Industries Ltd</c:v>
                </c:pt>
                <c:pt idx="19">
                  <c:v>Suraksha Diagonistics</c:v>
                </c:pt>
              </c:strCache>
            </c:strRef>
          </c:cat>
          <c:val>
            <c:numRef>
              <c:f>'Customer Units'!$B$4:$B$24</c:f>
              <c:numCache>
                <c:formatCode>General</c:formatCode>
                <c:ptCount val="20"/>
                <c:pt idx="0">
                  <c:v>509</c:v>
                </c:pt>
                <c:pt idx="1">
                  <c:v>539</c:v>
                </c:pt>
                <c:pt idx="2">
                  <c:v>515</c:v>
                </c:pt>
                <c:pt idx="3">
                  <c:v>388</c:v>
                </c:pt>
                <c:pt idx="4">
                  <c:v>489</c:v>
                </c:pt>
                <c:pt idx="5">
                  <c:v>507</c:v>
                </c:pt>
                <c:pt idx="6">
                  <c:v>404</c:v>
                </c:pt>
                <c:pt idx="7">
                  <c:v>423</c:v>
                </c:pt>
                <c:pt idx="8">
                  <c:v>473</c:v>
                </c:pt>
                <c:pt idx="9">
                  <c:v>402</c:v>
                </c:pt>
                <c:pt idx="10">
                  <c:v>450</c:v>
                </c:pt>
                <c:pt idx="11">
                  <c:v>434</c:v>
                </c:pt>
                <c:pt idx="12">
                  <c:v>523</c:v>
                </c:pt>
                <c:pt idx="13">
                  <c:v>460</c:v>
                </c:pt>
                <c:pt idx="14">
                  <c:v>436</c:v>
                </c:pt>
                <c:pt idx="15">
                  <c:v>440</c:v>
                </c:pt>
                <c:pt idx="16">
                  <c:v>379</c:v>
                </c:pt>
                <c:pt idx="17">
                  <c:v>416</c:v>
                </c:pt>
                <c:pt idx="18">
                  <c:v>461</c:v>
                </c:pt>
                <c:pt idx="19">
                  <c:v>471</c:v>
                </c:pt>
              </c:numCache>
            </c:numRef>
          </c:val>
          <c:extLst>
            <c:ext xmlns:c16="http://schemas.microsoft.com/office/drawing/2014/chart" uri="{C3380CC4-5D6E-409C-BE32-E72D297353CC}">
              <c16:uniqueId val="{00000000-6542-4C03-82F4-FD0908ADF296}"/>
            </c:ext>
          </c:extLst>
        </c:ser>
        <c:dLbls>
          <c:showLegendKey val="0"/>
          <c:showVal val="0"/>
          <c:showCatName val="0"/>
          <c:showSerName val="0"/>
          <c:showPercent val="0"/>
          <c:showBubbleSize val="0"/>
        </c:dLbls>
        <c:gapWidth val="100"/>
        <c:axId val="878871552"/>
        <c:axId val="878881120"/>
      </c:barChart>
      <c:catAx>
        <c:axId val="8788715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878881120"/>
        <c:crosses val="autoZero"/>
        <c:auto val="1"/>
        <c:lblAlgn val="ctr"/>
        <c:lblOffset val="100"/>
        <c:noMultiLvlLbl val="0"/>
      </c:catAx>
      <c:valAx>
        <c:axId val="878881120"/>
        <c:scaling>
          <c:orientation val="minMax"/>
        </c:scaling>
        <c:delete val="1"/>
        <c:axPos val="b"/>
        <c:numFmt formatCode="General" sourceLinked="1"/>
        <c:majorTickMark val="none"/>
        <c:minorTickMark val="none"/>
        <c:tickLblPos val="nextTo"/>
        <c:crossAx val="878871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umDim>
    </cx:data>
  </cx:chartData>
  <cx:chart>
    <cx:plotArea>
      <cx:plotAreaRegion>
        <cx:series layoutId="regionMap" uniqueId="{756615F0-64C7-44C2-A0C7-D2FFB25C81B4}">
          <cx:tx>
            <cx:txData>
              <cx:f>_xlchart.v5.1</cx:f>
              <cx:v>Sum of Revenue</cx:v>
            </cx:txData>
          </cx:tx>
          <cx:dataId val="0"/>
          <cx:layoutPr>
            <cx:regionLabelLayout val="bestFitOnly"/>
            <cx:geography projectionType="mercator" viewedRegionType="dataOnly" cultureLanguage="en-US" cultureRegion="IN" attribution="Powered by Bing">
              <cx:geoCache provider="{E9337A44-BEBE-4D9F-B70C-5C5E7DAFC167}">
                <cx:binary>1HrZjt04tuWvJPzccpISxaFQeR8o6cwnZo8vQjgc1kBJFElRlPT1dztdVZ2Zlbe6GrgN9A3AYZxD
URw299prLcZfX5a/vHSvz/anpe8G95eX5Zc39TSNf/n5Z/dSv/bP7m3fvFjt9Lfp7Yvuf9bfvjUv
rz9/tc+hGaqfY4TJzy/1s51elzf/8Vd4W/WqL/rleWr0cO9f7frw6nw3uX/R9qdNPz1/7Zshb9xk
m5cJ//Jm79tn+zy9+el1mJppfVrH11/e/O6hNz/9/MdX/dOwP3Uws8l/hb5x/JaKmGGeIvHj581P
nR6qvzUz/DYVDCWIkr+PefPcQ79/YyK/TuP561f76hws5Nf/f9Pxd7OG709vfnrRfpi+b1YF+/bL
m+PwtXl+81PjdPajIdPfp3y8+XWNP/9+m//jr3/4Alb9h29+E4k/btH/qemfAnF9hnA/u3qyMMP/
rmBg8ZakMeIpEejXn/j3waBvMeKCIAzf/xjzRzD+zcn8eUB+1/kPQbke/kcF5eG5fXZT/Tz8fXv+
G/KDvk05SeKEsz/Nj+QtZA6OOWY/Ipb+fegfkfm3ZvTncflN1z9E5eF/Vqq8myZA1jv7/PXV1X/f
nv+WyIg4SSnGP3Ye4d8lC0dvU0qTNObJj8Alfx/6R2T+7Vn9eXT+0P0PEXp39/913vw5zv4WxX73
xP99SYFtTzEE509TRrxNaEI5RO5PU+ZvqP9fz+bPA/K3br+b+P/jEvJfl5d/VNz8eXoufi3Vv6kw
/7r11+UBf/hD139VZH7s1fHrL28SQgn/Tby+v+R3peIP5/afer4CgP7yhpO3HFANIU4pFSLG4s1P
4fV7C2NvkUhinAoCmAi4B6Vo0HaqYWz0luCUxgCXSRyzNIFOTvvvTTHAJCEIegpBMEE0/gdNutPd
WunhH3vyt88/Db6/080wOXgxjDH+eOz7GhnBAo4XYYhSFLMY/9r+8vwAVAyexv9rGiZBrU/nvWno
KnvSX+qyld6935YdG5Z9x6rbObx6or7hNbmfO/H0/V+54tMYogwrdiSe3dRjdNcs6dWNKZdUC1Rg
v1a3KyG3bMbdO1ahG6wOjTLXwWxqRzzN0hI1z1HlR1kmtdv9JhR/srCUIEClPyyNEIA0njLYWkiS
70v/zdK8o2pe0nnew6hbTmJ3CmMTirkZsOxNmffJchvmpNk5n94P/bKP/NCeU+STAvP4K2bzeBJt
bU71NH72a4133eTHMzYfY9qMF0TzoULkzhpHzn5Yq0wteTlE/aMaq6Nl63qavv9SLnI5vJBkM8Hr
2bMxU0Qskhla369d1Z7ZakzhLFLHmYQgmz64OxvqV126G4RTfF1HHhVlmvR7JZpzQ3RRklVf6hFX
Mhbjqab98livar1dsKhl1ZXF0lJxWFY1nVBYKknGYdqtOpZ+mMqbciNOVix91v3UHTpUH4MV/DJT
duWl9580Orgh7NU264/lEOdc18mnYYp2UZ+i3UCY369mdPnMbXNfr6neVY5s161svLRxEu+XZtzO
ZT+pzNSCSafX91WN7wzVo1RjPd8GbXNvSHcetaWHLdBsRhM7LagsM0q6h7FJDilizc3WCXTtkhwF
iNhk+ziv24rlI+lpRuoWncbUyrHH5DFdXoOwNzSqN9nbROVrT+NsHlQkuVpd1i0TzhBumtNYmRwn
/Ikz1xwEmqPMusbvtFNx5mv02cxYvZsob/ZpZ965JghJ1rnPyRL0ifClOqz0A0LHENU449Uc71sf
D7t5HlwWD0Xs82E0w5H2G85nihq5ou2LhgyUAa27pNz2yo1n5s0iDYgH2df6gExzkyxVFqf97VKh
J9YEmfYSYRWyZBmuEWJTJtpFyZaUMq28ObUTeTckTbxDNPmiGlEeyRYKrfl2Wi1932G35hNqHsSi
5iM23F5K282nIcRFU81tHtuK73EbhicT0vNKnD1Xcfl5HJm9JKR2cuFVeqZL2t70IXzuprKUbjO3
y8T3NiJ11lpTJLQ+xvEm/dylGXHCSsVLJRe93bNtOka4viTTqOQ09vckVEUbdTpTIt3pVr3zrblr
2vlWtVHGU84k93QXB3K0W9zIhaGD2uJcdXUWIP4ynW2Txyi++uCkSFyf8WDrjJmWZOIlYjZkqObv
mR4GaVJd7aY5rmQqcLYWwqgy16K8aKU/0QYrKVx3xBQgbJorOCFNJMs2qeSc9LrQQ3LdunQ/0HWU
Y9QNUkTDMdmWi6b2RpH1QNOkQJA5WZXYvcNLZsvbbm1vRmsvqu+vLn6ocfKS4PJEqXUZ3bZrRObC
tGzf+PLQ1tHR1TpkpCdVkcy0kq1q3q1IwQ521BV8uWzO39jStXB+lqwK7ZettFZW7Xwc2m0t0lys
aJbV5s66UgEaSA7zzak60MHJSLWffeVwVicmt5iHPB66XpY9+TBF9pNybMzTiPYyblgrsTuRsby2
ZnuIorNG3ma6GrKUN7LW5Tke+AeIJ4BffCSIUelDGmeLbvZzXT01DYLAzNtJj4LteippxS7UvG/6
6b2PAE7pgqSZqiPM84SMbTLUTTnkzEFbdYpG4+Rm7TWthxZa6HWaupw0apS43256LtESjjFBnYxZ
n6fDeMcSdBjc7cBDIlm8fg6CpIBG5RmOGMlooEKmUXD54KGYxQI+tqT+0K3haje71/D6lcQXWoaL
JWyf0qKP8JitiG2Fi6r9qnDhB6hJKeGf1VBNsmOfbVO/x429LYX4tq7iNRKbkKpOjmNTX5oyMRmU
vI90u61d90mtGbcf9NCrLJl1L31TpVK0/orQtK9RF+VJ4vXBD9FNu8Ice9Ux2dTjImPSfEHxx8Wy
j9HSH3ggd6xyNsOokpS6qvDbqjNg6rdoHh7jwG70GqtiLmsEMBZ/5fMCgNd8KCPtj93cw9EtdSOT
RqBsjRKy1xXbHpFTvZxZyHTdCtnjqC22oX7dNCYF5Rlra3TAafMh1K3KfTQ/DgRHMjXRvd+ml35C
7KB08glp+3kxlmWaRaiYE7b3FuAl5pWSXGwor2yjcsrnEw2xkXHn+d5vUPyog49DO9VyE2VSiKnf
rUO/Fb7dHjYtsGwjUtRVHLJ6TLu8m9urmsqcG8hq5Jb7dWiNdFZnZe9UZms1SbEZv0vdIuTQQXE/
px1yO0TCLBvz4saW5qNydD+bXkuQqPvK1BXARCoeg75BtehlQ2YZajftKdaAvHN6iiJ7WoINBYPS
AIDj5VbZsdA87JxYb+vKUTnPn2CR/qqEIjtlQ1c4HG0SJerLsnCclyP/sOJ0Z4ZByXnwH8fFppll
9iai5alNyvFL6j7jzl5xYxrZWNNm89R+XigvuKOJ5LyZiihMx7p384nY9J50SS/JBCF0o4WU8em4
n+PSXX79xRErGoXavavrIxUskcLDPHAfKilsp6SuySYJxm2x8MRlponCfnLRKK0rUtJtu2a1btdz
X0tjCZbOLTbruu8HTNyaedug6A0vcdUCCjf+blhIL+tFbEUKJ7NhpsmxhfCKNNnDkiSOXJVTZrIe
sHDwAl5qcueJAHJAmFRBvEdlJVG3bBmJm+/4d0PjtNwRFkFBpGuSrT1Ks7Ch29CvwyGw6IOOMcTK
dA/VpJ+jaAQuRk8ED263MjZnjs3lrbLNRTByqLc0zZSP9AUNxGdpl3QXHCuVV8uIi5b3UVb78l7P
DctrNnrZpZPLfD8/pit/qoPfhSnp9lSvWtJUfKsDXoAito9mPvJkG8+jSJ5s1cT5Nm1DPpRDJbdQ
lrvouRNQcbcxHPotGqSnuD2UZX9do8Htm6AeFPIf43VtAYNCKruqv3F+LXgYtjs91iPgggXyFsh8
UNiHvRD+3dzim7giVWbGJNmb5cnMkc1p4qJsms71OGTNOLOiCluSBzTf00T7HVqIAO7Xvm/CsUWa
3QC30L4K+9gD/+YqZkeqvVTC1ntrp2wcE1REvc7mZD2Vc1ceaRLt1sCB9TQrzmhUQuqagqdj/85C
kVHt+jJyCmV1U92uCih3af+Rj+GxW0sG2VDVxdTXMWCAKeYUtpwuqpNJH/X7Bn1uO+CtylenVIUv
XKU0B9T2meFQHHUi4kfBzT0n85WYUd3P0ZzcVNX2Doee3nnRAiPqxHAcu3jcdSvZdVEnreprGZrx
ho7JdSppUXYLcBo8FzPrXFbT9LCVpc162u57zuu8TZcdL9N4zwOoBOR3fgti12L2ZaqBPA0MXbw2
8W2rpuvq2upChii+FfGBk1Dfpr2Dlbi5PjQ0laRe0L6eqT6WIXRy5G28X1fQVA7bsEMhjrOKbzwr
u4CKJOna29pyflYan5Jp/iBsRWUzKCBARMZ9zlgU72xaLA2brr2tnpK2LfzYHIIl8wOKq/mhqqHC
jN62RzEtVC5mqHeijOdzO37qGU32qGLmJnG43lWwq/d9y5Cc27nfGw6p0y7x62jri4oDz32SwAkx
C8+0wnHeaLtcl6FerhtM7NDz+XOz9t0q/3dDhACBQiuOeI3ckQNKb73ebWsaPSRzBNRt0ZOkwmxn
tQxzIdopylqMh4NQ27tmXQuntvQJADG9aedlkGws701T2ocusXUu4sEcKj2dPOdqkMrdGcLIk6tB
2aTjlrd4XD6lPD7NmH3uydwfe2SSSyweEtvVN0u4LLMN+dytRmoeQyJO4bPZ6geg6M9sY1/iNC54
XVlZNvyL5cD20hnQsAtyQfFpcwxs9hUojBnl4iuA5fqcelZmooNNnNr+uLahzkrhd1WM854lnzea
3tttCFKs3GckApqFQUl7YDMNfWwoYfkUD5cVG12wAUnq9c00lqEohTUZSOYMTdW7+pO7luEQoaXg
SRxkvd56ArUx+jiEtjv0JImyeXVPSy0jUg4StQIwgwqcq8lmtFoKM0RKVkNZdLWuD2Ehq7SQBpq1
HyqWHLaEzYDH7Qsr9e2SlHuRthDwtVGgZPpTUJbCxpAPaeT3gqNPaRVd62YSd07R3M+ly92wTtI4
fBsYHWVlljYzwMKOU+h2ahhzZ8fmsQ0USzNwsW+60RaJS3A2j7O+UR7lU1Sawow6Bc+hf2hVra9z
hUA1RhNQeEjCPCZDk1Vi+5aMutp3aiNZj5N2FyH1ZfAfTFu7SwsrE9hEx2aTfDT9XjDTF1Am1C42
voBoddkKoqZfPTwz+1s4p8H6pkijFngUFAczIC2tQcsFKtb8rjMYAZVYUuAp1ORVQ/mja2e6S1qf
5LFvyV3F4sI1ZXMTRvcuxWvts0ByCP0dMnN1ULPX55WW+iToJ4xiEi5bgoJM2o3nTQjJgemVZJy3
sHFV/ezjIjB+6lx9ZUOdSptsIBT0lm1bQftZSKBVtziqC9RO/R6QPp+Gme7b1xBL1g7LuaxH2Lat
i3M6RSBNIicHM+dsKL+qNNkyz+LD5rfXDU3vRkGeEVul518SMr1guzWZ89Nj0gO32IYIy07zUyPA
YjBtVYJuaG942+ViSy4mIbuW10+lqdosiaf7VISbmXdWhqq0+yqOViD09H5N510Q25ytIyikMdj7
zU5bNvZTI9u1m7PBLJuMS9Xf8BqUHi1XXSjRgy7ez1yvO1Z3Nl9FMu2NePVjXF91p5csmSKeoYjS
AxrVgVdjXrLRFIDkk0xRz/LSYbBjuqyfdACeq6YX0Hbdbo2ndQfDVdK3sdgvGohL21Anabx80MT0
p+o+stOck3nGcq3csBtiABzuXTZMwZ8iOoqzGdMqj7ZyzOa+sueWAp70Q3rlnGSwjaW0WH2ZLT62
MTn0ak2PypCPfaSyDgQppF981KaSTZokt8RcmnWx+1IPi5zHfJ63g+iaOefW34pyBANlwzsTzAcf
sZNw35nWiq7+O4hN5fRxQhORQz2iLMLV+1J8MywqxAoCx0dUZa6pG2Dt9FPD18e1XJtsUdbIQFMl
wWHIZ0jvGBw06VajcjIhyex2tusMElFd/ZjufA9Fmgwk537c4ICUuaiGK4nsLrQVCDq6JHKAjK4G
k6/Rsk8X/lSRzl9al8iqJuWuWXwjVRJHF8we26ERUg+gf0CaXIDW4j4uGEltFum7ilN9SkS/K5W1
t6gKTPZVO2R2wRNU1GZXVcpmrGpFMWvQG4zEfba14h64lc382BEQw1suQkMLFrkrXpvriqcVnEdz
lyY4uUDl5+A+QPVFTTOdJx01csBdecv6BWXJ+mCqEd+bjgLdKvVDvfRPXPQvC7C3i7ARzzHZnrYJ
2Z2dAv5oGP00RnF1iuNBSyLqQW5dMmaDymDD8QHB8cwtMOrCKHQc3CKryfCM43rYx4M9fj/qmaPt
wZawzX3tYikYbs8D24h0wTw65r8BW+4gr4x9LKsyp4OxeYLJcJPSE5REdo5G/j4Nq9uvVj+4oUt3
ggHp1HHY8m0W95AadQEe83Z22CVH06IdtfxqjYGTOm5ftmgpMzWWVQHD40S/610J52RyJo9YlQ0l
kLqBKAFVpPf7IXyDrO+Og0nKvCJGdvF2IzAJZ76yx21QL3WClDQIDAo2qK9Cje4hjtdn5BF6p2ik
d2VwIARMu90QWGze2E0VtaUkh2L63MEfE1wwIgeo6eZovPOyFig6gm1zp5pyva3Ih06o9jukgIoI
qgSijtdDy4wtemSnjzYxD0BR7qwTy6Fr+Xyfhi2SdnVzvmwxIK1Vh0S0N92y8qJqtiTr2gA4ONyv
FhQ6b5rHEJoL2ZpBDr6rZR3FKousas8qPPXtXe36+pA09lHr5Tq4utu39bZLFWPgocwd2KvDuxme
Kbama+XsyScXkeEVfMTCLoKfsYI675b2XVjrCYCggOGAyfg0yVQcJ8ehAwa+qcXk4PBKCwYiwpMo
4KY73dmh2XLexe9xTXYILK+Cdp0Ei6+GaujYrYoCl0HpFWyrcZNjrGUfJSIDR/CpAks70z2m1wXr
bKHjLpiu3wc3goviV71vWLOvRH/hHTlrj8c82TqTI/D25NJX71fbt7Kz0JcrW+5mnOGxPGm9tmch
zHVW7KNwft+QGFZOd2M13E7VeLbYP2Agggpk11JdZtEdFhz7zJu7CgqLi+ZdtKEvmi1jRogA4DYL
OFr9SwSWfZTaWfZxe9CmTqTX6ryu7sHOd9xDWkAXYCz9KxAkuaQikiv442qDYgW2KkogKAiOlZ7u
xrhpMkL7Z9WoJ9DRFtAT2IG21wZqu9a0z/lGRhjA5Fsaj9lY0j00s4yC953N6YGq4RMkZx6Bi7Zv
hpBF8QrIpy4UgJ1jcksc6zIgzWsWNaqUVSKqYqGA04KXuxj0Xgu72KR9Ni3g94ijQmkskwUK0vcr
gYX5d7DHtyBpObwAKHO81lBPI35d4bJhWclTEvlML00ideCzpDODm4DhfdSjJ6wxlmw6x/14SmIx
5KmYgOdh/4mh6Gvr01dq7XnhE2DQJ8IBgpULHx1F+y0tBSCQr/ajJV9C/N5RfCxn2J+tP03ruIvq
p6ljkWw5LtIJcHjuydWruJN7AaK/jWXN/UO87PGEdxWZbKF6ft/PPQirSmdwxwVOHDif3xxaLZi8
LOP6PcHzRyP4h3mk5wT+YCBjoAgzM6F7QLcn1037iYxn+EueO0oSDoTWGdAa8yyhnoA672oQEFB1
DdZfy433uQ/xaQLKWDTTLBUQVO/ydQi3sWtvhB7sgYyh6BC6KevmvTFg/nK415LTELsiMlYSBBb/
3C2PipOXdsSgeMRlmsYPLRizcCYuzIqzj+0rw+or4fOQazPez6L8wGoiazPfRXV4NcZcofR8m5lq
shbMkzBcxo0Pu02gXQpqbg+nEPyToQBxrWQipjFHdbhNOw0u5+IPXaTfoyqFwxdFDZCVjoI92bSy
ZJ9FWsZ5j7YHq1R1Li3NyrFiWaRoUyy+tFJvOpGlBz84SfFHr8rXboqBDKaz2GHN0hwkudTTZHcI
SKleuDsoFuTgfAKm1LVJ4TglZia5me05Yp/c5MPZMnwAk8XkgpVbPo91V3Q9/ewD0JeUt0fH42IZ
p+U0mO8wOUY70UamWF0UH8t6BVOjcQVdpw8NwsDKO5fmcasKA8d0AwX5Xa589JMlRUQZmA8c9YUR
y7zjfPOynHhbKDqWBamjh7Y3RzeoD3oCaxWvfV8soDtwlOBT7VYiSafQrvIoAy9szEI70YvogXLE
LM6MAJoV+YqcxnFEe+xVdAwpQAZz6sRRBFmlu6wjJcqXriI7PSf+FLbtaErswJ9alyuuy3xx+pxE
rv80qO1xFU9ti8r9gPoaHJ952kUkMrkSEVDFPk1k8hxh1oDNUIKVlMylxCycALM+iuQ4lQ0uqjGU
ckTqNUnT89SDMEw/rEaLrARZLT1azl7j98RGYLtpSEg9usMicvA/TJaUTb5hO+VrGcaMoV7k2Dfq
DNbOzYZJchjLBWwGSj2YPulnXUGVsTo8B/CEGQEcTZdZerw0+Rq+xCZIS9cvw7LNexKpU0yjOGvs
COqh3PoiROQ1nfmh4vm2CnRjTbzk48pKQFgWg4QbHxtRfdUuhhKt0W29ECBZi4oBQzq8G8fvcDrw
fj/E4IzUU20yv3rJmarez4R8m/vlDLKeXoe23tGVgGuouM7LGSY6AgHYqXUEelH2y7FS3YlPbXvH
dfPM+n7vx2SSUQIKvI6bx22K0R4uWc0pgD2YBm6hKNVrgaPyEs/6idoS7TTias8dlrSsejAwyy6v
6+Fj+V3pJIQLWdr1FSrEDRhJPZwk4fLNmz4Hv7DRQBZwFMBfhNOZzQ4VQ+RVEZG+3UfVyE8bAuOz
iXiBlqjJHbNobwLwUryZZt+37nZSPtnHVa5QN96Eyn6p4lqCoKxvp/C1pYq/V+EebFQUwKIGYy0U
47wdacMuk7XDiSYLPhlDnju42ZEtkI9DuthTY8J4R1D7rS7xx6FraQGKDMOtLzAg5E02qUTtXkAs
mMskwD8e0a7rVQ0FfwWYmvBysGY4OTxuR50M5ORYnS9kcDcJnf3O4F1TA89fWLPecIBhBhfOn4B6
01O3OvM0zwy0VDdA0V448ODSwt6U7toN1Xx1oPOzbe5F0XQoV/0w3dRlc1i3oXsstYZClsy+WOoR
zOZt2M8KiZzV/BudAHlj/l40ozh6II5HP9o7EJx3SuGwM2QxeyDkIzglLpDbGG567hgDBWM8XOVB
snRAWEkjo7Z/EX5sz70W426OxIkBywNzbXpQ5TLlXZQAX6CFh1vLlE8vjevoeStnLRsvAGpKgrIO
41QmBizTUs25WEpbrFv9Ph11XKz9+nVo4SJQA5afRpDWQLjqphC6fkxMgMehsGQtD6+ohqsKGic0
r0oQASnwlxJ8qYwTuLxLbQt04T+JOLPmSHF2Cf8iIhBILLcstVfZ5aW93BD2dFsSqwQCgX79SX83
52J6Jjp63GWjJd/MJ9HlUBO67x2GTt+KuHTYx7m2vyHwbx6mjcNB1ffLSY5rlBOwFNCGjbsnvYW0
NyxvJYxbU8umnPx+2/cD0nNe0dJZgYgOnpExXZW1tA8zhowl7+KhBFrh8HDHcU8WrcqeTgwrija7
qEqjzP9yFDt27rFMk/Aa8tkhGhpcqQzkpvBvNBTygFEMbmaYymImflp23UvrN3ndcnOp0himMoCE
rEEsuKzQpn2z3NO6M0+1ijtkIf7L0g3+cR470BoCB7IIyGsokFbS+CdeZ3Zbe+++DAsSbeL/SaMm
3Vf4gknc2lPl1nxptMm7dnyvnbpOXNavq8MtH6r5eZR1dSKtQarSamj52ftT91Dhpkf8ZXBTvkdD
iwSY1ncClGPveVQ/RQFPzpSx1yFi0OPurYr7S5xEN7qqv+3qY1ux+7bMRTxX8C7ZjUEi5D4N7/j3
1RdeIbYEvkBv6swbk2IIvNwP8EMfhmEqAri6a1o9MZ0+2mrvLfTdq7d9rfs0X1L9TqmBFA2Tv6Ib
66yP7Gn0NpItLD4mONmz1Ute6mZ6l/JvNQ9fkv9wY/s9howLHeObt23vti9JlfaZ5OA08PDfApY+
1SltcIY3IpMYMkNyTxZyGoU++/0M9GFM1qwZ1Fn6LhOh/Emcek+RgmPC+Rmd+AlxwFTIcrN+qz+m
CbI4fid1tP+RPixbhj/tSz8p6tH/IfV69NfmFEfbV6qiYxNqUEUkuWEAerG+voxpcAxke5nM+rx+
TkOncHO7LbPjY6CivWtkRof2I0RGnm2BHQqR4D7B76aT/I8m9tE1fiZTEBNLcoRS3kpbpTu69cHZ
S2uS88qN18HvxWM6wmPybkiqgm+kvFekEPRPtdU/mwEHktbQRotm5tpapnOm1pv0amADetvbliPz
BOPzvAjv2gas/lwwF+dVxaPC1xRTch+PDzWJyIWsruxJ1OO3pNthHp4e4FCYdIth4Cbu3Ln2uEr9
XTe1/iM89mjdB5u0X7p6G4pZgndQdjDHlfTFHFH5rCipkPoFU9EGDYOnqtorl7Y/8JR8+227lSNv
6tvEl0sMb+kSEHLpWDy9EJw8GaFS5EbJqahXHZZuGDHmpVsWeI1XNLPxS8agdCKefPFAeTkn0WmN
EL03lAsMg/AYVmbzpJ1FvoKd2OFzs5NYEPp4TbDXfNyZEQZkQ9XBACLYkwrB+zas6hSJpcv4kjw4
S/l+jqzLO+zeQk/tPkCMyuGMFGOUuEM76JsnU4XQESpUbdNuqoL15JtPL/D/G0XHCr8z9XlYNJwg
WRUUxuHTUtM/3F7jeR5PqgF9ERg8rlSJYxdP+Fg4v4swZlW2+NUOy9W/ytRWJeH6pGORexgpvjQp
ItF3Wbyk037htYAL7CD1OgQ+tLPRrgoxmeoWuVuHkyuPYnY1Ude8sFCf2rWtD1HX5rxe5XukfmDT
2gzxKJAaF2PLqRkB0O+UYvm77Ag/cNb4iFLYQ1LjGKn5AF8Bc/ISZ1Ul14+gWsEIbYk4Nz6ddl5w
SX9Jl9VJ9yiV/4y7BgBN73n7OgErEHVjfLSxjYvZxRTb1u6X1JDTHGOYrCL6COTCnJeNjju9yoPu
YdWnxJFSYJA7Bk5p2GoDQ/5ncNiPpCuCjdWIotLqBk6BXNdsQo0iF1PqPoIeSoqSxNwgJvrjGmAW
ZD2H6wmp0qbRdglEgjR5C+M/SYVwVmhV5SN2VsMG/3M1sMHnxf1b6u1ulubUIH24zKkRL1OyCKjM
uNlHElFRPatCiw0YiZTFYpnMNY++Z4v/fxx/xZoE//D7i4tWxI3tXW7JayraJwg/eB/JdrBA5XLE
V6+WiS3b2vZE5qTYZggyyGVWt6poNZ9zwdMg61z8EHE3ZMEAHVKtEEqNhvUAM26ZvfUDbgLmDXzB
NI4taJ90ft40u4SsL2r4nB/RLymx0Z8Wg2scjAAwyGe1htEfG4XIBMOjxya3i1LxDxdsOINCGHX8
M1SszesFAgW5b0qjp1qkQIeW4W8/TbBsdIp9b/tsSRR8g+Z5iCVMNXesgNvs3BiSA6tslSdivONG
m66rWjALA6k6ImC9LogZT3Q2752iDoYVgMI4US+KinanEzAklHo1ToV/PNRHr4947gQkd2CWx8ZL
ggfhyXPQAo+YpVnLYd3CfRNc6JL88xCljt5S49ZCLt8l4u4DvEJ4CQapHmZcb903X+P76tdLtsEu
u6ztiXlbkfQ1uyRiuS9qOpOoeg+Wtcu7XhywYpJM4N7KcF0hrWX0bpP0RCExkYxUmaXTUKh263Oz
8bDoTHrTMj6TbltzQZAh4kJoM0cQQ4FXiwMExSvr+G/sa3Iv7h7YTBGS1DGCh+2ES2CoMyH+9cLs
VcgQwggsIWQmPgKcnMicieZ7avsqo84bCqe8tSDTQIHveBiVonbNvDmSe9/XeQLLGINKE+wSD4ND
XQ254pjYZ7U8+FOlcLuOcqcs9pAalq+V7lat3oQKQDCycNf6dMs3OO644lOaj2OIkydCOsXapmjx
sfOW9XfXJv/pevlj1sxa4/ZIr9O9szhfsPwgATZAFCNZPjWpt7LiK+bnAEE77wFw1bi3vGDAUTTq
e9pZaPKYIw1x9CcUcAQBMkIfjh4oJ2gs2we3Xr4voruM5Lxq/azs5iAdYT3UGAm72dsp1z56J7Z1
ZTVjJiZYQRn1yFfsD2+h+moH7Neoq3dj2Fb5oKc8Di1Cq+W9ZoufsxoIha+inRh5ERj+Qa4WrGSl
Rjxi0j/b0EdKM4RgLc14tBt5Zj5/BxlnC6Z+5qZfMjNOU4ns7j6CZMxIP7alZLhZJMel1sTPyq8/
TJ02eboHQINUSo0/xqqfKh55voLpMFs4FARA535e6R87MZelwaxKH0ZQt0E092Go9u3m70iLLGY0
I6zp6BOB3E+IYCKra2QMPI6/edwhKfNvrVtOM6M9ZlTP5CuSZlgWGBicex5rOC/LsOUIW76dgLeh
xQSNj0yujxDgehxKSytLysBPz1NN/vNc+j5h3nVTMmYpB1y5zM1Ty+j74MMLnAegGNslFf5z7JII
pmTq9lp4b8FWv7A2M2GAvzm2AHkj/mUVds28bMeoeWmG9R14bbDDeiuaysBSdCMO4IUUPmAMCSf6
sI4QirOLwlxG0TtS3hr+8AM+aOHxFBLXkX3K1X8bT5oyybao2UpgbLjkox4s8zq9dWG/a8y8nNNl
K2uJJG4L9l1l6MWI6cOC192Yu2F7DJkoN76CqwMViDBG77vYvE0CSzk4Txtx33iWrx6T5jZP7LuD
p3qU9QDRatIcuXNYLMC6C8Q9RcMpUiUDHdPGNxjTmM71kj5MQHAbxOFBN2z3vkIqmXQZCJjquDlu
dphSL1PVXrs2YvkS9diR693zk7XgfUbGcb0k3vzURM2UjzUr+2Xjj7HtEBeNL4gyfmDEh5mFHXAB
zcv0aDPlSJc3g9G7ZDVlw8EINZW8ziz5WcWUW5HePbshrlTto4MkBnc9gANLguZElvYzjimceghk
Q0Q+NS1iL/fLeIaPjXWvli9ZFQQvYTLUxQz73y21K7DlyS/HcAolK0OvZdli2mXXqOA/C5qn5RG/
r64qGjWqLODzvfajx9Z0ALuANTS13Tu14IaU+tarkMJrak8TnRQ2WVMDISXYUSyvID4vXTHW449Q
GKYaHuhSgNaD4hCHbl7yxtXuJCTGcynv4L6+VrY80O6cIHjLA3gOWWA6sAa867IVRwvynZI24Bhj
kBjZIq787xIOfyc91Q+REH9jo87g8ZZsos1HMiYvdsTJ723Ng5Z2O3PYaVIR+JY1MOn+0ISE7ZHP
PBGH9I2t8sIXNmcQnRs0PkAkxnMggmEW+ekA2RkWCWaXkYGPpEPSHPvRva3V9C3qRy8lL1vAXcYq
nFTbL6XN2ksLG3Pm3n91Ov9v5qmzCZdj1IllN3M9FNhJ/wQoQhjlD3xbPATl/sF68lNHI0KMeN1R
GLXL1jwONpYZOM1dTWuNH40FIgujvmzCP5VZ93YGsTNFGlbWVA+ZsUifl9m/+EF19OP+XXA6YkWH
CoKiK1yVShCe62lZ0velKR3ufVQomNur9RQ6jidHw6JtRFQY0bxRGbWIXK9OpmGeqA2byU5luFVT
ZhAvJn0T7zY97WoEMHmfdqdpIkGOP62hTj+B7EyALYpkpQ+edjzbzPCQsqIbo0fKcfrha1yVBuq5
xA6TgzEvzQxMYFTBSzu+ppMpkrTKUsP/hE26nro2jAs+AQLn3dg/VLZ+hM6l2ejW8I1OSO8Q2I9q
lHuwXCAW/N4/jVo9ybDargkz5dxN01c/+6B+ohFwJI6anUzGbddp5Kv9ECDMpirIbJfO+4T28TlO
trWA7EA6/8u1xBF816YaKVwQMX8iJz30LjwMcSRO3KyY00WHG3VsEH77w5LPwxAAl8OVS4PopHsG
UFebYeeHvT3Tif6ZWN/mSbqS53D89P0ac32KMyEdfdwaXKgd8hSwv0rco36IDxFx+ynkOO96F5xn
uYpztfBLaE8tld51GJqTBAhRUAUcE6QRLTDWVWhYDPwCN+oTiI97WWoMjIwMU+kPVO6CqDcoF2h9
W6rgiFYRJqxOGRhXItnZpUOzZx3ri4lxsciupYXvQ6ZsHv0YTVNd5LQ+TxVxQBvU8uRqaNQkWcsx
xX/xlkUXMJgY3wPR7DYEiXv4HNNBRCN5xrgARd7/NBaegsOAPEl14Dwmd2uBipNZiVx7/YUwfzji
AYlrpwYsWp+fXDc/hbPQB/SIXiIBZ4InE+ioDjgBOgTyPDB1TVKLEQz9jsyDoblTpEnL6r1Jno3w
y18awiK0xqU5FynbsBVmkgkc3ruof+63PoWHB/Xt4GRzcMg95ow0XN/YGAJnKyBhb3HVfYQrpjNn
zE8SAuLxf9pKnMYZpYA1xmYRuG/3Ku2v4IbAKNMw93yUK6ZWnCU5YXki+JCYMVZg/pmZ53fMn3ni
KShKPV4bj/9EYXJZkxUDKccFGK8t0L6Avk70EgNwiifoNNak4GCs/z3hksrQ0LhJsKhoQ2RTEhNE
Bx+LA1wkBxQ9JnKKJlcjzJnPTVJzkF/NllXtXDLbfw45Zh84RqVhKPxUf+pVnFSl35PGMLByuCDJ
UCT/8Sm5hkN1bI0rVoLCBXFf0Zzu1KD++Qo2hBpDZKCy2c8bJXnPOomPw2VJILGT2gHeboBw1k16
NBzrtGmRDhgSIWWdvNoWaedwe2KUzldvcWc2ziaf2knBMJz+rR1ThVw4xcRiu7I0nEbXmWh/b0X7
F0FXWEXHNOhg4KThKWXzkrm5hn0pRVJOSXUdZYX6WEiLuFuC6+LTZIfdtpV6Y+WkJXmpXzAdJYdJ
As+TSBqL0PNfAjUjcCU18BLCT/A2RdGMyi+CJAADp9icV8R7aWzPLxFhgPsczjlZN9GBNRAuHEM+
S3z11iwu3EVr8qZ99jf6ZS0ME+Mx3mg5jqh51COAC0P/xkpFH4w4hRgf1LPikBhdGn8kxmtPQaxt
MTctIFRgQOsa//WpLwpr1H9DIuxjkzT/BF/4Plk4oEm/sWd2nLSWd3g8+8ak5OoJTpDQGACose2L
dCBvcvtVBme69vWt96b+Zr3JuwKyRjlGXxOK1MlXZ3i59VVHfMS2lNhBtSmXKDq5JlUHRcMnfLuY
ykY4/kNsL5IQk0fT8h7C5py85r4y/9U2IawljyNBbHCSAK44smEttvYWJ/Gh6/nr0j9MW7WrlcWo
NrUqQ5nQ+GhgiBhEWqJtHgmkg2qqXnkFwS0gB/Pml2Fl7YlCzvE+wZJao0eCSAVJCXY2i8/gMHO2
SYTCSr5wi0KLtukbB9BmBvIfFFW3C7z02QD4z1cYTLjI5ZkM41KuqbjaxbBDrzCYzm5p7rFMDwgd
nxznn43WArYCSLoN3RThodY0zPB5av3DyYImQIzQRqPphCQFjQ/ks7R3+MvFddERrHjwgYdYD7eg
A4eO5sa5vZOk6mF8o/7RRqLsVg91MOnqgpGCxhhHw7T6wyKWFFWq+xxCLIFPloc+WhFk6Lyd1sk5
8JEwDyAEAICi+uDnemF63/PhzasSNPB6Wx16mD+/Ejc33r+tMvjRoX2HAwP4im7NMZED0K6l6Gg/
4/r+/WVB/jwJfBy0BHOKuQlYNqbESYL1iZYOl0qd5Namav/b1ivNCiaVpf3XZFWNeRGwEk86kykz
vgo3DUjR2D5ugPiDjeS7xbYflkBt9BrfJcyIz9gD4aBcmhkX77zUP6tqKLYxfgm2AUWjljxuEWSU
QUPBIcapbw4zQWaoiPYzb7/l9hf1liG3GrrQzgK4XAvvgh1NF4qsbeg/Mo9XFOtaJF0d8hPLnzzL
k4Mm+rSs4CrlboG3D5cvNVhkA0dxJ7jHtAMEWKkS5xhk6kpwMM8O/CrfHhY0TDLMdMOugemZInPc
61l9RAQrDvLsH1vZJ6UWcqLhryCiAEyhd+hvHuBhATi/cer0+w/yFdSgIsSZIxLDwQKI5deEbzyr
PEwPMz4Dcgtvt9a3VaA7i9PSFEAD/YxGyUWOaXMcNw1sh9Bctmt/gVjGOBn/spY0fsIE8tUm+P95
ZwsoSHjqUCuDAd8V6rZISJXsBKjX1kYOLP+zP/cnVGLOZAu+Zurd5l8fMjkFtQQMvoaHOej8bGrm
O8GYCufwgU30gF2VbxHdEVxfBhfg5A0I3CmAAiRotBzApfjUna2Jj2Pwp1oC6DCKSMX3HCyINjg0
9Ym5/r+NVfV1rfz6CoMCNyvKEbmSj+H0axhuw45WK8J6aLkinNHf7DcgqcbnEgGMP2Nu2n5NNLad
TYNlVemj79MaVym0SAejeY7ezJqWSH53KkraDCrusFHgzT0gX8B7v5I6eALPGWb+hLsihjKUcs8o
9wGxyU/ANE/pMGMAa+cc+UWfe3MQlhHor2xMSmJGl9f+1hUyOYKhgOOf3FHQzkev6UtvmgA5Jmxv
eoFBvH8WnvkbawR+w3gP+dhBJ2vwYsOnXFObwfAAttnDlnDzDrg4vQ6V9nKldVCsqoYKaq0tkin4
Dgf88Ab9HVekOnKx5aOFV2sWrJRZKCx3fWlH9RZw+8R8XCnrKDOe+vdkGJ9jWIVB557IAHtSIkMx
GnMdUWB1/fYlXkL079p2LqbOL32r9GEEMQKjbihbvXmZ0eq41FOyB6cvMhMJoP+UmydPwxIeie8O
i0ZwuOn2JLuE71qCr57EHQCPxf8zueRi2+CvgRjeeeFvKY1PL8NYvQkdnFDsO/VjdMFY+GbaIav6
vtRVdJI2eG4QmtdcYSBr/0SQJ2H1LoSajq12UFYtGBQvzVoMMrn0lxeN1qTYxJPo+OcWKxiANXAz
7b2EaVxGdP1b9XMpSXoC3JIWIGgRIXnLiSCKrHgIL9DiLg/cHWjRd9uaUsHxwX6fzv2I6k0Eh7Bz
v13eoMfPsmEn2s2PKZ72Hsk45il/SnMSufiEGPaMElRzmkNb547CNAmSwSuiAbhQrLd6N2tf7r3A
W0vtRScjTPsoB1WuEftclzY+RTF4YBg9uBdUBxG9ACzpt/ViLPhwRmS7I6F36kxkC4LBpFg/NRV3
ZUDNpe6UePquub+vKKLRUHpF1Y7/0G9BJ8Vb88A3eM4DvK5Vj/tOKTiQ8XZkbfu6BLS4DVW4PQ/V
A3pOLaAgr8uDCiTWRmCJnbe5b3ephsPauQU0C+6sTKFX5QYU3obtLI0dck3iXUpJgOlrSNEC915X
iky/Dz7ryXvSXfBWx1gJdbsC+MBpm862cCvirTjJHYm7MrKD2MmBfcgUft8qQRLWooHVP7BdHIOh
RUACt67GETSNRcBEfFRpckKxFm0XfywmKMpc11Bpolne1K/eNsoClcZYzWDAAiOrqivF5tKjmk8N
WLDdLIrEr/VFb0t1CPz4uWLiOLuW5HiL1K4hbCy5d6rEjJFkwebr0DRDBVBfHN4scNqEPSardxm6
Sj2EYD33wuFMT8WJUN7sLciNAg7hVRudlv4GQjppMOhbeEiHIUp/r4IW5cit2s/NAn8glXVpwyFE
4CXMkcYjhMnvyTOgShJiulGMBvuk74b96IeHpjUQlfD3SiCS/7oXhP7+HWbwAzaLdxEIYIkx5Eg8
kHLK0AYJ1fYfTrz6Yrn92kwldsKO625UYVOOngXj11v/FGtgnx0Pjj2IooMdYUSxZLiknn0E1hHF
dAPUGcDj9rg7KL14pezCbSeXQV4MhzdJiYlAy0fu0s3oOv+uC3CCy2n1PRzUcf9jzTaeEsmvJsCr
C2T02+COyBnz05vuJ5Ty2v/SCSVDvZpnb/b/eXir0A5H+zepFjRNYacHqyZ7Cdi4GIA1FRceC3tX
lOUzn/EQ9IXNDK9BUCvs4A0Ubw28GQcbrHs0tkYUOdE8mzgc4FnFfo4G82le427PHTlaMz4Q2E7H
yCWvXK672uuqPRmjOu/oBdy7vdWY2lK8FaGCWpFV5T5MgNSIjW5ARcti0pb+8wShU4BPh18CAZ91
zIOP8LBV0MFWsiiH9EsAR0Y3iYO39OfpPYqWb1+YZ6h//zD2zyroShgf3W4BIJsJoANBZ1vwKKhy
zUE158DC83aoLj5bXkHVmAd8zaeG5jHUjQQvNpsegKzkYNBWp48K8xr2E/hAC18iJRpAiw9xuEIu
efU9YeFr5JBCsHDN14X1+dfmj39D4t7DVDxUUg+HaInALYThF+wJ8OlaiadfIkTQ7Yvg2zzrykeM
C66lhPd7iJ0Hn0XIF9bhe53X5I8DxYNVHjwmKQh5q+/0t9wOmFCWdaQ0RuPqr0vx5NnwD+HDWGp+
mx2IrLTdlkI5kO+IN29Q7iD/Ngz1Cw+XoxJNlMXRG7KFzyWsv2qwZCDXddb4SAvD1vSnjQSfLFlD
rDaEvn0t4yx2c7+P7PbEalvfPLebTASLnbs058GkSqnxOSSu1B0n+Hs3Lz63HHgcIbwgi0SQGfu/
1S+DHyTuboowAQCiWmvIJ4tQZIb/lqP4HL/iqltyurUgmYg69ygPHJv610tQONxqttEzOqR4P8DA
73TFyzJwXt1WGO+7VoPUYZu+ctUkh0b1oHUS/xN1Jf1Qt15JmpV+c2T3TE/3MWmPXdJv12GJPJQn
e6RGdX1Yo/ln0M+br2BH+GVSgbyMov+sUwOkVfIPVWlaBNH85s/to27MR68vqwGEeCfWx4YAQbSq
cg6kf66i9Jux5FNvfQxMCSsR+brAUQ1Vh5COors/3fRaTuqXzEjoGV3nzzV4rCSLb30b2iyY4hzv
uPiOgaUhg4swr3Sv3XyZIwFiHC88mCr0jr2ePtEqrIt2wz3T1Ahro74PDgMG6diS6ivcRGFwDOKS
+XVjIvWMLsF5Y9NtnHH664DqQiM62dtkAnqmnMn7MfjX+EhnJoY2Zre45LoicxcNLIAFyAOSQUCo
SRjdSTN26Jwv0+vQscdpmLrTHDFxFcgUMI7Xz204mwxwsXcAmj7+ZuoTorRtK+TMw1NEu6ZAWrvu
ZB399k22/8KY0PNk+5/B2eCRA7rch5gdcw/3koQkt82WgPhrv5agRvWKJCLzDcpFEI+7BFWprJXN
oZb0jP7AY7NgAGuUacst+Ni65UgpCtouUjEep3xMFrabQrDv0aiWcvCjA41ZchybJ6PiuagSMuO1
N9Fer97JX8WQzzX646hB4aO4CpwGLDfGyXeCBnS5DkENQ1j++kDvQRuvV5Tbgh7FDgybWznkAHvu
jRzw7qEW42tQgaZs1T5KgcVu8cSyuSK5xasFoJjjRxmhU0HC+DrCcYklinO4GbJEhMM5qvsHQdV0
WW3bPAd6/ZjRG7ZDgHfNFKbmeDNNHU+/QFRb1IAGVmQ+GaeTf3Qk+WPX7k5iQK5r/RYuaIs2a7m1
1VM7G7xMpIp3PQvIngbmwRP9T4pZbAeDbwvouasHH6+TCPWht9N760d4p8ZML6EHYAgaICjxehyT
29E8EX+Zj+PDKrm7xaanN26Jv4/R/toWeoBbiSxjRdtoaTj5rXfk9arsIwjvLsMqKeu+qtEqSvVZ
0O51DtRLw01313YoOz4tj10fQsM48ZdRhr0DAG+/0ZSCNIRjlQqMQQOavLeFoPgLzBioDNn2C1n5
vUVxPiRIlaKuQlmNz/IyyGArlE+g40TQHLyGAzrq+tv//zJF/HHFeLSP9Tzux9hrL8L6JpcggM4t
DrRlZs0lVGkpqqb6jLEXaxo/M0bEU9V585k6EZVIcPGqp/bAg448oAamHj0n0bPCfM8fgFAkb7hw
4TUu+GCYn9dbx377ZSYdy9YaXLsYoU8i8P7BoPPRdjXdkcv+7qlhOy0BsudU87sJgvpbTGiq1Mtj
pNFkN0v4N40vrcRrcDpG1LH65Lr5qufhiGFWXaMYDB9j9NxsK9r0Q/BvQDV6N0cg6fD8kjs6WkFF
Hv5X3gYPPpdh5d3JlPonin2QM0y+O+LpNe9SFZ+Dxbd4mkOIy3h2pdygAuuh+lpa19/41j+mXgpv
A+8BRfCJOqhmZJfQZNoJ37On1CIORFbR7KAKcFL+H2dnttw2drXtK0IK2JhP/gNOICVqoCzZsk5Q
HmTM84yr/x50Oh0ZMcj6WZXqxE4XQGxg7WGt931WWuk48MJ8J8NUwSIerXs3Vu5Czvkr002tnTJk
CquKbN7bXu3gYHeq3nBM1oWfPubNckz2lRHnqNnd6tYdsMgjHb6n1FHvtdDEBNckxTYizbHOUrQF
uT+6eGD76oDAjokP3zyu/qkAaBnmQWCdkJVUOHUp3Ce356zcSa7xc1SfkfhvKmaLW9kIG0dtKNq1
rUfmy5KqXRyK71lqeq+Z7uFtT1z5IdTGN0+qzJ0Rt+7NoDGpEK67yI0QMkwnQVtWN5qH0lsoFMop
sH7R7Py2SOPmhn13cRjjyc9CfsTJgzsRSsZp7JJDq0NGsCp3N0TM9ML3917P+bpr9buC6fpuSnJt
2ijjNMyh22krob7ImZXgK+SPnEugUIxxs3flwd74qqhO67jI4k0RoTGM9HR4VFgptm1qrauhM44F
BxofalQWtlCyUvx2flHtZYqdL2Ffv8vD0RgRHLdibG7zocUtlYxHX+jqXmNmgLLRbJCQrGt/eEdp
rN4apvFeKU9pF2ePvOmbNkIrRZY52qPWL3eRLsBgEXRMKeJOTV0KlsVPEujFeqwC+Zh74SZvW3Vj
9mm9NpsgdhK23tjKZCzMKJwpqSW7ZrDjnW5NRqFUPsmBT1qPjDaEjcARiGX8Qrptqvqhz+3ACTqs
FWMXuI+Nku1iA1m6b+KMG+tVBlyrQMf9qaniU6swgcRFa95UgXQfR+qpanzi0ajTfSqPr17DbIkJ
AmpTsmn1ONxKXkKYpfd/DSRzCtk/0+NAh2Cs9FvvLgj9g6k3/W1O3kJJZdhcVsxMNVjujajG57Kv
d7VN/jbU9WGf1NU3z+8+B7VUPOUk9dehsrfSUj1ZFKL3flXBQUBBNFLgfck6CFAW0UJiRC8PCtbH
A1WDZp2UpbiRzJS9pdKYN0j+flqkcYLOFY8UbllFOjnaoeHNt3kQaJx5qr2raMU+69CexEFdrLtI
AzoRWQ5uRs0RmqXckgUo3VH/1JZ1+jAUyinIbxPSAV+pFdl7FakV1fnBxXWk7oJoEjDr/gZWzI+8
6LbMKtqbbARrUy+1gz2M4c43cDmWybiCiqA/SSaC+c7gXJcb7DpJmaWizJHpsssysnrrupgRULOt
AAK85KjltkoHMMcIHtzM/wIGrF+NQ6JuIRIdXZl3VsJitnTUXn4l6m1seQ2kNkfLM+u27IL6mCOY
QGSHYhI5frAvk3gTpXaxDeP0xUoqvP61CUSsx61RWetEVhrswog9RBH1pxz3+mZEa75WivpXYhbx
Wy8Xt7mxZa3vj4N6g3m62pEI9jZJYIdreF/m5GTyb0av+6wLFz1FVYM1qnCNGKGpHdNBig9oZT6X
lWa+GhYlGq0o2cVMfzTF5w4C1pcgqMRtVxoT2emHH8X9UQ2q9ShYRyOoVL7nbSXqQocRbIMcIfb4
lHI6QWFo1TiF2xOy1IMHd3AVKtkXWzb8jVoqT0hdXiqBA0sX6ddIHl88KybtIw33sWptdOXBq+QH
D5KLKxvViixlDDgn/pk2CfthPW5Ii6SfUbTelRYuJlkdNu0gNw6l1bWRD/XW9KJtD+oHA0yNuLVU
j9m4L0394GOe35ot8Bs7YKdzSAaTmVUhm1CNSb4rs8wHVHLnWzCO6rD9pVbNIW27k+W6Xxur1Mkb
i5c07N5USde2KSnCxJtEAeI1ivSjR1J8pVZBuiOPb2m42VnFPWANVMw7BHslH1zWnnCE/ORfalEe
sulWUSqvSMXwq6UwOBjSdyvVSPniboCU5XE0RNhCtqjSNBB2dRtv9DLHJUV60Y/M58xoJMBS+rMW
jPFWK+6SYuIggAdDSPXgd8B+BlnGLRQi+MBxKQ6jADODKTfeKHV225pkKaxccdhw41fs5eRQdGRf
6zCrbhJZJfcG9afS0PwMzX2a5PBtCjTxA3CM0miPPWsJpKDaB8fkjjdVqB5NgncvuaG0abkf2yO9
2ZStot632VF2/ZMehOMXGeqO2eJbl4Ks3uTog4u211bJyJ67JFKcMHn2x9TcFJbqfxPevq46XFal
ELvGND63YSTf9U1zynlxpID6VdMKknAdVmr2m+ODHYf9lkJYfVBYkEg/TwrrVqvuZEXlcD5iYrXN
hg2Zq61MMrkcPVMF4tQ75hvjRi+Mg+clj6ZGwaDCJ2Z1po8C3Rof1Uds9+IYeP1jO071xsDXt0kG
/iMrZeUmGQt/pVd67zRUXddVhiGCZcV4FCiIwOfEq6APm3dvx3TBCby0g4fSqLNNKvrWscuMhDkw
yw5p2NYbAE50Hsq7rkEbldVkjJluFQqCqJPKEn3cMLQ9TDlkGWZdiHVek78ws8Db5wDH1vi7m3XU
jJETlCJc5XKa7voIz6atIIDCo9UVRYeD0F5zkE2ftV76ViSadGOxF4ns0D5WShc8TLUoMUb5k4Jm
VIr5jgvXfkwlysV+bXlPvatv4HLa+6rzTvIQUw5CQt1FqThWjUwFoabaF3R9uA2I1h6wFcUH2X20
29pGKudV+zI2vuKsVvZ8feiRk/qRXdxk8yC7V2NoUxrM/kopTbKbMtpFoy8QBSFp7WvDPim1G2Jx
LJonU6My5RuxRm5KuZUszIlji/2nKmPr2avQrKODjOydWwl2aoV5H/XihTREvSobaIQtjqxQqzAH
yfn30M3lo5Ghtk+zpN/EiSttvDH39m1G/Sk+VeUpqcf8U+9m391ARZrafFerN7+NO0iMuJEUY8vZ
Rn9I8cRKrV8cLBnTltqioxnBp7R5Nt6Q+HzhHJnexC7er1DmMJ+/hqnIv5UJx0gv/2zUofLMBv9r
n3mg7jL9VtQcm8hhgoCCBLvPNJccT1MWBD32pYhkhGHV+q1X4aCQKozX2gTMimNWzK66Ha3qpq4S
8TkpOgqLetee8kT+JUyXRV1W3sayoHzb+5gBC31rJKq6k3Q1cvwUdippaoAX+kDeXfGSQxk+jrq/
N3t8LGGA87QyPsuwZtXS5axsARVLtS95hzGhT0AdKJBNyGHIO58lmOPVUbHdfaeiBwh8f1NGeNQ6
lhdO2jvFqIONhOchJH80uZFfhCAdkKajtOn1NYkFbw2j9M5LS1ZhabL1SPBQIIKtsuhZTbNHrVSU
Q1EazHuevrcCABT10Onb5nas2mEXxSrEwMJ6FMxnMXmqoWy+jo25LQfKEuhR4pXi5q8alMBVtkMb
cqhLtHSo575h8pRXvoKXMgle7V5mApNgahmytWLeoUxaqN6x4/gsd8nGU9DFlSEyRsuscMWFTEkW
2Y/GP0qVhflZC7OtrDyPQmctyr9bCfMXEGpYZ4MxHIZEnAK0zJu8MMRWYy9BomE1on+9z43y0ZQH
/IoCRfqgNzdp4+nsUXzMaebwKc3YWiQi3uoh+6+BAL4ZYg7phV9jlwlrTKMRSU8rhk7BroEDSAxZ
pau3oWYjHFDJPId1cRoivb4vy3VRUlAOEKPL2luUMe8bhf9ojWm7w4NO4Uftkbl1iC2j4Vcba+OO
A9qhNqtur4fBnWU+KUlsQ4iqV1aK/ycbhfbQBcFbU8ChKHDKB0JkN71XIt6sSKQXbX5bS5mykwWJ
2N7T16FnkxscqaiMlpftwkQnM0WJ+SarJ6hsBjljgE5xKIIsYo0T91Im/eIQ2GzxNg1MOag9emGR
ZRE5O4WYLSKlgi3TNQdloWNfKdyWzTk66toEyWUNsfoGL/y5MevhkAX2uI7rHJSKBqGUkoOj5M9F
2iLPrJAZWk3Ybg1c16sKi6SDXuhdNBaGEE4kom3Ke9t3f5nTTBVwsLw1svRTayotZ2mgbnFbipe2
sdyNjGdoxZkR42XT9McwLyisuPBqBo7zWmH7nzCZj2vVw5yc55gkTDY+G1UDYITnwEdU6iFCGFAi
cjRRqSh10aZL2+Am611HiA5ibImEvATXsna10rxR8/EbE3R29Br+YRkRCOCQk1A6cNq23PEWZoy7
zTNVYoHtFQrPMAJIfZiUuklfqnFePcQB2omi9tP9QEHw1BdCOrmyuQkrDXEKuptVKtXKVkMadxsP
WOKUlGKa31vy1s6rLTLQlVFY1qr3tdOoAL71C+a/5NgGPuwDBRO8YtpvoSLIRFfAO/C7wqM0Dm7C
Hjxz21e5gLOsDSRjSW3jMKCKPepGtHWFAey3/xL0wKoER7eVXFjPaZtAbK4POTUVXc0emuIxqpH5
WXL0lAxIZTyXjXQuv8pKdypJb9zrNkmNBpTKKpbjY9SX360MLA67yCH3vxPI7IJEsDUKqAaAYjvw
DtMp1+YHewHABdsu15Wvf7YLuAxaWexGiYOJXvMP3NBIFMhfU8WXkS9Cn3Wrdoer5pBU/iYZyr2q
yreFHP4AWxDdeMo7JyENBQ2fklKqW08T0UoJyaF2EZsYICJrN1IfbfNV9vzvOsxjpmWsBEkQ/FKN
8JcoQ38NoA15mWTcxy3Scji5p854G0rvFlvBNkYUFGVlcHBLBR5quYrN5BhD0sAD597IYfKYAu6h
UtayNUypSw2Tg9rg/VWxvSOFjvuPc1KonqIDhvV3MfYYuUv72Rt1akR1xc4LSF0T/lKk+nUyU4L1
Uann6CeRfUJyReaobF7TOvmOD+27nGU/E59wCYzvXaA8oOqGAsf8xbak9nprI/XSuxah/bzXlKRC
kHnT1vWjbUu46blW0lL8UBM8/IIdklp5vySVQwXVi2lLCZTE+5QBQ8zt+lkGN0j2/ICk+k6ME1WD
q4Y25xC14zDNzvEUCiSBUmXjR/Y+6ZW4C31r2DXs9TcAGk7a+CmVbScMVLEi9c4HG510tFnrvx5R
nn6KF1XbeGBX3vMpDe5zwLFE1etXeaSA6HO8gMb5zMYZA5qnnoqsZ3fmpu9G+HmkIruSs5gyqvYc
wmuLXWmba4x8q6I8dKtXnMn303/b7ZNpMv1r4pY9srvPWsx68YSrVDz9O2tmYzUd0pJB4/Erjale
uZcLvz9YI6p05qxtyWF3j90e4eso/yiqAbPPwNvL5UNrKVN1yt11PZWvCj1Drf2IxubxL8OB+SgF
xmtfxKitu2/4zu6aPuzXgxJ+qlTrM8C/+xELoaA23djZQ5x3b/kw3EUBImNZ0/Z2hoJGF+JYYyey
5PibrWkvA0Jvfazfs7C7NfTEBM6lumvZGst/4+z/bnvwN8/+3+D+H1k+lIHn/93i6J8//r/nLOE/
f3Xi+e9fTh2S/vunu/+0Vjr7bznv2dS4o5r/S9Ov+eda/Ji/f93U+OC3P2znXRgW+iw8vU+dmhb+
z9+aMPz42K3oP81FpgYFigLV/58uTP/TguG3Bhf//Pv/brxgm//SZAVnvqZwsJM145/GC4b1LyGr
mg2QjXMi/5N2J/9pvEBPBtoFaKZlWYrFKkqvpurfjReMf5mGrKm2ZQraJkytHP5/Gi9wnQ/NCSTB
LTSD9gTm700JbBG0RhX3JvpcH2bKOA7DF18Y/b8bNfGCaGfx9+fysa/DdJnsr+4P0yj89/LG75cP
TSka+PzZL0IC826qONQhA8ll9daisLeBnXUgT2ulxgn7YeD/cEe68/zxjtPff+iygNA3sjDRg9Dm
KB0+iFguBpDj033VGFf84fxtlsZt+vsPt4FVZISdlxpbf8hbLDPBaLEBH0X2dv76SwM3NZP4cH3T
LuQ8tAc4EEqu3Rm2ZFpPNSfv4ThYNdJVyRzRdye0PXg6f8OlB5p1p8hRErfmdEPaaZj9TQaBGE4o
SdZge/4G0yv/06fAR/7xiaxgpKbTqPqWLGsWvriBr0JHku2IY3HJEWMwVoAegB6dv50iL9xv+vsP
IwjIAQ5ChQK7QbpEmklYjorrAP+LHUtfkef1IdT1rqcHxWBKR8rllhqvscKJ5Hj+Jyw8sUzAf/wF
sUdBNNY5THWW0Ndqmf3yMcEVMqkpemDcnb/JwnuTaRHz8SaQKYzOInu3hUNmvnplaW4HVY7p/vXP
NPaHaFp6hNn0EFsTjlKF9BupQfAu00bvWJH2XMmUy/Ft1umwO3+jpdclT7/gw+vKpE7PC1/XyduD
cnZ747PQa3Pt4TBajzZVBrQ03iY2yKYgPHmJEBCfv/PSAM4mjDJGzpYLDvHQFwGbspcjNZzrtupd
eYPpxh+eTPSewhkJBo6BlBOiRRQlyHNxMLhX3mA2VwgM4GlW5RIW2cE0Hms6bkifTEmTvQtz6sJk
JM/mhsqSG7nrdQLIdJExBEgFSfD62DySsACVSR5k74ewiK57I7OZws6iKXOIDC2TrDHZdaWCeKAP
kqx1zt9gYY2QZ1ODqmWu1eWS6dR1I+p9yikT8AUuamocFOn6C8Hz59vQMev3F1/AiXDVPrEcKhrj
c1QO/kOBRP0RT53/cM2T6PYs+ruotxDG6LaDjDPYakrhR7c2qCbrCZVc1F/1Quga+fuD+BBtI8vM
abMSa8NBSgDf295UNz3/EH+OQN2eh74Ly5oRQltvgvIiRdlrX9Ef5RcWnqXXMP39h/hrWjMzLdhj
Tgup+bmPcBuysrIlD7CDXTlCsxhvAjUdaLdiOVrVRgHnFnSYKxCDnKfPj9HSQ6i/PwQcN+A8/fQK
ilK1d4XfhDJ54rypbyL6wRRXjtUs0k0xqJUiUeJ3h2S8E/ZYUD+11buBkupVW0LU1r8/SWID08CV
QfBxDG02umd0OTVBZOu3agGa8AZUtG2eSNCoxlWbNd2exbs5MGSyrJtOW/KaHF8nrbNJe1BbFyL9
z8ukbs0ivQ+GwqhFaTqK5KnmKhNotKjVNC5JhUQgjg8brQwu3OzPszHZmN8HcPBCT046vjU9aXMT
fmIjdcdYiLblkGoGyn0EPFE+Wkqt9F/Pf33Tc/zv3o0a+u+3jHvPNZGLgWO3ha/ck+0fqx+VGP18
K1HxRnYVihhmpwCXe5RDqlmvCIZU/XT+9gsThDWbIAaXwrMVSS7ufKnZ+FosKEjTLuj81Re2Hro1
myD0tu6DQhS2o8o8zHZE11tvLS+MB8ejsux9ySWtS/Ya7EzAX5zg0jvBgS3ExCh0/UKALz3jbAaZ
wCR51gWak5suKCtjtN/zvu+KCxPU0hc6mz/iUjWUoafZk6YGnUPFLNwi0UyfJCsbHcoOzYVzy9Jj
zCaQBmWyFYae5njyGL6FViE90q7DuzA9LV19NndQMUhpNmDaNELr5HANwIsSSRNg97sytmYzRRVg
2RR9aTkUQXAuayaCr89FrtJhKw2anK4JaBu9H3kyVuLCm1mY2c3Z3KF2acx3hIvZAClJQhZXApKa
yCve24Gp8cLntXSX2aSB/yMq0JyZNDGKo60BkICmcB7d65T8um2bbs4mCQysMl2QetzkDVoxERgt
qTTd3J2P0oVXb87mAEMBYtezQDg4zXGD1JC6ofOL6z4scxq2D3sETlGZpYDTdEjbgzr0lS8pjIML
b3jpp09//+HiioFUGpDrCN5SGk9dmwq4IZ6EK++6oZnFth8CzlJLEDmSS/ZZktVix3lAu3JoZhFN
CUfPgdyOTu3SM1JLWM3oCude+C6XJl9zFtJWKkay+rxXhYK72jV75K53SQJuB95Ub0kOTOEdCm1k
L+bh/HgtLKDmLMhDWSrlzq142Xn4VaYsufKafgC/gObfxU2ztuv4wq0Wwm7K+X189Sn+nXFU6GfV
Sfo7x9uo3dEnK0+dmvYkF4Zw4fMyZqGttmabhiDckUUa5ZNdZ+FW0bLowgljusofln5jFtX1RGTp
RqNzkKHRXrEY36QoOnY5VkdVc1+rDJWR7YYXPraFV2PMolypk9i1YK85la7jzShVQNEjhs28STZu
VlIs6OMLD7Y0bLOQZ8V3IbeqtPLIQoThpS6gRPnIKzbnv7KlVz+Leh3BRiTRcWhrkb24qQ28KkBF
41u8JumF1WrpEWaBT+JWapUmrHdl43XVJ1fxIu+Y4457v+4RZqEfKUFbeNhntz2QVYph47NpTjoA
F9/e+TssPcEs+kG+RpplufShjH0StBX6cqqAzYWrL2x6jFmgq3moCZeOC9s8lb56dIyiLmo/5FV4
U+dI0q56BH0W4lE+lpJUGX8/gkbxjMaggK6vu/o8uHUa4Fo+TcJsJMsrMV29unqA9FlwR3Kbu3HF
1aHqgFDPh0cvN9ANRzg2KNJf+QyzoPY1DHuykMnhaKjf1dSiXbA0Xjn8szCO+iTGu8fFgbUk21ED
r+11oHPOD//CfKTPgrivyXjFQ8RPF1D77fJTXwN5obnwrs21L5UJt+C6G81COYHGl2aqjPo/1EGj
ytgj8C70mA1UdW8EyYVs8dJyq4vfF6SKhkdI3rqGRiMKrX/hi0X2XoqLtRFJe6+Ut36rnZJA3xTo
/a57tFmMyy58mwH/OY0BBvYPIaIPvBJVH3zTIuWTafe78/dZmEv0WbQX9FehnU/TYN6jeZ8RBvEk
gzQvPMXCdK7NwhzTieQF4Bq2mSYZO08ykFnRiO2BuTC+8LEtPMDU7f3jZqFvNJFqJpgoUPoZDXNR
HoGV6H3T3JwfoYWvWZuFO04mO2lybIM6CPsnu9RpipJYvAvc4Su5tPW7ZEBGeP5mS08zi3olcEWZ
9bToQSYS07i8UjYVXRm356++9DpmYd+Ubq56qLmc2lbfcJTf9lUSrFJLujBUS9efnurDnr2vhjAZ
Bqme8N/3zLpfVdc7RTSNPv/zF1YmbRbudhAkppKaNBZhy7PyO6RybeY/tZZ3QzMh9cpvdhbsKa3e
6aMOUqMMMKiUtJMjGfVQG/2X80+xNEizyKaS3eUVe/StKINtWrmfaMUJ2Du5PX/5pclKm0W0FXSe
xBZhcDR3lB0Vzv0aBw+SFiWLt14WBo7pwoXSyjq7Q7rkbTSI7RfGbuENqbN4bz298SOu7MRsD+9B
wqYbaMxiLw2Wie0obg7nH3LpPrOgb4pYyLGbNQ6dVR6iBEO0JnjWHOeAUdi/rrvJLPBdKygmMX/j
dG1OF+tyfEjgFa1MkT/GfnDdSqxOT/ghZOwUTHguJbVjKeG70ejBDROO+Xj+CRY+NXUW7zC1axCo
AbNJ290rlfegju1t3vRP111+Fu4jjIjQ9aPGkct8YjBnW7fL3mKEr9ddfxbvdMztu0Dl+hbcgihF
ExRmN4rQLqwcSx/RLNAzmvt6teohSjVoSyAXk3AJ2mNNo+0KLuCFkJi+lj8cBSeZyscXrCh5jole
SOwW29saCwf8uBeXHlQeoL9GFBf2KEuvehb1YMRwKGSMVdSwoXPHLUSdnUv7svOvYmFdErPA1vJu
QISrSNtsbPdlJ1BuXngLCz9czEI5H1AqZvnkT1RQTVbZPmG7MGrNhelw6YfPgjiI695vGn446j85
p4Rsv183IrPAjW0IcWPEe1Uy65twi/vINvfXXXoaqg9zQlO0UY/Es3ZQDKLeHmrhhA2otvNXX/gg
xSxqLYRWoRzbNbR/QH60kq/jWwvVMiiEk6jEdZ+9mMWuJ2pPyjVZ2jIfo7tVJuDit6KCJeXJBbDc
+MoPcxbEfPVFEcvsCfSRJkpU+4q11tIT5PxY/aXo+kP0iln0wh4wa01Hy0tXaac/+HT1wHK08t5K
+AEP7TYFnLWJT+ULKLRLmbaliJiFsu/5hQZEv8ZnAl5FDt50UKurTHK/n3+ohesrs1juqCMOQ+pW
W8XP9ygjjY0rhU9gGYcL737pBrOQLptGprzKDSAQPALBRyiMSt+wr1sW/kd9p+kDSmu72paJiug+
+h6L+K4y9QuXX5gxlFlgY0oyVRo01Y7dqdq9kenVvtB640L0LSw6yjRmH2Lbx+sWswOXAJoixk+a
5ruJFthOpRclUKsrX8AsxHu7AWpnM4GYQu6CtRyhddromGZjvB7QMK68zSzGwX4CewuJPU/Lv9FQ
60unZ6+yG1/Y7i99RuL3oWqRppeGylDRAYqqyLQkSzHbcbWBrnddKMzCG0sz7Fi750Qh/GM5mm9h
0N1h4X85f/mlT2kWyWFiyprpq4AgCvWuDKVgG2hW4Jy/+MLwzIVyjVeib21aDls6nGGANJZhAWUY
L+jwFn77XCJX6lI6eGpSYezQxVqU6htw5OK6L0eercqDr4Ckwx3uaEN768fqTdZlNFVMLoTwQpDN
ZXEweEMUw5i2os598i06nIXyM2jIYl24xbg9P/5LN5ney4dIzgD12i0sKbpaBypt4/O9ZXm0FEl+
Smm0O3+PSTD9p92jPItkumVXWBe70jGUzEkqxL+6QstSLdF/qp1yLFrX3qSef6A4g1EPaNgmkPNP
mlQD5XflS4eUpU9tFuidpDLj4kJwNF88VDX2ds18rmz18/mnXLr8LNDrjgZRuZFVjiup9B3X6YiS
H+TkUvpuYcMjz4K8dS0awsQazZPqYGuKnpZXbnXy1LJZCSu4q/TywmyyFDKzcA9GUFglFljHxs8R
acN9Yl23S9bmqrhOKkWMbqV0/GTC45emMcF/MSZ3oSBBeM17QFr/+xetR2mfAupjoIYaDgxt9Xzt
i5RHz+cv/+fh0eaCuB4hbGyQe2BGaYHIDcBq0KmqFwb/zx+RNtfD0YFRZy+DSzvWlC9Qs55Q7281
Kb/wjS79+Fm0+7AHQVr6laOLQOu2IsqA0HqUkKMLv//P0wlgoN8HXwN2YDUABJyxl05BAni/yB/7
NHN60JfnX8DSEM3COA70gowAt6jc9q6wvLus6fd1cKmwtnT5WRjH0DKSoh2AEanmDxkjz5p+RPVJ
8WBGXfcAs0gWZgsnL+ADbWiVTmcv5dYrIOKg+b9w8lp6hFkEJ70r1X3l8wiaV65UQzyALH7wS/vn
VQ8wl7zRJbdpNJs3wIR6i1n7NqKJvAUs/fzlF76hucjN7qDehrR1c9Io+Iza/AlI5iej9R7y4lJd
YukWs5WbIn8ps+cuHZlaoB7FHNuBzVnJsQNyef4pFl7CXLhG2rV2jU4qHGx/XwzPOA6U/mns9Xrd
5afbfli3gR0nkZeHLKmM1cSn6laebnnrRquum0etWSjXalhIIQ5pMAf9S9+PJ5ATp0ayX84/wHSZ
/z2TatYsjGW8dEMK1NCxrNiAfxcWRBqA8k/nL69M8fqn68/iOAxtGkaFAz+/yF9GMwEZWtwFUvVd
LaQOqrjxAiOrgQyk6kA56YtExkbBmR5e+XyzKG9D3XATSy2c0S7FWqm0+7ajq8v5p1savFmEN1Jq
ZXqfFQ7kULoYr0y1oFuCZdPV7qobzJVp2pDJNlXzwhnyqs7BLhdFRQ8WrbhUxFl4AnO2Sg9RAysG
WC18NE8GZ9+bEKgb2+zKC0O0EOJzSZqSCFnrbCl3wPD+JHN57A1oD/QrupdLOd+dH6aFIJ8r00yz
x6HdyrmjRuWLHgz6SjZobqdyrr/wGEt3mP7+Q5zXMdrNSk1JbI1j+t6O/XCjjCL6huc6vaTEWLrH
LNL7oDTKrmeoAKKAVTdKCCDiqY+Vq+Q2mjkL9VhkXSKZTe6UqZXvh0qudlDI/Aur3dKXNAv0Vm3V
IY+htYWuDjMncz0AEFZ+qTq/dPlZHKvMsroAWurYqUtrIhPMrAZnNDMunSKXPtRZLFMdjbI0b3PH
MtPQqUhplqX1kqXpN9qiXrmvnIvRzCgRyNRLPiOtplNOdfLr8YttVRdO8QuDNNehee7QQev2Cshk
9luadTTI0LRLpcyli88W6wIAFZ3QkhzXgFS+SYZCK6woaa/7fOays7yu/dBU9cxxZX1NRlfegNox
tufnh6WfPovecpDQXMRc3MrqmoaI+iFKL4rYpkznH1Y4Y7rph6mhCGAj55bInDAcAunFgxhGX/AQ
rr36ZMiNWt5KvmvI68al7dRjZbpmfihsYcAJ0ugJd2gKESkRxHa3Gxx8Pmq36bohLL/1Fv0TNyn5
bhbKqE7DQ9K5Xnnj9RjkHGkMfZ1OCRGVV1sVRvsm11EUfLLdTK9pT1qZFv3vDBqXdb2tgHzQ1Sr9
2pua5j7WmiGF32XPiJqfcWr6ZPKiukjuDVIEgPyD0KSlArCfbtvlZQ+Rr1RsHeBbAkfUHdyi3Cmp
OjR70rCjt+/sNkkxBuSGfOjgmtqHzJzI003f+8qtDAPaJckA/DG98nXOJrKk1xp+uZo5ErXvVUan
G90asvX5b2VhFjZm8xiKyoHtIdTa2JiaO6cPcC9uXDO4bsNozOaxlhJSHwt+uw57pbLjGzOjiadl
b6779bNZTG8R+kAvyh1h2z0NRWwwKn34Ewf7hUVkYXjmWrtS9lQjog5JaiWk4xRTmNpJb0ZYPl/1
APpsQwIK0G5TUyaaZOgU9KaOd9gBg32m1sl1U81ccucbAT1PhFE5JmWew4j5n9NfqT2df4A/J4g0
fVpfPkwHZeK1bUtfS8cCIrNGuBvesuUdt0VfisOgBsWxUeSr6rSaPpvXijSoMQXZDBaubVqGFZ/L
tFBWg9tceJiltz2b2+hxCUzBymkvUBe6t7EHPaNddAjXUg+iK/c9+iyclRQgl6TyzRpeovdbeg7n
73nj9z9NiUe6EBjTL/7DLD1X3dVAxFzJr3ktWvwL7TS9iKvrnD2aPovpvOnKthjMjJNyZjynedK8
RrQM/ploQ/d1yNTs13Wf1iy4afM0qnSsYWoq7NFaqV5gUj2UDHEsopH2u3SR1gdIc13/7fwNFwZt
rrjr8jRW5N5ju2Jlb03WdE4QBFeu+HOtXU4vmnD0WJTVoS7XdqMYrPsg5q/76bPdSidjxtcDMl4p
DW1ufHpa0iSokj9fd/VZkFdh6kUuvXscPf0LIqvKbxxyhwthvTTss7A2+6QYk4qtaOQCV2pSK6Se
Xl+SIE6/8Q+RoE13/TBBCTVu7GBa4KzEutHi/J5N3JsaDJ+bmq6s143PPKRLpW96DscOJB713cdQ
8E5zR1ja111+tkbrQk1DnxYejm6YrXSI7FRZy+7/cXZuzXHiXBf+RVQhJE63QNMH2+1TYju5UcVJ
LAkEiKOAX/+tfq9m+pt2V/luKuWBBqStra2112Otf0XncUH2BsP8f78jNENzHugIhtHdOJQPql7A
6+Uh7A4z2zcOHBqroxOFk5cHA9aTQxQs3XKQju83XxwDZ3O9CylyxwJZpV3gUJvCohs1RJhLGZ1/
6R2eq+sCl67YjCBocXpy/QO0OUKRZIbJXfa1G5yt5Ks7dmjF9uotpQQWkLMtLEOJB/asVwbZhcWJ
nk1xIC/Bi4Vb1bYX6q0fyp1cx1c0ZPz+2u8/m+OgIy9DPK711nQgk8+CfqwgV1357Rem+LmYTrQr
6fsShJnJZbmGGaHn9VcytAvzm57NbwCJXGHhUAM0PIStMFPYwvX/EayuO0d437/2bs7m9yB1Jwja
6LaxH1GYHkzg1omuvjK9L33Ys+kNMjK23fi2W7U0661wyXyifRffWCS9K6P/0i3OJnhfsLphNam2
yNeOIXikPPC2EqyEr72fs9krYHjNgq7B+ykctqMAS+20MV+sIpzr52wZwJ62pNWWNaCOLWztvjUF
m3bAyoM19/kTXHhB50o6FgNwENRuhSQZGBcAU+GC7j23y/q1EeSdTd7O1EKAWo03xKS9jQbYGmMd
8h6+9uvP5m4MgspkCVb/gko0EcegaKx7ORRsySzMCcOPz29zYRZ7p5f3j6UUhkk8CqhAkA5OGLC5
jiP42jqAi1+JoZe+wv+by6pvp1hVW0+PT7oh2Ti4T4Lwzee/n5yG+3/kAufCOtijDJELa1J0c/dZ
5MQ7Uk8PLQPuEyQYGPrljc/uYGD34TZtgn7iK/e99FhnE7wGS9opoaXcwHKT7GgJfNa0OOYZ/tv1
1yb4udZOK8DKXK/XW1hGmpz0ACWYioLGqEBX/fztXXqKs0luVqdyeVXr7bTq302rbzwHat8F1uJf
uv65tA6G8PUyLvjhSPojoKOsMT9hwdjdrzqGA/HXbnK2SsMaiXM44ujt2oXvvi73jZTPpliuZFIX
Zsi5vI5NLo7S0VKKxugGNqBdS+W3cByuKRlO0eI/xu+5vE55fV1LfvoEtODoPTAtEHzDWwFm3kaX
TgCKZMWujKhT7Pive52GwT8mO9BH47wChQD024nP4qpkrDq07BE4Y8Ho59pm8tIbO5vyMciRAFch
5Sd2ICeGFLSv8Nn12v5Ku8OFYfs/ddA/niOaLDdIn/EcMlgyUlJ23xsw8FYYEXzxq5/N7yVQOGmw
LWzIiZibQ+ES9+h54GlfeYT/6d3/61ucLd8Box7o6iOGFbocKvSTArwNVxJ4P6JRhfgT+IKm6TOc
v7vltuh4hL6qIpLNK/HR/Wa0MGkVMucphCsrjroWKAMBNZCxo99M4xGbW2Nlm45+Mf+mFTuZnRfD
YVFyQsce/EgBApcKVK5KsfWbJGhVeuy4XEFadCGIPRZGOiuYiY7swVSnHdyHPd5MVxLTSx/wLO74
a9B6p7b2jeA4RpuAZri1QVHtLHOL1y9FhXM5oHQKOq3TBE/7wn/puZth/D2WznLl+114gnM5IDaz
S+UEttzStTdA7bJ9uw5vcXtt83QhLJwrAmHHU4m1nwETULX20D+0dMMmXqDFyNaqddZDiJ7taN/H
TvFFtcS5SpC0sR+wyS9Rk3aCDSutzkVb5UGAQ/UBLVJX1oQLQcg9C0ISpT1CO7jct0YoeIU6CEDe
cjDAJQQWiMevff6zGERAWB7Lbiy3gR7VMzTr7D6SYv41F8S5UoS9NATOdhAuj0Phmbbc9DMtA2Di
5yH66BnQfDsFFpF3JRJdel9nkQhaCTFOAdxvhMLpSD76M4HKDQ0DqlojL42mqwdYl2oG58pAIVG3
4Z0ut271waM3yKQ3w0o/TEGBYDb7kkQbaICOQ3etgHbh4OncQ8+ZDUFJoi63a+3sJJEZvHgACnTT
FRzBmVQbT7f5HH1tUNBz1WBIOVBVOgQIQ7ThsI917+dNFEOKEIhJu1cG+H+PC3jr/nuV9XHtQMGl
JZub0cCsXLG0HZv6QSPDzj4f3f+9wgL6/O9bwE2tVWrBEVoY+kMeKCJS5bjXNk6Xrn4aif9YXieF
gikdidwGC3BnnVrAqdLi42s//Wz6u4EhWoean4CjBxegJNYEV178pd99+vd//O6TYykIMLj0ujK0
TCEjJ+3281996ZuezfUFToKqh8tsVirvppPDLm4fuuJLqyGFB/O/fjd0lG6IIcMzU9j2gP7EIp+V
8yR0kX/t15/lGtwP4RlLnTibR5gNRzUos9RxfTDH5d/P73AhdMAJ79/PAAfejvuwwdnWdffXU+0b
+hOPsFR47Gaacye4nycJhM0y/K3MtXH635ERUph/31MEoQAhalRbDap6PjV8PpAW0bGngqQ4iImu
BPr/jlL0XEboLDOOkKpOwemT3nTg2vOJ31pqATQAbSEytxh3a1KPX3PKpOdGecDttmNPmzhDPcqx
eX3qXIHXZLRmn3+sC/PkXFAoIdVtNatjHIQHtwJ01cVvf3zt0meze5EgqlUCiZ0eRnTSjzVCufaf
Pr/4pe9wNr8ndEgAKNzwrDLhC7dh6kxvUf+zQq2C1t7TtABuU10T01x6SWczfoVbVQ/WukL1WrgZ
4IfjB+/q+Jru7kJAic7mfAy5NwtLP84iBjxLMhDZ5iCwfIwTX53k8/d16RHOpv0YANETtjRGz/kK
gtwjAUT78ytf0ETS6Gy6MxAjYdQm5JYsDp1uqrKo6K8wmCESgX6iO8jFh6rXgZU5rH7X2Y0f7dA1
7SZEY+7wS662Y9sBCXr3pbMGeq4ynJ2WwB1mOG3XukHsy6muVF6E2jjp50984V2eqwxrpYYgIjLM
xnh1/AOAFsucw0UdXeqf3+C/E356rjLsBqDDJg5y69jAELPk04Pi1bHk3V/ftfnYXmvhvBA0z4WG
SBl9aigoQqMpJHIs964sRA2wprOrWHileHzpJmdhwIA11/MBN5nAxEmcihy9Ve2XlbzGpL+yal66
x1k0YHKEO8uIZgBQQnLAqh5ATHkLA/8viinvn3+TSx/9LAY0ZRS5LuXDZvJkBYSLA0ebmbn5165+
FgJEtJQucyjMYNCgC5RWJ446pMPL51e/EGDOLfEYSm2UBC34UyfEkwo4NGlDTFIZsWttUJdez1kQ
UJ0lDc6mT/ROWX43wI+IJHDX8ErOdcqX/3+FhJ4rDUE7s+0wTjBa7jBAxx7u9K5/56loVxu2q0X0
KsNrzYMXHuVcdoj2b7rSyO83KiZV7oPdB9zOVX/CC3P73P6OWo+uuhz6TduIjU/8I6OQWsd9+zES
9KsVy5/Pv/ml+5ymyj8SYPCNYRgXgqoE4taTAhC7CuWNNu0965fnU0PQlfB/6T5n09svx8ChLb6M
JeS+wxEyjqGetAWVMax5tqhr4qBLX+X07/94Hmc1VcuBytwI9DJlMfr5UgT5a55rF2ZIcDa7V7Se
cDV1/SY03rvS7BFWFx8NoIOff4xLP/5sestKVk1j2LjxYxkmjseg3V95s/n86hei37kIT5MSmssG
27OGj6PcgKi3wId1rFSVL4Gnu5x1xrtmdX/pe59NdD5RzkiBRwGw4Tfc++9QL3ybPB+QxCnam/la
p8OFhzpX5hnJw2EIcB+nQlGt9e1xNjOgmjLaRZDSfenNncvzygKBJVq9bhOZuQOWfMIC1bVTEg3e
Q1/xK0fYFwbXuUIvhtfDUPl+t5nKEdg+GYHK6YT6VizEfm0Wnsv0gEMOgrWz3YagFpCgQeH3yorb
Ssh7G0zvpAXx9PM3duHzn2v0VlmxtUGlaxPHuk1KxxyqEqhR4Yv7cNAfdTtd2cBf+v5n870Ol3AI
QeDbqHKSiWG+SIrV1AnQt13Sze6VuXNhZp6r9ThjuiNFgNsMLfBsoiQ4BynGK2+LXLr82cQfybLy
sROonEBTHJY47VxoXorGpjAIvrUWXeOlM7/6bN6jnfkYK9bmMEDtEtL6+eDP7hfHx1n6zyluNUI1
vpGAWAc0UrCzM8+iJXcGFoGAAH7/fHhcet6z6IAjCxwMLHGcM8dP4sn53ej62+eXvpACnKv3SuIR
8PXaMG+DsUpZa2tA+3y+43013oBLOr5AMe5ty4rL/PM7XniYc0kf0dA6rnCxy1c+az/tyQnbHBBd
R1cCw6UbnCbZP9Y000cj9iomziMZbZq+BeXwiwklO02rf1waVnbtsICxmk+et10VuLhhn33ttZzC
3D8uDTiM4jJs8VpOll+RQGtS1Y7hlZF6IVie6/lgv4MmkqVh2YxuAb8ub+vOPLhBeGVGXnrlZwu9
60MoRquKZfDnyGffu2e1evz8vZBLI/RssvtwzZIdrRmM0KO/nrb+H3jXj4eR8/ip6ac3aosfo+mO
Qbcu21lO466th/KphFnSZqykm8xL0yREgySpKXukceABglhe80+8EFHPVYC1IW2hxybE0UpdvOlW
41xwJSsUyqQ9MBiKPH/+Hi7d5ywGKKc0LLI8yCvjADHNxqUGkhWdOztRrVbeDch8rhUfPO9/ldH/
2BqcK//CBZDGqWj1RvazreeUaKU9s2l8NFb1Sad9glEKLHXlpbLz4hCg+HJdsItwDePA0sIPAlSN
RptAVrkhoijhx9rynux6rYL2J6UW0kxs8osBAMxOWDDrO6UouYkleFXHqeeWBPsZvg8tdIG+Nfo7
Q3NR860hJ0ry5IGeBL8iF76ktKjc1qQTGdrZ5MtqSCiypZ0skHUsbrDR4KpxkjmMigMt6ZBCD2C+
+yED9VWv3Y+uWdkHcAXo8A7Bsg5v4NBd8aTAVncFyn4mzQF2ZPJgbODeLXU8oBV1UTM2fVVcOf22
9jlTP21EjHOo64KJEdDyTh0gwQq2tmZ6O7qyu/f6BaeJpYL2fo1kCWhFReFY24RLlaO6O4q0mK3I
fWcFwZKpvZbx+ibRCPBaA1wazSLXQb1vos4/TbEY4FhQyOeMc1qlQQFeczS6qQ7Yhnqx2sP4atpG
de/lkKVmpfH/mG65legQSkk431Hb5n6DlgM+2e0y6W3rxW3mTh1JVRSmvVucCNP6SQZe2rV/vP6m
aGybNHOfMpgngwF3A2dYUBHyuJXbvtWHeXmCs01akwLdJDdVgxUXjtSyTNQIQ0vbYOUaYd1d/gTV
fFt6bp+O/Zj0/bvAmlOBSAtZ6X1fzu+z87snxR/gHN6p846mr7u19Y5zZBJT1uli3XzQeFcwDhuh
STI/p+kPdpTB/GS9527pDvBTSjrwXpWHN2a6JFi+97HJ5NrfRtOLFfKId36HppG9P1fvbjz5iA4z
hvGiEl+tD+heaQG6BepwgGBj1o16gs4XDl88aHZzjEbk2Zn6IxkGlkaUN0fpCb6FAJvqJCh1t2fG
p0uGsYkeZgFCsoMiZDcsMV58b7JlbeMjXq2bWKx6eAYczzYN+00Xb9/X83NRjEHSWf9QdfqWLywN
C3qcpM7dJbrz+PSjm8T3Qk5/aeBrWGabDB2DJfpxLZpyHfnqLeLbOPQP/ooh17Y0iXBItqm1fG9W
/xepnVdYQbz3a3ynQ5U2i70Z3TmTjvfd0gDez9WSuq4ED7iVbxEMc9ASnZXecNSqxLiopt+OLXqg
1uMNU23Gx+cqEsgfc2Hg+zT56G1f6M5V/UsZk2eqaMZMByB5Y57oCiPbeL7zvVcShDlYDpu58G9r
L8RBEou/T1bfxa5+EkCSLMV8q8No45sJlI02c6oSBw571DByh5CjlpWBw3Z/7GE/JPsuE9LdN26x
g6HFRo3RzpJ5C7eSGyHrpC3ITSuGezQKiaxRzWaUAvh6kIJL9QPTLVk1vxdieeVun4GjBxz8j3IN
Tzzy3AnCBHq6dMF6jzAoIXmr8d9FHB8VrOXcaEpIfc+aZjeswCSWZgMd58PYO/kYmKPAkFKm3gD6
s7EAVZA+LrJu1PdCdbtR/w2D3x4tX9Amta1VhOYcZI2lf/B4nwYde/WUxI5WAve7N7F69iJv7xrQ
bgS2VYAibD3WFRk6FW896uYleEJJq/BNo87q2976Mhm96B2o2jyamgc6ouPQTPQdVtkoskXvnjHH
9cTSmCdwmOvbJVZ5B0BBUrm1PUWMbwBxPdR23QnuPVczllK5oAkRvalI571YbJgbPmA1gieM9WnS
UN/kwejyXShBEo0D9GqYvgKMQK8YFGM2Ye+czcGkEjHAX250GPuxlrx+BjIuNkk9zCvfjKNXfxsL
nDclkNKED4MXsedinmNw7G09PtdELVkrG3z+stPpoNAkvvA//gKqO1DsQ5Dib8fmeaoW54ER4MYT
1TbQkBYOwbyu3B7d8TIqw61iVL6yCjiR1PPjBtACqcM2CXy8nJfYgnWaoCkBPuKqYGGFjnrDATOn
w/iNTVP9UsUCHreEIaRmK+zUmmSSptoEvat0GjE6DzdWLcsDhzUu3SwceqKD3wT6V4RD8bcoRJWt
6Tp6ZGxw7ry5YSm3GinU1M6izvt57JxNRWKkM/5Kym3l+MMv6kANHi5M/YCNrydSCLabt6aW46nr
n6VyWutbblWULlVV76WHK2berF0g3nU7+lnF4XC6D4plim9NxUn5N3D8fnwiRcWeZxFDh+JpR9Nk
MI751c9y/sW5V79E5eAiTBi2n3FuegdDv2XeGKz6fxdgmEnW9ia+Q0/bW1nFzs0QAgK4GfrWxxSb
nHjMdB+hfxRaLHpgpPFzPox1lxd6iBHLR+9FeVHxY+WywbTRWDCfh75v9kNI1HO3+u5vIWBAAeKT
nOntVMXth6h66m6AhBp/oBNs/quqosu4FWW26pruOydgx1LN3h/qTczgO9JmJ4i7HBW+4s8SsiXY
xg3dcQJH9Dd37cAe1lrH2x4L00PFgvYJnh3181K17Y6NcYc5CDB1nQ5NgBofnzt3x5s52q9SkGRi
VfSqcCnM0rBD3sD69XsP3UVxiLwg3LdFqzJwcX52hPX1ppypCp6auFM/Tog1L3FRF/09ON6Y92Pc
e/uhB8/hfoTT8JzpCQsxANkN5heLayxMC9P3wdz0GwcUs0dpfftWRWT+zno3/NYMpDrgBMDPVV3b
rRmkyuHA7e1iP1yOCJjTr2Byuh4oCltk5TBEOybwm5YF+rUTEDmN48h59Bc0lSxBAUFviLeI+OE4
S4plbvrezaQusqZY/AlHQWFMb1c5VX6qhkZ/zGtbPfhFv8AbfZI3tbXhW0hFlTpSkhQyS5pan9S4
S4sVDDtAGYEWWgLkrv8GEmcziHdRDTLO1rZt1x1VxMicrnWH0AvAODVPcAmZnRTdc+37OE+RSxPk
jtFbF8fsVSvuyrsWsGKB9mKw3d5r+FKrDBBEEqaRK8i0L2fl+Zu5RoLDk3kFWGQ3ozN72QDmPjrJ
Os3mwYf+t0/IHMJePA18OIXlsEnHaassXSGS0EjLPzQGqnUSV6+6FfCdDMdpBEXdoCS518wOY7cx
HtxYKm0hwoolAsSDguVYlZZBiUUsjqq0VnVfdSlAd04/pa1x5AiKOWjhSHhr+qSKwvupKcDscAlK
B9E6HBvOlj+DazVNiU95gNhnw+rbPHuiRgIYCdHuBYdCdw2kjwSGO4psQn8ZnNRFiq1vaE07k42I
gk91J7i6tUXpp/G8zl1eLbNZUiCGXecXEp5xuXMrEXvbOPJDr0jRY1Sz2yi08fh3HEFNfLalgwYM
S/ohPtSeJR2DtAgWyms6eVWsbpQey/CxYYD2NolphrG/tZO33CHGgDLvAdOuN1ZVTnxoR+s7GeiS
1H2yrbRwMsPL/mFQSoyQI3qTC9TaQL8DHFBMqSgBsAfXvSp+ifm0lbOhF8VbVrV1kyh4Zq2JW3v1
q1sitchmycGWrvS8+lnPkDBWLhJ5yDNrFR9jeNYtWc2Nv94VHXhbD1PB5nHDFkCxNxFggTPe+Szm
TVlFS5hJS7tyV3N4/GZLU6u/aEMZi52pSNG+4tss8I4BT3JMqZLumHJM+Cl1WwsjNeH2SLAIFJLQ
0QI8WeKMcwp4jnbfsE/RutzQG+YNkd7VaDwZM+DZVnYE2zF8132N4GOWQjab2gROlUwGTfS5tdPk
H5zeovTlu83AMrhXRsWu75qxzfxWzkGiPIJ36DG5/nTggKaTYl4l3/irN3wIS0kMso4f6N9rI9Ur
JpbfZC2cte+jnhYrys+2r1NYylReMqEJrN6Pwxi6aWRjbVIw/kKZo9e7We7QkdNHKf5Xh/0eSlab
FE0b2Hkb1k3fwcFE6OawKXpfDZs/hoiur50iekjHuIARHz5MVO8AeVrCNFwKBw4Mpbce0fIh8gEt
s31mpiiM8kIaLbP1ZG+QYGyQcRsLZwyypiq5e0PRI+wn6FjD3whAJdTegftSt5ljs7TZOEeAzOCK
tswpcCSQQvaYeOQg2q6gf3x/wMbGx9HqT14pi11BSZ0/RdDSZWuCanJ2TIHWuAMuYX7kKihNprWn
ypOlvucmYeUhvImg4FXmBapl98SW/EiayTlA67X+jjWB5YNFi/QE44c4hcwQ+R0M8SN7EJFlXt4O
hPsJfFTpG+KFqHLuBRr+xTqajk07hL8WpEV1IvExZTYTzv7W4azXo1CmHXcgx3vfOoAioo0iDJgu
O+thOmIJWnlSx00wZwsZmyB1kGbwnewrAVEbGUMvXcQUvq9dGfno1JdtiMb6uC+TCF/R20nqINES
aI2ebguvCMnNREuM2Fmz0uRrRzA5cX7I4iMduNvk9STaORPc8ZoNoZBp5o5Z3AgbIlwbO4gG0uli
RUiHlxpvYc08lR5PcAQSL0c5u12fomGMrZulD4YVq2ml+ye4vk9rWq7uJCDNdL0qp4JykoUQdIVJ
6Djrqyr7mGdYSwco+llEXk6j8gGNSfBaL5zKkAPqacGvU6rpJUjI2ZD0yuXjDiEO4mUp48KkcVQa
SLqZR7wEnUdBmazcJ3xbLp0Jt2EfQyVgLV5c4hfL+N7rqh+ywcL6Mxv6Gr4YPa0gxQ80kq5DWcje
zRiWnzELA9kNt5i6dDiIEU2IEES6gOP5WJXewmiWdcqwocTO1Yv5QzNIVx7qk9lqEnIoJ9O+Zv3H
2o08QB0jNHdRxwmyz7nHkNWBnGFSG+LAKnVDtsDxXdTx+0iHpU4Y9nDVvuSiDjcr5rtOWaHCB1BB
h5dlPjWHO3qsX61j/MdygQ5KOk4xJC2xfojyiXBR+4FRerCvFbIkbH3BakKsiYj4hoqfVhC6lSuk
B1QEq7oLndrpkwVA+o6jPDSEc52Q1ZzigA24Wsuk4PoUpe04Uf8F6MwOZRQww8vyqXDHngAgbU5r
5+i0gzvmPr7N8Mt1Bq+Yk8Gytryxcy+kTmbwp+MdXENQ3J3hxiGOPhZm/RSL0QZ3Fvl3/9hrBM/9
NKw23o4V/Kyz1np8uaXg1z7Aylb03xpjOE5aFpzcU9jKIMv7LRWrgpt1aiL3iLpTx/OaOV57aMXI
dIS9uh5skdiZRux3r4TS94TCKGA/Q5Xa3TU2GBTa7AFWxXYpXpLWdjHZExr3w73ft079y1NzpG8D
TXuUtmpZafnH2K5rbkfIRjTaAxaxvnCHFMOjLitfHtG7WtA93IcCfTd2HkDbm3J0dYBmFofyvytA
QTM2td00vk8ggCvkoBFhxUEWw2J2BsohTyToWJjcTW/gFJNMGBnec40k5EC9irZ7nJJP3p1rFPjd
aUecEike+iVs1lYhnNCAWLF/UZeosOyCRDqYpEKjPMXirTz9u/Sqxj4yEwH9KiKlybOP8xn3w0UD
hLf3HYYiwNBhOr6LCJLuIgnLplTvE3TqDjIo2pazTfs2ZN2eOJO7vsP8Wg57buTg3der7ckWIOX5
IWyGet/jmGW6xR4hkD/p1AT81e18Ory68wIJN+KvM+KlWypWFNTMauBXm8iArJ2btHXtVPdROKzz
HwcITApRDqnRNZrxuFa+TkMrxuBG8dpb3ssuNOIw0AgdKqjw2jpOBL5VmddaieivP4ycfMMWms/5
hFx7enCJEznf3N6L+KGtdNHdxcov1yycpFs/apgxYBMJTSPgMUkfoOckuitWLKU2gS+sXrPGuuvs
p1EfY7FDcHfc/cB7t9I4nXWjoEkipHETyimgCGLTQVEXZTvh26DezVBYsyyQ0imz2o0Mf9eBsSh0
0Nmt2qORrfTiBCyR2UAtGgwIa5BVGXLjE8Wme1K7MJdfjYzib7Px4LgWkVIO3xzaRBh2oetAkKkC
WcDd2KcrqqYI/+uN0U3jzCjt+Z3GWaIoC/yBz/rublAdfstJAVuKuxZIZ/MNmaknTMIKxNADzPaK
ARKN+hQJRIdiaJCCthnQTedyz6QAnozla1FCIFLd1iPvlhiVFgy8F4OJRl+6olsoKnouVm+ahpo2
7itsxBZNMzGEPkJiGEwaLTiua1DVdKaumrbljNnww3c7O+VeWGqSIpXr54PTiKFAOiTG2xj5sh0S
SupqOkTaRqpJq6DCobKFFG/IaETIuHP6ZfVvcP4c+t9dGpvRTUbNyfQEb+RiqFLbw57mljntCb6I
Y/ZgeS0tUm2bVlwXOKamS4maMNJDBmnKgFOw+9YLOL2TVMT2gXjFUkCt5PdSQ+1D4ffWJ1NtSpHH
yH7CLZrMxIAURfdDkftVrYoaaxVRqHRETVX7DaraZWdvJzPHIkFKTdXGLUjr4sGGId6g3W3ESDwV
MYBFCHqz8ed4MDvNtIP6Km0HgSTJwMxDnuqiU4/9XeKJRnmPyq6mv5mGwGUHmE+MKwoFdYssoi7j
Khu4r+gBgkTabVBW6P7wtaLRASlq5R4Bf+qHvFybucA6Ds/iAzerbDPhQdP4THpP0Pel8p0oRRrm
eDujjGK3xlGzA7rI4i17L/ZLFEkUKeL7lo4UpbbBGf0NpVRkpCV0B1ezocxXTAMY3ONsG0fPFTFy
J5Q/tanvuTJAK15fqrvG9YcXCC6wr+QFKh5ZJfs2yBecV/NNJWyD2V6N2FdCcsVs4hRBtT5y4MHJ
BjTvCEcWqGC0m3HhNP6G1tRR78PVlerPsDLUG0qGntyEY4oOP1y0lnh5U/h8eCpDbAK+h4QE67Mk
q09yMWHjvAcKDXIMtGMY8E5qRitk9myAzN6dAxRT4WPhYJXvYjel/bQMLyg6reMRfW2UZLJ2Fc8D
pqfbKprnfk/hfNXvFHopq3sUurr7Ri2i3OjZJ3HeC3i/5VjgnD5jE5xaACZfIzfte6TCMrGNjm0W
dpE7/alHE5QbnAifZCk4RxmwhYv87gOFqLLIkcQMc4JGN1rf8AHBbyfr0JK7pnAi92VunDh8Kf0y
3rNmRJ0URTWxCUMBNcu8UMFuBZYRnpZdrcKsmBsfLXJztxaoD4BytsPhkFMnsC2q6mOnApzMTI0T
IF5344w6ImLGa2BhOv4SWQTHNxhgYvOaNGEk4bOB3VOZmYWi51LGmr1phTV+w+EH9jTCZQT5Rqwn
+wiNedm8uKHyX7BpwR5klgNqmTGn2jvathL8AyygmX+PYjH96hSMNTbjLGy1HXHOdNK/43TlZpjD
AHXpKYjE7f9xdibNcSNpmv4rbXluVDt2oK2rD0AgFkYEd1KkLjBJpLDDsQOOXz9PZNVMpziZ0kyZ
5UUpkbEAcPfvXeORY/axsD2v55gQy/ppcSpwDsuoEuPJmRPVWIFfqNiygzIztfFLkSpP7jO9KWJs
6CKd9xao/vfRVCZrnr4WfRxg3V86KBQUql2Asqa8Gf20O4/87BzMpanQcFBLfjvXDth9SabcfdJV
UC1TPB5qNbjXgnaxO0MfZ/POmA0oAcOePLBQp7OLK7yxawvs4prvvZ+uO0+N/qkSnv3ZYVje2tOi
tlYKaEfuJ7CwkQLVDn4PdaCTTNbaKPUtf+5PMAdkraiuOHs4tLYO/28zOKu3aXqFPXkuaaxcTRRs
dd6Zu7kyfVBKfbmT6AteR8t0UR5oNT+Ifug6Lf0S4HisHutY4arA2/puJUt6ZTRQTk28vsaLmiKq
rOo5cBo/fjdHL/ucLU6x1dx2YCCZ162WZsbJSYFZgpWd91x4vjnADVW2uSUeaTpqljAPdW0QwqVa
i/o7jK5h4vvxFy6n9jmP/SoGpaGDeK5Jl16MFcFM2ujddzutaVi217F+EuNQ3ciyW3bCdRipUmlV
y1YzuilnY0gaI0w8CeNmJVS0InO2VOS7trhCo20fhDFleyMzm13qtCUWR7t6adp13maz30Z5xq8J
cty9GeiwZeaQWct60FTlFSEQsiD5Mymuq74cTr4h831ej0AtJPe10SzNdmNxckkCfVyp4W4qxoGx
67UbuynEWeAfOAF/6pEyLiDZsOoP1lBlEduKd6wMXQfwyk3/La8cBle7VWKr61W8pcvFeXDXLLsp
GocYScNwN5W5FG5gDfN61bn6EmVl6UdU59Xkbya2GQ517eSBaE1ye+UgfJbXSRXkIPimRdtGn++U
rHCkTdw7X/tkwFCYAcf5jGmBT0hiJBMDUDBevHuGZPslzZPM37AklGXoO5Z+a2up5wX61LjfMo1w
OKjnialOlWUZdMXiBcwTNW1P/pRuCsRDD4PfiQn/hCG/aKamzvAH8Wc/X+xDvnrNbUVI3hi1hCZu
inZYN11Oef3iaOJMSVv93UguXJbkOi/NzK7pcXBm7LTN6QDGb6ComoEiYG1NIu6DZkxWIKmG9HbS
iMrxms2bUkfdM5J9rg/uo1UK42hWWY/fukxU6OqTp18KMsEh68JGzlpiTMT5aM+biY6mU5e67mfl
qeYc59BoaVG5V4amdBnEHNJPMSK/SBFYd5WspCSTWAoHW5I5FxYyS86T4eqvQPIMnZ10kzevTPLQ
N4XaDEwdR83T+1uPieUltSTx9hoZDyYmnMws1cbJ9Yu5CbTPCiqi+k8FRYhToOqeo4tlEoGvCTd9
yjVpXjeZV7RBlzrTKXZddUjbeoJbYMu/i01dexDm7PZbL5Ywp8T0t9A55Tzswd4uYKshOcr0sjv3
nMP2Q1XM15Njyrs5tzPQYFhS3SC8Zm6yszUgrh/ZC3a2vthIDrP1qK0r2iVQXsPmLszLjBOwNHMg
/FLf5p6dT0FHV0pYqaY69l43bqd+eUl6dMMCMIZpofEODvbs23VNviRqWpCYpeR3562902a88cXs
TSFihCEa4fN2wrfGsGF/PeVTCe27as8DLxMVTCqCxqivK4fuTxLpUJhhBMZPGFdb3V5pXMWpEnRe
7+xJrYTa1kpKhEWq5K4t3W5bYoK9Hqe5AlTp4yvdXszvS1xr11hjL2fdzpm/qnkQV2OdC+h7T0R+
saa7bpyMSyrLeKu8fLp2XN8A06ksrwyEzOuNYws9YPI0N71bydPiSue5zeC3ceZ0e+Bvf0+IaHfr
1Oty8DU/Y1ZbKw5D/vAgU8phu2SCMVqzVL27pj9uffTpofLqOayZTkN3pPnCNn1c512i7bWpbQLh
+jpbrEgBwZT8rsvxwaOnHhe9LrcpaP1jUiovaBMQ3YCFMIY0B001uuTeYKPdCgM2PVjdVM+uAfBa
WlZELtNzTRiWfcvW3TVbMkxfembiRG2Iw0uHndVVGR96WnMMvkExplZiRpykbOOwAN05L7bI1bpL
HKHGa1FYi/aylJqS2yF3plaHa42X5F66wxKfTdqTmO8x1SbTYWK9H8oNnKASNMFKIKjNWiOwBDhN
LHeuAvzeNeHPrp0Ub17D8fIzAbCTijrb61n5UkNxibwM5UIGNrHr3BEAg0M7DaAnBpklO/MdVEa0
9tSzWkgyYtbgoOvdQT96Czl/T5YJknSlFm3hhN9OtZ3tVVun+Z2jWUn+nfZ0fIjCqTvatgaYqfIb
U1PZm4GuOjlxh2fkl05D2+pjkCYEvTwhtSidXYycZD0Y2PDdY0rWRM7m3/dmcY7d2MsfV6Gs5t1N
x6R6t/xJllmg+zxl32trMitO8TMNLlt/6hxjswyrMGmwMGgqmVvVyBz9wFSUe8fz7W5f53lTEFUI
FJmHMmNRlyHd0P26n5hkqrt0jedlJ30x1+gCjDQ+dknapK9k6nbWtxk5a6MBTpcyvq/7DB1YUNel
ZzGCpbOrXYbtwv1WwQIs456jlBqQGgmSum+EtcChgTSLRe57KgAaULwyHj9rxjIUZ+7Vot2vlAMo
lOsNZKQNuuq/+Y1JDm5VG9zPFb0NSWjadi2eW62v4P+UrkaNUAS5FF/AsFo2A5qNSLNvXZLZ94bV
tsNBZyNvnvylox33qhQWA2dfjk194ApQ5rLRc20xJa4kKds3Auz66mqJOWRmgcas1H4yy7pyT7bU
tfWZ5FC9OxtyGcqIG4PLGqIW5e73fP5Qb6TF6LXJSRiYrxyx5NaT7HRWpqBI7FJ/F/7aZU88iXJ6
wDx2aRVPYsfurgwiOVAfONR4gUp7yndftYmt6zPBwVb1SK6K0tlYO9mPz54Amka/AuYZaS539a0u
SRq+s82sb6qAA36sAAlEPZRnRtpWO0ryqdT1mvilOrlLU7Zk43ljM/SXkZXWH7MUY/JsrHHdR3Us
ipoFftKMWwuCRroBnKfpHonWUc12Nsmi36aSqlnW56ZwxnPr2NIuA865q8bBpIyL7JD3g6O+TRO4
Ludzt1/0R61P5LhPrdlFogzf5qxb+ueTeK+s2gUGhXBf9SeiFv0a3YltFVcyNZcJTngc5iffE2XV
hJrviKQ+VP3MaTErlD9cxZnpmoG52kSGpEwezR30TAMY2npVbMLy2ZATLcBikddG1OMN6+3rchSz
P5+5dIjutn1K2ri1td2sXD5plSJ4JEj1wZTjFjBqAr+Qq6MXn9O0L3N0tFPCs5mrOEluOFf3s0Jo
YjqccawC/M9FIiZ95UR+tyY8qzYICyMnYgrZIHpJm5xsKqCn0bspfR9Q/YCMroEsWM3c7fpNMvmj
UAFkuzfm0exao/dImklVgUp01lg8NxpKpluwlK69y7s89t4Bjf3pwS4y035KdR6Qx0aNhX7vCQZ8
nueUULKvJLTHy4JGs+qBuAjIWDxzI2xn8I5zMy3JqUgLzznp1pq1d6IZyc8s5ZLOUVn2ZQstL0Qs
wqJuxv6oMk/lZ9dAfnIX2828fFJjk+bwv70FxT1WHoxyP5BOUNnCnR7XEnNYeBFw26c0tVbx5ukX
v8oeqL5wIfhj1SHqKDV0Xp4xNvvWzGxra1DMO3/1+9nKoab82Dq2cTEh+mjM3p6nA1KVxGcRdoQd
BwPNTzrQKaR0F3ZNnyxhVzIAA+Ct6MmuEF5Y41lRulUnNzVWk+LU293oPbcd4EtgLZWSUTsOwxyR
UVrXUV0ocUIPIe7zMkUk43cIvzaZri2fK21Ab7TMoO9RPTMxxdqaPJgw7hSEqQqu2M/utYS1BgTW
MGYYnFpnGEQ7WB8vGMnBAi5TZMaOVrGbuc/bYBwwMF6BhJnlURkesM0wtaYEUo2NYeOoGXHhYjQa
gHiZ2DZbBODYbWeQrXPtA/v7t00FPjGFVk9hRHLDAOV21YlkSUdRHdYItYqQgjFHezLmZPnalNxn
TpgO6OyuNXgGtDTrVMoN+qg5DjQ3Y54yLvdpGU7UbJ08ma7MFyWDPUXDuUCC4lC9EAqfz8hoUTtv
U+kn4g6o00q3JYKuT35JEMdNAv0smW/9Zt6g3qjR+nWKoyJdUYYB/xgbSEACiVu4Yam0M531q1xm
97Nvp8X6BG0H9tsrTGCW8ufpMdHN5jPNmfLWT3zeE1ONO1/nq1t7exMfX3aNqtQtwqnm7exWkx19
V+Rua58Kh88TMCL3zn1a65oK4mrtxd5ih4Efy3rmmaSc55dGs+LyXLSx/qkrGTbDJO+1NsiNeDRu
dAar8tR2qVXfSmG6+Y7Uig4pRoVW4Tr2UzMOuz6TzVtBIwlA8kKw1162WYH7um2ZgeCam3LnDont
3GoL4tLQbt0ZZRPckmw20qapJRwquyJahgM8i3BhOw9W44pXKP4qB55pnDgo52IkhU7DBhSMdaJn
m85uYyYMZ1UPlidbGa6uuRZhDOrnBIq7VByUH9ufctci8C21NCBPDWeAtrVZzMltbfXppXZ7EKe0
QWzkBk6v0qII+iq3jd0oFzk/FOR8JgGTJ2H3Fvumtk0xyrt3du2l2o4DKs9rtuTxFK2ZmX1d12Vp
IlDtWAQ24QpiX5dDs35j2crj0LH4xFE3pKAEhPbqRpQUlHKfY9nz/zXVVq+OGvoiim2em1JUSCOQ
HQukkLCRaBXTflxDARfjR2wbi7uhUGP87sTtYJ25agWDR56nb1ap0+GBdjBpw9yxCyOcu0nVIctb
DCBSgfqFDNhdfqV8e3S/L3NrHEcnddlX6gzGBCm2cu68idVw01qzkW486JjpaC/Okmx6CdwUSZVZ
R4sGKKjVQq7sjm1/OXObwpHoYoyi9cKyXquZNwyCf3D10lkCl3mqf2TjMfJN2jmlddN06JDCklMR
fHfFDwgEM735uPZMUmFlVHOyt6Umvnql7F/ZC0x9a5VoNUNCwsciMoekOY4Lut+NHLSlDKFu/BsE
dJUWzPqav4+NK6ugSBvl365IGd+o/2PscZ2e+N5wsCWqWVF5NBGlvkvbgJx6gYwOxEfcmxURBQCz
dovmVu8E5bzlTOLbaTQcJXAmsPxF1hpPl/P6oFubLPP7z+w4eb4FQbYQ1jma8ZYuFDYiCZ17J9+N
A1B8SMCXXx472l0IO5qxNmySZNSMqJrntaM9Q3VH0nUmedATTX3taotjgFItsxgj+JresMaXyZXU
U7a2WTcqd4NKIR85WEHQc7+49XKjoRX0wkor0MnRLzydfUYmp9p0ad6tn1O3sO5IP0/fnWQBaAta
jHxVqGPgGr6McKXeJVfSHoOFxjX8oeOEYo0KoKR7nApfOFcxwDt02VppYZf37oQSxjOdB7yfUJDS
VGlNmWPrrc3yqi3sS4Hmy7hXQeJkfXxamr5tnpcWf6jHadn050ivQJMXhlZYX/juAag7D2w2Yyh7
K+YgXAdoyUd8mbMYZetH9WI56WtvjwofltSlnrXEsLE8g60kCN5iqh7dSdM3nZkWk9r8O6H4PtS1
6+1QyJchW8SKGNZw0a8kdHe3Q/tYm9QE2Woc7waliahKMyjrXrMjWnLQ13PUQY+kNbezaj6LxRu2
EDPjvSgc/wiuO73OseHflrPQi0CsEyhOIYooaRx927aG2iMEqu/WkpTcqUf7LlxdBLnm22HuKUDd
AZoDrZp2GhGo3DndYIdaj1gmyytoe9mMJi0czQW/ldYeMKp5xoXePExTNW3SZHSPLScbMyhRTYD0
An6U8zKDhWfdM/KqkRahuadP0Kn25tTET9aaJFtP6DVyYEsFE1NLMHQ2aIe00qvV5bChJ418LoXf
fkq0YglaK9Eb+DWpkOua4KTSLMJy0rVw8cDVXDt1wj4uOjTRy3nFVBMwEq+bGMDv1hqX5bFFzUnm
Yxbv/71bvbKJa7PcI2GzaEJO4sQM2q61UXf6OSvLz20uv2fH/pnx5GID+oMPyuHgXcm6L6Nhm+xx
9e39rfEsIsMJrcjYcUgPrABD5q7YTGF8NI7eHltfZH1rQpYkgrd/8T7+wjD1MTfaLs1pgRMpozh5
ER53bHqc0PH9/EP+lYHR/OAjk7R7+HHmuludhTFyEJxSESozNJ6UGwcppNwntK76wdPbMeKYVwRN
jdd4JrJSBi5y5P1QIPligvr1e7oYif7si/9gQKMnggZ1hRPQnzuj35aDZ6W3kh0d3NVg5goApFd7
TzQ8ecLTkLhjiKQh9UNIYDn+4pv5C5fTx1zqZFmHJdM6d8tMSXd0ljrL2Y0Re3OAsvYoSx3v8PNr
8FcX+INlrWt71Vum6WxXQD33gRjNvNroFTKFfZFJ6NOfv8xfOOPMD+41SPbWr2bD3kIoGCiF9Dpq
YTb/xQ/xwYDadPbUk0hpbye3QrGgAwUkVeA2vyoZ+Ksv6YPpbGiTtmqSmPwiMIkAh8wh9vNrAmd/
lRf3F1/Px5TqAfMnUkfH3npWG+EBRVuNrfoXN9Nf/fIPS0m8wK3aDPvbBKFA4HUTK2QKZPsvXdmP
4dRG0ZjodvlujLVyAncAHu1X+fDzX/4XhnDjwwLhdHo14/rntklBbd/6OrsczhxFBCusAd6XZsQ0
DmY12M31z1/yr76tD89/6iWAZfRCbQGM7U9W2/XXuQ7l+vPfrl+eqz9ZXozLy/5hXXdzZTqTSqzt
mMetG/Wi9WVID5ZdvDlVzckobr1kQPzY9MYNxN2av+r9KuKNY+RmckytvEkeLd5WtoGNnLXkH5fx
P74t/5m8y9t/vIX+v/+LP3+TjeqyBDb3xz/+96Os+O+/Lj/zf/7Nh3+ye5fXX6r3/uM/+uFn+L3/
fN3Nl+HLD3+I6iEb1N343qn7934sh99/P+/w8i//X//y395//y2Pqnn/+29f3qqs3oBbdNm34bd/
/tXh7e+/ub4wjcuC8x9/fI1//oPLh/j7b7sx/9J9+fOfev/SD/wS62/oWJCOAm65Hskp3Inz++Vv
HO9vus8hzxO2LzxDXHJ3a8lE9PffDOtvrk7Kke+A0l9+hjfRy/H3vxJ/Q2xPnJVuGVCIPlvi/353
P1yj/7lm/1aP1S0GnaH/+28/rkuuJXgFzxckYfk6nJX7YX3yjWxy+nJxo8FO0SCtq1KffNUYGyLd
880fvpl/vvYfX+vHLenyWp5jGa7h+K5j8OE+vFbvCCefE9L91NzKr1q7yG2DdhewfqCUNqmaX2WB
/B5M/T+Pyj9e0eG7R3AvfFP/mCLnV2vhjUXsQKQuPt6tChd3iMWvmoPaNevN6E7upzzxq11q5rYe
IGEyk6BWpr4DhM8OaDWTo95ORlTWibjWilkWSEaL5heRYB+e6X+8US64ZdvcCi4S0x+fbZTyhZoX
BKaxq/lnB0Zl54HgGYgbXfIYECGWWMSmZeeKrv88dSut8hqX8z4Zx+KpBrjmpLz+qgHp9yXl4/fn
mibncjZy7kTuwh+WHL8VFDWDeY4MSudhLpEFzYZMvzvzkB1nA9+BWRfTURT5/FTBem/mxPX26WK5
n3BRVjdqSY/UmB3w7tzleiKvYj8ujvFE0npgZX7xpllsiaaRt/tSGvLrmFyMWqpt7n9+6+m/hxF/
/Ciey3NjmKaFFOPDVuZl6wxfb9pRM5bpqbv4hDUa+65KPY2fpardO0eUbQXcMnb3aFnmt9qZJVBM
VdPuhiv9oZzTk+ixZTVuCQnI4AHV+EXzywxBsL5PRH4ju+SAqbGLRG0uWyBLQSKQm53Xbq1CM8UL
aCG9T6un3LL1x8LM90Od7VHsD0HeMxPCTlNhnbdXuSHCoYnbsEckFGiOd+zWbDsCSvh3U+t9oqcw
DfACVIFUxsPYOUc11VeeVz3kK5bLsdrFWC5HwjrQmESZNSIXnq+zMXmss3t8eeWVgFOI2/hY1qUT
1PNwM2TipcfYHFqZUQW++obIH+txP4tAVRJrDBctSMz1mbnsmPrOVmAmcF3rK5q8N3iHzbSmj3nb
H/umDxFFnEyZbXFBMTWN6bYRfR+Wwnxq5+XNmV0cj6adblq9OK1rfI93qwrSqnZQq7suqjAPFBHw
4WyOow+S2GdFigjDbI62067nAUEuMhLTEEed3W0JiovmOaiTxf5VQeHv58sPN45L7zbyGVTaxNV8
OEg0btUXdq/sSMcmfiOhUZCizeLkGd7OrJYuRJOlPfgS6Vh0gVn6aOzK+TtalO7r0lbTE3Oy9gb1
VuDqtJIImsBG0zFU1UaLzeZWprLfT9MsXxIMdCYu4Eq9+eOsP4xNLI9+CZeqU8x6Eis97aNVmfCE
a2pHrpV4R7gmMPTREb96YC4rzv/1sd3L9ofT0mYB+PHRx8PUTBj6HTREvjrbBZGFYW5o1qFhC7vV
FDbiVr9o/PVyvTOyrjtV/ro0AUeghtJey3sqpx6VDyrsrz9/lv9kG/Eue4nBtXDQ7X44ZqHuqKbS
nu1oJicwNDv5neTYQyuApeYl+cXK/Cdfg2f5huEToufp7Fw/fg0yNZzZUwO5bqp3X5Kuc6NLhu/+
X/hIf3iVD4tT6eUQamZnR4WZZe8ChPTU9ygauC9BkkhzUNufv6D+44z6+4bj+T6ILWcIGCLjw5fI
HZo3jdHaUW2bxnHxirIJ7H7MrzrYh2dPWg02kdlDImxU4gWOqL6lErjb/P+/Dd9yLZ+DkW3jmv/4
9Wqz3bSpbUdaEoO3Lc6zYQ8uGnS/Clcf+SHGhmRTOuMUgI0+FcP0q3dwGfD+eJ/jcOIsZVOghMxK
eB8zCAHwdU+VuROVq63yIAU3OrcDKW5spx6nIFhAHzAJ8m8y7ygAJHyCUql4649e/auitY+HMWSN
tmVxALB0ZFHCvJz8/3DCXy18+qPDLZYmZRE5eOmIbGHoTfXG/Mdh/Yez+s/OYhwznMuuzvLo+NjX
Plx/BAEG/kQNiVnpINIvc/eAlHA+w6lQOOsS+feLK80e++Gbhq3jZMO5j1UUCfnHb3o2Btuo9DmO
StyEJGFac+jHy/yi4R/vUXPGCXgwTgqWUoVppxuPyTB0m0JRxKOrxd1xtigjYZCejFhoBsDpxE2f
+n1IOcN6RHKOitn3L0ZVKhro3VNiQjrkO6HSyuyb0ZT1JyxbHkJ5bYj0Vbeu4sRXzwptVyA0Hf7a
88zK2Ehjbc/zMKdvfEPp9UBM3Xs1mNYrjfDOts3s92ES6puv2TT3GnEVlqtT7ZpLuDnONmlxOEA6
gJRn2uUYYSNCmqqwTc3yerWtmkibFGfc4sQjxGHLO8mtNcgmL30kjq/H/4SvoaqQdUE+6Zuhqawi
HIByD8PaotYCBjYkwgPlPsk+LbSgKPRsCi7C+SRY3Dy/EuXcnRrTWb67mYoWbN6L77cHtfQbQT8w
NAkHURzjstjOllInYacS4/QwnWOj1Z/bPDfvpkzREI2mfvxmEaR28D0TXWYvjBMHhpEwRQQ6U9HA
WGV63G98aXvXuVdle50s5duBHOS3ul/7GyBACKpGFMV1ssb9nn5oUG74QcQanv5SQ5d9qo1+sbfz
YKn7tiymW624JI0tiUhtKJGWIJBuEk8Zpu47M1bjU2NAotW6Wz+qFdlJI7XiWmvaZI8FV0Mh3mXX
Y05qGi43saEl2t2hNWyuoSHHqJiJaBsxt33RYr072CSZn8sVIrbUSzvAZmd+XsYqCUnK6V/yRCux
i6/jK0R9DWdVxFdT7hYcqgr5rUPu8WjgePhO0kT7XHpys9TTDBc7aJ9GZ27PaxMXD8j4SBwBbf+2
qFESJoPqxUfoaAEIWgkGaE0gN5t1973GIHikehp3fzIbwTz0KHTQPxRkxVTemXrr8amjwoEKqYnc
Ekw2oYVX9YSfK950fufsxdR7B7eXOaIxpVN2nS6vfmteeN16DVzHXCOhp0T1Mm6c7MSrD2U3s9zY
yEcLrI4hoD4K8lysc6hZTbw1tCR9mODjo2mZtG1B8PhN3DcFaQwaSyRSwfNQphmZ1gMyIUkxR92Y
600nreSql2kPeYH84tj6afHMdEzW3Grrka8P6Tb15zmcYF6u5ZJkEdwLftffXxh05pNs00tFljeE
CgPiFlOM2iiNEBqPkKEnVFbJlZOq7DZb4/KOcIlyOzv9cjKS4aUrc3Wflll6kCb0bDwVHo4NNPsI
Lxa40sX4RuIVJ2KvzTcD9ivUg/1wbWjkUdDljIVvKxPHusL0liZB20NPBl0Vi+0lV2GHu2e5NsWi
h6XKjLcCT9yd8mLRBWXXJseKFVdFiDbdQ54nCPIKZYcQNvlmRbUUDhh1olYYFNVljX/dp8t0niqc
3hepSX+T6kuDhLeECXmcGq3n5YbU2OPOq68TNOu7wZiJx53N1QjHwpkPCyOtES6tpkViGu03aWo8
PzBDCM7t4URLjxHJzvrSomt8pc1mvKE3rUMzrbuvqS+6PRkL2XOCOG83xixxaKPmaTMaWnY0bX3Y
+ou3oqtu0i++ruVXZYluCHYvvlrIs9jBe1snQ8iL6EzXyiPtuBqGBKTReIJJQ3U01T96g1uHjqZj
DiOvBlVXYt47SeEdG2QcR0WHzBfEY+Sz1EtxlTV2+7K4I+4To9Tvp4VdQCtsMyrgUFEhDtlnmPeV
O7SjtIkO4Id+bfxDVVrxda978my40/SpHurkxaYChJQbu39Fh0i6j0lCFPJmQ95WiTmfFkqFIjYU
Bjadoa6jA/bstfOu9/SFhX5akQnLczaJZodvIDvS0Yv8DzN3fJx0T9v55DEwFzYcDWs5kciCawOc
v0Q/lSez9Q3+QzsVViejS2LVadWRFLHKz1o0j8J4dFNkZWmNdk9bsLP5bWHuqkqgA56krK/cXoC1
aq5ZLgdg9UvbSFLUr/Ww1nz2cn3jYq04vzR9qHDsWs05T6b1UHtEXdWeAbNdTJ+0RhtCAHrzvJiJ
i82n7OoH+jJ05DBpgcwjc79P5iQeW6MaDippyDOdPRfJbC7ZC4tcPMkCPecw9MkTc4KjB1Dt1BTz
CCHI7KcOB5ofP7udq993cKMnQgPdKy2u4/OCj+aNamCB0b5N08e5XpNbTVj2O446/5uXpfWVsWhp
JGlzOeqxp206FJZs7bazXvfFvL5iL1RfTGS6d56gYyAYHG0+Y0B38DguK/YDe4oWrtYJ1s8Zg9zU
GsKKvGln1dbwnZJA55D5Xr+3tAv56a4mfR5JnZzRm3bbWuBNYnSJz3FlzWVgGbM48iyJIJ41qw7t
3kDj2LrJTrUmMri64HwCL0BlCuK57jU3s/p58nDSEmIgW+gtW+PaohC0H+aRDoZCZNo10qtpK6q5
ihoVd3RLxJr9atW13KJkli8qrosrvNDWI5E30+3aJf7OrgYXGalX8aL+mpsR6wB5OyV9SjcLdKe1
WZFgXDGPGVsyJUrURMl8GIwMh89cTfkhcYdx65g2zWnCcHEnW+OMXJR8mOxUeOWyzWySyyRn2Cur
nkuFMVpr75elqL5RIEGTszam3wenGp/dGHA+iFMNP3aJVAifdoG/RuLv+d6hf5G7Ak/ayS0N9lrP
rs9D16QP5EsQgUHS9lWZp4Ak6YSKCY5/JC7V8ry8AlIBDfFmY7zltQjdAPkq7pdVcEN3szD3pEvM
70W79l8wl9SEho1Y4pvG3Wdei46nL9qcAdlYkGXWcm/1MxfJjv0uKjM1P+ucmCOz4Roi2EW5aLgx
WYa4Sz43wmhuhGHxOVCD3VblVER02eXd1vlf5J3HkuNImnVfaNAGOPSWADUZZGixgYXIhBYOOOTT
z2Fm/zNlYzaLfz2bsLLqzqjIIOD+iXvPrZfxZ9KZO6/wh6e/4XH0mwWuzsdiNeyLWdS74AbKfhxW
uVv5D7FImmBeSNLECjNguWlnuYSWaS17Py3UJvNZm8OgQ+zhAxHoV9rkstA30tJ6QzHWvhTKBbZQ
28PtJS7Sp5rKFx3twP46pRT+rdiOfKCKk9clktb25qsE4te39d5GCXyebRtovY5/7UkstfpdI8Ta
+pi8QddZ9kNWet4nyBu11XGuPlrCnNYjuthfBR7jEBKAe5VdXv6mzRJ3PUo2zk09QlRQxN/9pGkf
ZVwnj/1YSpsL0xCHRSIGQeHoP7uLUk+N1uomh/oksYJoVljAVtwlwzg9j6A7wOJklrXxUp3DYBzy
cJwruTerhOzg2FtOhUrjO2OJ5X3t33Rvrr7ASad+OaM27t4b0tBf2Z5732hESMlxh6kGphV56DoG
C6SINVd7yT61W+l9kl4GoPovOdS1nwlbz4GtpH71epFcZx0lJb7lOeyc2Yv3nIn+kXGm/rvxbiCg
JYOxafJk3ScaHkX0FuM8xGGLvthb4aurSHnXeEWw9pXtu8ws3VibOhLrFdg/3Q+p3rLn3rBRrFPf
YhSD2AvEoqR4NaQ5XPiw/ddReHyGeoxRwMvxCR29RRfnkbEdx0l0czQXZuKdRydfPvQkLsvDaGF9
XieGysaNjZMefb7Kpk3pmuUr1uO5X9VTWSOASOV3UZZRtYZqWOlbT9LqhuTyUcd5Jn64tTeYTCDN
BAF/QSSkHmrL3MvjgJEdgIMXyQdGA/8Qj2r+3C4Hf04BfC6R4c5hMeODvUVRadrln5pS/lz+kmop
WsdyqJW3WhyZ1YEW4TmBBYPXAJCRsVNylE2IGojC66/oVHMbY534EsQH9j43v/6Vnzqp7bCCiN1Q
ItV+jqJb8refzU+FPqkr0uZ+PWq6sxql668y9OdM6em84P451XRq66h9GPikQHdVAHhgNC94pcbB
PJVuubyKG/qBJa9zVkOfooAbDBuvsGGivjJwLbddUbSrf4pcbS+e72Q+T1SEel0fBnvQT60ble6O
mxSNGmzO5qKlVnIZfFO+e3pHJe8iAPrKshZSJx7e6hUfE24wN6m8vaqH+BGJ23RZcLetumnJybME
mfncscajw0nj57jniWOMhdnYSevHSWUs8BNztj8J0DPCChqIOXbw5Yd0WlOi+BvdqN9duSAht9S0
HaF5Qe/x/eRi+oP/i3B4/ML0sIfeU/EVLymOUOw1drMS7VTsZpz7ewBdYt3OHeqwng/q1Cdd/YyP
Zdjh/DGfa5kpyl+utd9VYX26oIoOmSXtL0e4zbrz8A2MY612oG/y3Uyk2BVxENYIC0CSjzmsSB8w
gnF1UvYZ3cpql6Fck0/CYTkNy9kn/OWLhK3xU4dusCvkMqxZO6K8mccyKLs2PojZRXPNiHZT6FEU
+CS90fjO8uT5jX8SwEl+ycVM45UjjGmXmn28cTXVbKpS97OVonD/VkVTH+ZOlICc6vKLSXuEkX7p
Bk57uKZfRZZyyFssNfwHfUzJqV74FZvIy3QU25OtQ960EI/ncgJnKiALeUlUvno+Co7cHPvNTNjM
CgBeRUPlqOrB6w1kwdCzB4BYdQyArFIDanZNoQgr5BBD6avj366VJYHojeKqS9d886jDDh1ioZVn
pLxGhZatvXG+WHH9M/j2rncsL9TnHIPyiENypWMwCfTOlYe49GmUcIGsErehjogsBHbKh7Vn42DU
Ov5vlTd/mN5cr2gg2zVXmbbFzzgE2gS0RRXAclYjVzfPe5+bdxXIi99l6y2A5oD88MyLJzXBzsYT
RDVvektgupHaQsdiB41rnHzJEo8UQ3vTRHQy+FTUg+xD7Fcu1RdW8LXgYw/mRmpPpsedHsjIa89p
emPxeqYJCRa1Me457VJhOd8gHcKlkzfJK5Q4u1wZNlshQhYq73Fw3GQvrCzjRpozOFQebKjRyPk4
2RaEExLMQLnarV8ou2f2Fg5dI3Ffg+Fkx27S3SM4dfY4/sxGA0sECAXfBB2w6g3tBiH0dCgyrjn5
W9pmFTRF1AZ6Iea70YzE71bpEMrjfnnQtNh9YWFad0EbLf28qr3C2nuxXgdq4i+78wfD+FkEUchG
6iA4Jg/kUuAfebbxUn5kdRajd8saPG819//KKGv+NilAi4CeJ0pCQL4xyINSPY8z/dYGFiokHVEu
8461H5/BjKqwJP1uHO76yhXHIolgBtt0tiTFT4KXwrdH7T4t5uwOPW90AEG6PMLYjK+GK90DOnxh
U6aISLJkEsbzbcWCXBr2rKznGBKpyqyrRV3Ojui/ZPMNtV8gK8AENfLMx66pK5zt/J0uiWiubmtZ
T3+F9BWWtm7FEEl8/bea3lnKcssu3tmwGPnyYns53gzy24HlzemPwJ4suOnaKMzQftnqAKvUb00z
HKAfnTUfF9BPgUjA++qiLtAPNskVJJJzu0iz4aEqZ5iKtljIovwvPb7Xo/ODn+OpuyUyrR3Qg+Tc
z3AAnNTP7ouxbl5bMdMujWZ+2yPU3qzRMs76AZxBtDXrwQZNiG8b4k1+5ueNeXyRxGdaOwdWYxoX
0pfH7eCy86IXdRC1Zv4UZMp2nibDyEMF4Xs1xyJ9hxxl/ebx8OjYM59SIZWOgg+Tjo+2oYPpmJja
bkavSuEGDaKLAQpWzR5xR7cZe+0G48SgFtNabKxllncpe5cP29DMU1onDP9cZNZhkdpfkCysx5Ih
8hdDgpuBoEW4GH/ODlk+z8Xsi7O3sElBSr5kbUeGc0ppIfPCE5igy/GF5s0PuixZ1K/elbeYKiBg
kfyOc8cY313B2PQOLnTjrqmMusMsBoBuEGyG24nJSWXFpVttJmm1Pykn0vvIduuMD3AOc5fNYmv5
Pd5Tn7ZoUFOMUNPCIhJikEuMzZA55rtW647ctDXTvp6dS9jQWb70GBIePDD+02rxVPLka6Z7Jk+m
erPjMf5qLdFTcdQSK8akmWGflxbscmauPEd6fShtiTOhE4Qkk3fZwV42qqCzUEGvUX459b1CjcGI
eFiWvWfB5frrjsiEzRwn7htCylJTXpWKu0tU1eWxwMz3UvUzK1ZGD1XN9VWPoR336XWoTfUBbANi
YYtZ7TgboIPAGnQ4YPwhe+szTUeGe0NyTKrBstl3yQPGj/pNjj6675HBScpgOuAs+pWJIjB9jicm
BUPIYGU6p7Xd8ksBIsxVk4hn1E4E/oms078anetYFnPM3535w6asbztmWdiUOY6WH+t+bJzjX/9G
dTsqyy6OLqiYu+8U4dSRzpNoxH9YOsCDusu9hlDRBk5tMdMFNzTne6cftYeZDSnro4HiYJXlhjok
5VB+QKJbXgB3MjARU/Yd1WNZrjsn0iB5pukhcrhbOQzjS0p2y5ag4r7YMGRp8EyoekpDOxPyJ4t5
gsMSwiHVhPJgk/wxjVglRa6E5hdQSrgnl375WUxO126zBDXZ6o+TJMUWEeRpnN//tZNkNtBAmH4F
7bBF3txDHln5cfGwPIaC9JMd6mXM7sjpYsTSWfY2umCh8RQWT3YSTUDPlXygjaLxHNoBZPg/zCiw
l6ohFDc066zhPmAVza2euxAMpgUHKwzvgjT5pajRmyqa0LCPxjILaLvTTxt8ExXS6FlQ627mFW5S
aEkj7IpLnUPrnLwS1lul/GBcRPrAkmHZVi14omSZBuwpk7j0xgyeX5ndWrcFbv5GtC9YiM21x54i
hNWdIZU1efySaMbDwPySl78KzNLxHweVMdBiJECbpfvrEpsb/iYpzrlNmMpct7TufywzJTE3B8CI
7oZBOdEQTcmhNVTamXpbe8EHMUBELSfe6LTF/+Q6lrlWMXyYsE0T+3FRaLRvzKHToFLvwNLeOs7M
fbe949ScIsq+QcPEYVIG9vUG9sS21Yr5Caxk1Qd/HTlkBLjAsPXMBrj0x5cz3ea4stesB7yKtIOt
ImOPWXOsr+qhEScNXDAHTS29T5TdrBl73So+/zfvTkOJ3W+jRIdTp+GkxvxndFfzT9U8ll6yNzJK
dVfqkE0LpjZ6WOO/nLAwuu7VmBb/VA1GhPEIV+84q/qhFq72UEBB0wLjBl7oW9e8/rftR5kjPPHB
zUKo/22oL452oJZxjw6xZQH9A3rlYhySG0w2e9Bcu31Nx5rsJA8YH9EzhofhVSt3yumNRz++0UKw
eq7/OIWABdg0vEUTigX4nzJ9FTLgKzb2PI2riAoxW0UAAw4qN+IjsMwh9DVBrnYGLZW1U7HroVsd
NYWNAJsc/i4t7bS1hnnybgJDCrw31z7zOHZe9Lxsd6rT/UvcLj8tGzh7BfOtvfy1Ik2yv4lZ4sXd
zDeLuxDJ/OosVvteLZrxO2vHx6XTx4e/DqVsEuUcusD9YVqnzItHdxDqmM+1fo2R7Y8oJ0h3ZP6l
N0c1G5QfAPTs1xa125d+s91hh/TdCxcx0hT7pv72qEuPepNDKs1sa4dthzYeXr29BWmivw4Q5rbC
7aY1me/vRU3OoFGH3djitknmNkzrbHJWAMAJ+fH4/vu5j90nkB3DQ5518wPVaP+W1053tWOH4ssA
5SPDotanJjBzSzA+7vQtprnyWlbxuNWlbL4GnI0bCfowgK6Vbli0N4exW6JwAk23wYZGU4qDcMBn
JEc6AwaRx9xxtGvPO1yxIFu6jQZM6QUiO+oXa0bQzgs8YxZTcxgD6bg3jVgcLR8EcFXG3abTu37v
+LHzpfx8BJWY3AZQGZ7MG7KhMllBZSku0G4m0UDNWwbd5AKwR943g55cQAQQc+DeDouizWnyXNv7
1GatWndGb71PYznd64wfQ6v10etg+MM7lqfWb2BT/qvr++mvZtQ13NFydnYuZ/3Wkn6xnYHZ33om
a9d5U7axDCVOg59pT3YZe1ttQCTFqUww0AKv6p4gt+7VrqCojblYVoXlOOv/WGodUBO5nmu/99MP
HyfTHSUqNbO7oBqfHOfjz0L7/7DaFWWmheLgf9e6PnxmKFqTz+qfGtl//6l/a129fwnXcX0LuaDt
my6qgn9LXf1/WTeFxQ2IYdGm3uJz/i11NW96VgEU23eEpQvz9j/9P6mr+S8dWrPvE1KsewYqjf8f
qauFsON/SBDIYmJS4Hg8aq7pes7/UKDWesNAjyZ8E0+SHMXfcCPgvUgjPk+k6CYAbZ9KXHa9Sdx6
nhHrZhZWepeNj6quiseWFIRKNDvDmsVuMNtPMxXLoSRrYMUMv1n3g8MwW0X92ovzA9ZneCmNaa7j
2n8sacbukX8E/cRI3v7pYwV8yZcW4MzcDieZYFm1/C8bF9KPDoIDyPYlVSXbXeq7HdoksMODsxx4
62kss/jckhqzji1dO3D5rsGJe+HNRh9awrDDvpocgLNTuvUG2zziedtLr5DHmJ4d6SK+4UXKTZRn
QBHBjbATwQgdIe28pLRKK9jVLRY7dAkJsI6HsRghcyfaUwVeChlo/eV1sb+J4KBuKu9GLOmX9l27
S5ytP1j22YbyC2fL4bA1q/ZUJFl/wYuVB7pViS/Db7Y1PJE1JuQpqFtqMnx8UdhB5g2VnaJ0jbPh
kntI1wdP3uHbca+2Zn7oXmqHik45VISdnnTwY2g5hNphqF6pqVp+MsN7cG5DOlzfBt0pP78n3wdg
AB9myYq2JXP3xaD0n3r7VPYVR7xtw0bJxHiwhlvRM1rHPNW/dDWM67Rx0ms0qvfYymRYMs7AwTSZ
IcqgUMAj3POcFyvTFBF1a59cGreLAA/RiSYD/7EGRuNrFGP18g721AC18Z1462AmO4CF/2os/Qcu
DmMcaYqgnIIGVkFhjv6nljp8zA0tN+WaCVQ7qoJlrBj6+144i/ED/Yo45qI7uThpq8ocUWmB1krt
FeuVp1m7G0qLkJq6urfbBbm1sesZnB/d/s2IJQCRImFiccE+KsIU1+wEcmybp/IwJ+NbsrjuTlnk
rkfaxiuKnTcCsKUaooFqnPfR0eIDlNgs8Ozh5OsQHMvWfJRwdUI0i2o/EUh0qfwW378nYcGZc7EB
tt+HCxCiDQKLcof9FJf7h3KYENqlMI+FPw3Bws94/POlXWi2AZcHXXoztzrTVc/AcKzGAaRZPFTZ
US7uWzdoNfKeIj6ZEXNNFaNsLWHB2I326kKffklvfYBnN2ctTreOLEl40n+o/ZLXpbMFEz0tPdQO
Myoqnc9cCf8r9dS3dCk60BPggFWyCoDRYvGzmyEwOtd66GRlP5R99GzSTZ48lGsnOHMjH/hcnQrG
EWnsJg+Qlq/JUCUnZ/4oav+uhYpK+6s3d2m+b+YkNN16/oU26Fl19XxPZtOzWtLm2Y29wFqmGSyT
IHqgmocdMNMrA4PuVDdKZ4OQvKVVXFxMGvILKxS28R160LnlU2TNdJ8yrnKT9B4qh7Hx9VLbdKnC
uCzVcS7stzxeajrWpj4avcHsdJ43iR65QaPb432hMsG2Z83QVvsGt1IHNgzQsO8VQsQ+S9hZdmze
q6E6VZ08ULfnV9FH2fXPP3mdwk5XlHLz598l8KHvRBHTThGAfBt6lys2AssRhzBiF7/5nHrLCC1X
vHpCPYMItTDjFcZZ70ciO/1I2zfoYQPQ/z9u60cBjnjQrov1yCZoPioqlyCC3XqXv9as0Zkrtt1t
nYSC3JL0+8z/S6h/oefEazMtgZTy5t5PjWufjOZhWaje7bqfSdCIZQi/wA9SWTiHNAta5ux3XtIa
d8ju93bZzk+c8z9mp+1bZTKYRLoTiEFY28Wqh0DkhH1YUWRsoqIx7v58YZVp3NVeYobGCCxcB3xV
FC5dUe6YGxAaZEU2h3ax+PY66nGGQcXaymEdWY4uwoXERYyoCwEvwMLbg0rzcpd/wUnfjp43Xfph
sjZVW2thkqOLCLMc6DM0rWY7ZArtHrrkPrKBnCdawnghwlVVZ+rQGktNZS858rDlO4R4LY5SW8k6
7QgymBVzrPptU+Y1m/bIvda38QxzTg9lu7GiDyE2PZuMRy2b6dyKjsmztpG6X++iGXeyQPuCygkJ
u5utVT9WFzcm56msvqY0kYG5GBG0M1bbbqqpe8l/AsHMwN548u+GG8U2Y4W9Spbh3VPqpbUmdw/h
dw5AUUWh6VCs0kdtPKeyw4FxzY7ZewX9xc92oCTWAJ/1N4cd+Cb5pAnEQ5BUrF5nkNSykKBS8KIG
i3wEUiaevKhFF8Gybk0eRhs4tBXHmikSHBRotZ5ZbXHtbnKyc4gjYo5TJPAWzGRipDqZ3yaqUNGd
rTaOt9E432TrzSnX5Kto7ebg1hWz0o45TWpF5sGQ4iSlrHYWxLijNU3lweCsU/BIzn++9I2lzlEs
ipPt/5S5n518HNyKMcneWyjbO6TktTVGzJ7c5Gs05JqGsNvLsk1okMiT6rM02g8ReW5WZ50KURbr
FjlMUExDcadJM8CLAVk06+0tiIvqcYrKFgBZO/7EfPsMJyoIovKK8Ni+L3kNtDZjCRTZ5dYqE97J
UgPTZnc8z8aoBaCbQwpz7XSDZp5Ns9h6DKV2I1S5IOH4vO3wirNdmtmmBi3JpvJ2x062Bs9HrwiS
gOXHaVaeB1AE7Hfkl9NJkD8JKDBXRJAS++nMOuacVG0B+FlQymTyzlGjs64YcwSMcAquPlYbbGQC
IkXoT5ruMwXFdYjpYE6kVHDUATDQGSrjQWjWQ+K/9KxvrvVM/pLXd4+2BgGi4QfQ0uqG9an6kz2z
RQNCe8i7xX+gDSHwauy2WimOmimK5yjN5mO8sCWJehDqsxa/1KA7Dgk8F5wu7XFuFqR83vTU5EP9
VNwPoi3Wdsx43RscbrgRQejYvqR1sVcOyj/3O0+zfptkdrfJ6YpWnA0fs0vWxaiDf1iSX0bb3PHh
Sua/sbGO9bDHN7zJtXKrz+zlhQCS4ZVFvE4FCVx9b+1zDaVFZM/pY2aXBP+0djAU7LGm1JoOA+jm
zJ6OnjVid0r9mrOqewLbra3ITBhfReIea6ih2yoHJtLazp7tg/1lCEwxkuH+3kPzH0btAiMhIm/e
8KV9b9mPbjN+FmqWl7iGy8edXAnrlcCnm3R7ujgROXKJ9orBJt94WrKPWrJyh2JcL+a87+CnrZM6
5+3SlmAsBpB6PpPQiZAhKKfwOwxPB7XtkU3UVMYvk4gfRFT1K9zMXTZoHVkrxY7SN9+BlN84CKgP
8BbQGDkPHnTQtw5sGaoGfhYMVJ0+6bs86tSZrUsOw2L4mBfnkwuFKAbslMBXprVl46HUMra5Unc5
8ZGVWBQrjT+y5PanVzWpFjTwRN02j9txsbYdJzk0nxTOd1eHuF6IHW4Z2uHj2Flw/XJwsX++awnp
mslk/EMNCwsGu5urzKfMg1ph3PJO6j5bVQNfbtvnDYOh52myrSvOtR/BTmdbuJV28ms9OpUIRup2
ORH/IddWq80bGNVluGg1QfdOWmzKVt3PY9ySTgdwMVV9y6ABJAxFjLHmKe0v3O3PyNbKbbro164g
BAVyFntpy9y7iLcI2XvQUxOMb6Wz68hQKII20EIbnMvBhMx0AJo8BpiNWH9Nn514Twx0psZQM/vW
IsoYXFCKteFDlDjuXs+Le+joXjApauS28MWu4cnbWB1mllvhh02foGsfUgSXgrDz4aAXBJFQfBR4
A0jKhHHun8v2FwP86YBAMKy53w6EmDwVywRr0hursG0deSYD86WOdZ46uYDOrJ32mLnJidG9v2Je
M4AqaaMzxIUnjzkKJ7SvH0S1Hvzp1wC/GBuLLYJKopgZkAQfOjDpgu34xrCli0q4FYGf6miLaErg
5p30yn1qlpZavCkWUpkWQSviPusMqeypkyyU+o0a1VMdYeQCD6IdCq/Tgl6lSWh1EKumFNTtVPGW
elpM8eUOR4XaAG3i0gW1F+hu3z7O2KPIEm6OZcVesKhmTBH+vFzgHa9EOk57azbPALCGMzg7ONg0
Ooz0uwXsqa7t3egXAJCLzeTqKW63HezrHXEe1RFtMQxKFjU7P7UesltzEIuheMyLnGgas5SEdml1
qLlQjUl/ADSSEjRi+iSS4iwxYZzM3eMbczp/TcJKE8Q3bRJrgV20dG/j2LbnpS0/IHcTPWYRMWlH
3V1ei+luqIHUIQcNOr3Sn9ss5RFLQj0y+ker9gijqaaCggp6kRwQl2VQU/iFL6sWRP19Y3CmuePc
nXqPIomCeDgnPFbQXiUieTR8eeY0WwhZZDa4UIwic+IHcAnunNPCv6NM80YWEkSiPfRxm69TRrqg
lAx+x4J1S8uI8Cxjcx/1E/BRA3OVSPx9VuaPpEhbLwX3wDqqZ4yMCWuuxkrvYxlzTEH1OzJYgDfM
+4J2WpsPCIdnXkK6yTZCQmUa2bDve3t+kizhGPCV66WBkjc6MfknxFAEvGD5sbLHz8Hq8yDtU8bG
crTO2gAeFyFxHML7UxvTsabtgmT+WI4abw68tS2zA+xlCghm4nJGaL1xGMwe7U8OuzbWiBYsJnK9
/zwlhCagh9f3OrjncSme5FLl34394BfV1bBzJrFQBELRzhFrKSBJi+Pq2z7tTOicPCUt0XpoxT8z
v+zClPUb4gGHbVUS4ZMrJMlxLUtILSESMCqPcwRAszTygkAg8ctuxRsCnmLXzk71mjGczajzMB0P
Bx+JdGyD07uN7NduD8pvmPKN6tL7viIMNRbGUyeM/KCV5Xl2+t+yzwijxZYTGDykK/g1p07LNksF
ilPhgNmnLl0g4UdkvFRsi+Kt0OG6IFrzcZx0lCA8tcPYv7AwlIfBPwqNqMW89b6ByT66rLZDTf9u
lFaudQCT0aBPG47F/ZiBP5I1T8zkGsmOTKDn3qtVSA4OySwNYntVOt9OXVCeeNwKAEjNLSRF/LyZ
CImlMQ/4Ao6LCgZjwPOBct+6i8efOmOM7ovxIdJYPTE0NTrjGdXbwOzYu2rWpNA9JbvWNOxjil3C
nZaDykwGO1bzPCZ4EwtlvAPNXVAoLUag9T3fjuixSKLFRwp8GVJ9N2dmCW/YvxfoHHfEa4TxYu46
q68CfewUiGPdO86lK+if0+HRsTB+2Xm1Tg2ZvrGmWeGzS/exYCUJPXI62Y47napaMDXIntkaU5OL
vqTTaYGY9uYumxAr+j45NXLwdxkV9qE72BiPtvTUzbpoRBXaNy+JD5A5QO+zIwvtBXS1iYoHFQhH
EOCUb5hTgAqL+hHSobfhpC1p+wLMbc3WSONvd54/x1nqa515O5A66MrOoodRdZW2ZF6RdMkV6S44
hFYL/RTCvMEWgPBRiNoe22uiEjoE8ObDRETT2SRAHEGkN5LRmWp7ZFSrRkobYB+0YhYX6r5ykMmN
Lb1IxKhx1TtAHnvDSdCDN+ZjQZpRwBxcbPuhKbdGrO/oR81vzQIT6VfIrXLNMbc3RFtgTb52EjV5
UROlsd2SwNoscjqKXlFRzUvHH+1PKRCuzYRUbe2iYN+IrpTB4GrGTouoG6SPKcPnsNE89KhALfZI
sJhiigmpTtLmK7uPb017tfUdB5VZZT8OmkZQq86oMp5/OreXu9FGf8XupVmLgkjMYu4x5aVJcs1g
f8AaQyCuLe4l8i1GQoR2BZ6q2mMKlBycL3PDiL36mpVZUn5GsYNmz8i7zTLbl6aTO+JVT5nWCzZi
8BNtnL0rlu00iwnbZBOy0qaw819ZlfcHwa/rIfGmK0O75pIw0nkySrhS8fwMg7JGlBQna2usST5k
wIXCaVD7pPcvYvTsnc0oBaRT+kRUGTit5NfgojFwEAE+Jkm2bNxmCWc7z9a8HNO1ep0KsiTI0Hhc
iPtTtffY3ChxTDL2XoKiG4bASti05A2JPWtVGJQ81SD2hA3SY+SYIkxGiAWk0D1ZibDdcCPJgmwI
KNmPjSDogQux40XJZvRM83TuZnPc+b2jYaDK3oD0AYzPSjbg+ndX5/dEOm4pVur9gnAKZEISQuir
yOQYLlPVj0C0WNZonKar1reHDTt6LxgWJiTG9EPvuMWg/F2PgGExNFNE5BFzknhck0e+kHctN8zS
ln1K0FVBbBLdDJFflHDXJpkOUzmxRqrZp7jaszUb90t5M3SgzliR+EqQWStqh1CqSO2BBn4klWRg
h4mdpvcewRW5LKPF4To7E4k76kneNIULQXRtak5IUstHu69h/HEYqAkFiGYAwKrQiqxjMz3aJSfn
hAGibjHvdXDdemd41IErg+xn/XvzcJ3zxQ5aQYVT9CXzD1vhq5PxafBcKq0Xy3f6vU6+CbFvcq07
DJC1ZdwvSny2WS43hFlt5pyqmGirdrtgp4Md5+1YrvlrL40+eUQQ1uCuI1Fv2wqsNikmawBWERzc
qrvFAqCGap0EBJ+ncPr7WxiPYhc35lpvu37TsjzFt0YB0BF9NegQ5vTUuJIUGrRtgi8xSdi5uW8j
doAVA+U1APzooFz5jAGZVDuB6zZCCUaNpG7X6k7PuzzAp/PSgG73O/LsHPd338Sv9UKKo0JetKr2
aUPDRpCetgZW6LBzwPLYm0TbTMZvC9IoUlE3dGrBAbGYbCDQB81MM1CGl6tSt77NordRZtMHps4Q
Vrj1Z691CKAxEtaGdrtGug0YwWTZ5nrFpoeWfT8a5v4WD2za084r2anX2XuHzmMlTeejLst2G+HC
vSHYNXrdxAhKCXkwzciGNoX71k7xV+RFaiM1PVprqHJXENreY494j1TpkHk7U5JtgA2p1OTWjOun
nBSYHSXBT1FIshlMlI196pEhnf5IEMS0a9HGEtZP/uVY6j7nPtVJiQ004f9SsfEQIaQJrdx7n+sU
246BV5KzcB5q91JX0Wfbk0LL0iiMO0OFRtdlvGO0OhCJT5FRjPxUhUvzxbytas8Tfi7XGpDsxKS0
4cSD6T4VA9N0VkVzzaiU+Vj30nXSwKQQcdQQYBOnbE9HnXTIQhuPWBu8XT6qB2Jjo8YtQUyiEjEY
pyozy8mnZ/oGUfJNj0knIeB+l8hh4/KUce98jqaJrg6IJfWzzkFBHp8e+fd94/3uxxE9bwYXl5Ke
oEID8ewTITzVgY4EmwkR9b5/HuMxwChwE66OWNyKc5265lZbpl+M7vZ5l7U8GfYvYcO/r+x+xIba
bdMRy67T8yVj6RSnL5KYc2YDJcnA6PMIjEB+k35qzLVnwy6Obp39J3Xn0Vu5EibZX8QGk0y67SWv
N5Luld8QZenJpDe/fg6rG42ZAWYxwGxmI1Q9vCqpJDLNFxEnnkHWF37lSTxZg/zJz//aLtdkllAC
U8HcFBSC3TUg80Lni1vve8+Ft7V50kCaYPfssRvpsADHlheiuBkdT8XgZH1AorXxWxhG45rCDWl0
4i8DMZg2zOsX0V8Fl0EMvHz90cT7YJhfbUfDku18hhFxMMMs4M5AiPI5GB/6jgcoTBlYioneXlsa
TCyz6aAp3fEtlKxNZUNbNQ1WNEyNb3hj/noL7konPKCmcbioFVuMtLayF/vKDEfkjqjzNbO4lqIc
wLDfh5TCTRI6E3p7HxLy0+wg0ooymM30lLQeyrm103VV7fQV5z+amtxUJXMPnX0AzOO8s4csC5qC
SeY0qgNgfYD8JmEbLM4ZU8jhEEqwrrK1AjoKYcfWVPwROvF0K2A3Rj3ADzqa7h6cMQfrjn86FfZj
hwapKudl0bjQhT2P59j13G/Tez4RvknT3wbjznplofTdGEi5fjlAKzYlRt3h3o7G38IikAPmlBsQ
gNixxqNodT8tL99oQ+zwAHHDcTT5zVE5OrstrXGEVnxs4fCAXf4VaVfvsll78yICyuHvfi6/LESM
ztN/0y2LOXKhIKQqOIxIhFifB4zdOCcKTX57Z3rcnS2tq/ykeqabSPpNVuMUIJK3OMkJaPELTW04
reLpqTSYjA4ZBRXS0N4H23v1pvoqFd+CSHnHhDbGYE6hAtNS/I18cncT7zAsQ/bi6BTRVa2wDrlI
r6qaYOC2zAHzqt71LX+9qXkPrs7ccef5l2yat2b0PmL6yDelSl5tyNqbOJn9xHLOU0TOzTBw7U0S
zrABNYdC6NrKTwCgGW/xDZbdSp9swzfEnHY7dLDLwDoHnOjGazXtO9KjLJj1sG0bb+e4hFe9V2Tv
w5TfZDUF9dweqXNVm0TDxCs9kt/eOL9lWvLSKPNWa+1nLESHc3u4RC23aVi9FKZJ864NQtHPyjSI
Iu1tvA5e7Ki5DBRjXGPcNh79XZHb1FfLIRzTatdKa8ubNZXpTZ1xY6P7urS1WaQb07Rga0wAddNS
Lq620+6BJCcv9jFnOnL2hmg5J9h59rmb/VFuPD7zyv8SkmaL3JbgdwQOS08eijkfA8AC+anvLO42
Lmbwhgg1HmsVaIVjfcXqdylWbL5SCxdlc4u9tzliPB9OjW79Rtj5aI3W3KERq498ZMnz8M8kBYdF
lUorSDgp+C6mpzP+8VelOM/BiBtYU1MKcCI4NYVoo9MycalfamPjSO7vJkJAhi8V7S9zD9pLhnuX
W73chlQjbJtRc3eDsoyrxwxbs1euqkv3RRLj+2VmH5DF5ajD2C2Ga35tevfYwwGP898DPXN7VCz7
eqW9utjWcy2veROqAPTrH74P6gkDQudDkSanUDajrzoAGm4FhJvJCKOUlmreIA5hnyKIeEeHYz4F
0DxuRI7afE2kmDDgjMIT1FurjHoaOgAz2R8xtf6xRbjTSuPHiOkno7bHqMLjmIdX/W8LblyU2pOT
dfALmu4zoU1qCt+tkIMP8Bu8rdx4aJjw8n7b4B/fuLR24drsz1aLHpe24hRX5k+4e+QRWO4njSKT
HuQPBWbVaNy6hdGrOeo/7cxbNlybAbVOMULMlUaLN61BEW+AuW9yBy0poTUr1yI4O81VXxlMHX0p
+P8/xWg2myTp6w36M9tTS89eHp8jYb+zOJjozMhWXnmFPGbvZ87mQclaDfiDRLnQ/3rmm7bUf+WU
4f0Ni/WrvGKM9DLryhjpgz41gMyY9RY6fJKu3KYi9TbYl+jOaHYaJm/m79lWbwEiTS2zQHIasUYi
fHj0P6AweNsFzNAu9BT/dm8cDgqBGu8LGXkVk/pyW3cDJigL6lF7lX1cHwY13hvdjU69UX9yKY8B
AbgVqWV1iccu9kdO9nidC+NF7+pDuljpN6Qqdoa/s8MALI+leLg9KQv8uDY4O6gPDlvOJqZA6dJS
OOJnqIpbnV80Sg33LkSlTdvp0TIcvCya/BI6K0mKqAQvTXIk5PRzmYZi3lhc/HemlXV0BdKjBwwY
za6ub6aNIw/caLKzRdVuR6S9FUu4vBqh/JYYC85YAMIdgHmTNTVvaRaw5kBV2amQiXaV40kbONTz
fJ27cqEhzsTF5ohl75QVrQJQnF80piaUCakdbxv7vCdgOVNIf5fNt+ehUnZWmfuUbLwLsxzPad1V
uyT1HIZCmn0SsLkx9xu3MMFGbOQQF1YX35bgEWN7x45PFfMQZYzYAOP+m/wHTA8beL4xJ+zMU7HW
GcxT4FFxcZ4Kr9/XVonfJpy42fR/VKKZN/gcgb6+v0xUUDW4+SGoMTylckHs4k6oTbOEzhE6w+Ar
MeLOZYDkJ8kyHCmqNAKxck2qdaid59Zer7Ir/U3Yksf+lnpV9zw6SMste+y2EuGjHHIMdc4kEYs4
geTGpxVW3EWyySck3FGEA+VYudqFscd3k+UUVicu9NkLPpb6rWg/F95Ulwm1Qoe+lXr2M8wY8loW
r2jhHSlBIz4LRnZfeWbL7SweX2G9HwCqbetGfyt169cSujO3p/TdINaMLAi8nZm8RZ1q2+3Zjnkf
pyp7KuFpvJA3YkoQ2epMhCH2w8UYdlQVOjt3Jd6r0opuqfTOZaq6wzKm9Z6CvYThqTGTiY7GV0gw
l9gef2u0hhx08s0bMUnvlFpKX1kZzTbpOL5tMppIAjNkc1Wc74O8YJbcOewmEAFcXk3k6jxG8l47
LLM8emXDUi8DPecLvRmvZMzHzvutxXm+i5bIpt1okselMRBFZncI6kJqH7inntq+tA4yQe004XuY
3dwStyR1Stteycjf2dv/epfMqKYLYZ657dazjw0SVLVXP6AHCK6SXLSXrvjOohKfQEsnCOWYBPHD
Y9Zn5AXrJT9oQn8mUhpd65A2w5Q8SlDN2pPZZtGb5uFWs3uo5H1FR6Fe32YeR+CnueevhIbNHFN7
kvRMe5S0zm0SA5ljldzoeCOPQKawubJYeo12dp3QOnq9dq/mUVymniSF3hTHFRSJtiPp7xUSJ0HW
vjuTE27aMa+ePJ1GLOFU7w2877K+6bbKkYkueOCWH0mKLu5RpaiIqVMoQcaWPhHA/7LQOLEkH6m9
MB/HPoOGjLjDe7zDSjrfyWtxBo4wwxFO2g9WJEjUEJnh8N5QnisPmOn5SrMcIgC39oX/HVr3utfY
qrIphSjMjcdl425n+mtkecN+rL5hs149Z5WS5bW3uiNozvqGvgkkXNGFZ3jIo/kq63c21qI4/hzm
PHyqk/XiVRmbFlbKDnQl18XaiPYWiBcf6jOQ6dLm+1obO6sluaNp3GQpLQhJJFZU24s0P8aO4NpX
Mu61pH0Z83QLqL32HQpgz3GB7ufQenK29Q9AkM4lVybPi6zlQaj8THFcfnMn8ht9PWdPnVYHs5Tp
kbfLxD6MBcLqsSt0xnzsKDQ4JF083NpQviW9+cBof1rKpflLazSnxVr70M3xqS/mgtaW7HdOx3FQ
6/YZRU2nJ5ByVvqk+vO/D/GSPCrJztJiU2A3x9H4GY5DdELCiRjvhkcO59FLVSx/wMgd9KSMv+K6
+BgoDLss1XyZGBpfTGl+O/QDfnbA23jzxTFakC6jJbF3EC51n02MurMubhF7vVeG0Grt2SEZsHCI
tBqu2kmvmpvL5e9Jy8ezSFEnVDk+JaX7M1vrgXL7WxEr2Ixgv5lAkvXpY8Y5ynBxLVTh8zC4F9sY
NUhx9ZOCv0CyFyfR0KZBQ6YkMBxej6LZZS5ysMyWkBrDjgzepKc7reNJcjDaMIuriHSiyd1K8iOO
bb45uNrsqGbpqvWnOs/fKH1eTovRvtb21AJwGVp8ch8uehXIGJ4gybjsChRaMGuW7kfBThWYyvYV
vWXPdHN1vvOzqevlEc5wP/Klf8fM7+xR8EDdMxA6u6l9s5oqOvSeFUR6nj1J186e/v2KKk79Roy0
Sy2gSOk4IqUNztbs8h3GNsefhdOdSPYVAWsLYSI6nveO1ncXxLCFGLKLlX6kZdMYlRnE9GRjuxiW
F/Nsju42xdX99u9DaWMhiKcd/C7z2i+fmoqXLyyRYDynMN71wrU2eL68be9lzotB4nwLLZADxPpb
s0j7ix3Gv5FrqEGYjO+BIhE6wiP8gjSU+6adlb5hNw+BF8IXJOuo5EB5WSrvxNSyfCTx8po3bvVw
aHSDrj294nAt97Yohj2Gy+JJdTTjhfuCDfpSjT20EB0zX8pXXNFycVq7Hw5/FvTmB2Wx2ZU6k+8h
rcY9Bh30ButAmsK6OEYbX5OQjX5ykmccVxSN97R36AVCkm4NT17dPIUuP764L4d7v1TPTVPbB7EJ
PJpod3xynElr7bWtnLUmFpeH4zahj59ovvToyZjX68ZPhhJeD6+jH+ZiOOEgDZ+0ntJRSjfC4SGd
sL3EbsoTWIXdZUizZlOr5mdlM1xvclvb531Hv6RzMh22M09Lw61pL+a9nMej0pufBBW/ZUEPWbWg
K4uYdjMWW5JNo9qltuNgkiudfdzRUoDq4U/MTNh4u4/IKJpL5VKEkXBhZf4W7ercECxTzEpq/R30
K7xHim6PWscgSDQ4J7NICpyLUxBrAi2fMcDQLrZvdkyvoJt9z3OEuov11s9qgk7SHpxzgTnqaOfm
kW6sJNA6mnWmVP5c4ta4thq52o/MX3RbbEE1dOd/DA4XK2fMVZuJvOnQ5lmPuhmwn5HbrZnqUteS
nrn5nwk8mJe202uIJKzWg2iYHngfUJnzS2TCPgGIcF5eQCtQkDhVN9uFNbKMK1MztPAh5mJ6ng3x
yyzd6Wi2bBr4TC6a3T3TCI0rz0X6x5WJaoUYtvVkIZ7ApZz0zn5UoQO2ZOxniLP6B31w89Gx8RGu
BxXIdHyQ2I1asiqFY3eMmkbADqTOTgNwClrYK4gZtbcTZqvvEC/I+sSF8IVyomNr09DhhDTVNJZW
BvBEHQgAOatKXxw7ZrXKdaqH4Ub4GKvxkExchozRyq7yyx2HZk/hOI0cXM0v3X9/iKgO3jKHMElD
foFiMu5MAsoTS2q5IWzX3aL6LNAXTolhfJD8NC0OAVED8Hbkj6z1YNkcZtuhtXcYxKgfABu6ZdC1
h1k+UQxUekFs59axWR8agvzpexNRFtpRsNwnHecXh1Zofn7UM+HmCK181xSszLVwL8rMjoRNvU1D
Im7bIjSd45q8pZ7T/NeSaiOszIl2AgB1a0j1YnqSbcA5Xu7RE00/WrN63CkDWoArnrZEbtBnnPtY
jRy/lordskz+WG3IvGMeyEZiwRhI2nLpaRlokH7rA3otGQYjpJwaGvwwHWDQ9udxcX1nfZYcN8kv
cyUIQMaLF+887tkcqexmlw7zrygepxPBh+nU8Gqc/v32368sY/rqW9clNMr/8e8/wYn4U84ttqjC
Hk+J2Tzbw1eE8em4wCnamlVzaLWBcQMNxyCgEF/DNtnaUaIwUg27dFwzN5WzC9u0fMrjjrPQKIsH
kBdu/OCAIW3sGRovnB/F3k6ZVOT6hSQs3XV186a8NDwQIyCSOpAlaJxPJ0QPQLi8FOGQnqxkvBV4
5UALoatjA0PFyAFfuISqNrGl+3VTvual67IWN/kx7aufWCNqrMoCXAZPuNLTNDBGzB5NmPAkU5+z
SfS54ADgGnt9snBheUZ4nAyoj2UbmYFbyeqexpm6D03914mij1Ro3c62poIDIsAJU/0azTVS0HL8
YM3g8E+gc1Hq3RTrgc6iot1r1bTpOMU0eEs1+7pw1juDIjPWEYwXoFI/ue2oP2tFrj8nCBqXuWWG
HCbnyiOZIdmbdoyG1WbpIUlanJBgTnzSQbiXNBNfmfXuCr0/4SKL8Cbwd9QOIEt2GS6zSx00oPG2
GU6PFzcBPK2HeU8inJNbWlA2pDfi6nZT/tEXKy6r6LCmmTuUXdM3YCGAibGt22CxxNKu5SPUbWGh
DLjVluZUz5o64lc4RiHNvD2G4XtWt698+0A71KY891XusgLh9I2WD90qiq/checINoYTlqZYAvTy
UVtrSQggiFbp3WXphvJdIdkNpQPb2kDeWTpdZ+poGJyV4uh5QK1nFZnCMxr/b8YsFjQFfOiRYIGF
4Q28BVQZiTbGrjQk4aLPH66jtG3qesfJjfMXKlnEG4a8k0EAf++NORWTJDXqeXmtouJXSqlfwFmG
IGPbvSdh8WOhL83nfHee7aELSJ/Nd+YZa4fXH31YK+3dLDpMAuxTAhXyLhgnJwwoL8ye+wMefRb4
CfyDCJ+7yftZk3578epfyYB/pWeb2tW19tLM33GrK0zndn1wvFvX4Kx2GgTgcHQ1kHTe8MHozAqQ
MKkWD/sf87NWY2McsVuPKMVHfor5Bhbm92QjxTJ8XenQ+c32jE+8NH4aPmrSm9vW7G0/bzGzz2N4
UYPASMDnl3qXPDcZlxKt4c3ScDJNRV1FvrJbXE/kvAdtuY2tWtCutW9l6gneC8W8t460Z8slQC2E
0q61yDP2poQyCLzjgUVQ+SXlAgHzRHA4K5OB3GCsniUeiEJoABklP9m651krOX0c5smKice0r824
2C8WM+4jE2h6c5KG0uWy/MFt5sAIFmYKnjBC+vMtQjeY9L5/wrVa7IrMbQOa6uM7LefRltBVukc/
KHq5fDC2Rn+XjObGJNSxoI3Z1nJrsIYiv0ba1DBbQ30DuoyMqiDMUwkcw/igHd0Rjv0TV9hBh5vn
9U1zjyPP3Q/GFyFdZwdGynqfTXntvApbPMrE08gGRNv6dCBN2R1Hl2NvhfO1WMYOaJPzN7ed5REn
1nIwJPC/oRxogGd9ZRPkbzDangk/oEtz5oI1R+ByLMu5JfGYXrE4Z9eYDtirrEq+ETUraK9Ff2LN
oEjcDB8Rt0+fxYN+OI2Y2BTNXzXQp/tiymTfKJ7mf79159ncR5zHfEIEqA98tzdYPwfGE6537919
1tAbJwMdpBpZk3vjuAVBVn7jMI26OEMPYUZnLmFZhLlmyMIbmpjzQJuQqXFm4KxnwCwDEXK6Zq9g
floIrttGjEfdHPERGnN7ZiwNjLZ3z5PSpuuwfoitaNlExfTKpYBRFO7UvUHXO16DI3ETcW8tp3/k
6p0devYX+k73bFLZq0AoPyZRUvjc2dXF7uRfhVbzKFB4w3J40Dvi3nGothq+BVOObEJFXT/iVJ+v
9ljeU8srL+agflTUld8ZX3Ux5gcjQuCdoHeOBuMUm7ZRi15yL8NQ6xXqV5r29TlJt+EE4dQUHJD7
1RRVjd4fp0uZGkSNB5WG4F1v3mchxLnnZ76lFOKsj4g3FMXkgSiYfxlT/dC0gUttk+xaZf8VbsMc
rvgRm67jt0057aSjDh1pRU4HpXHED1rlKdwqYlz+bLeMs4t0CaQQ44k1gB68mPpuLSaiN5mPdUn7
Zvbr12NnX7wQt5KjKO/wlvlLVj+ihD/Qakn3qoC0bRO38ja4gtlWtd65DzFeqcbKzm6/TZeG7oWa
sZ7hRfpW1XQke1bNYY/oxLa0TULFox7t5hDGTRZmgVOq+lLF2GjMZsr2iwcBR5ExOQ2humumex7m
nlQEtdZo/iZV3tLKA5lqH6HprpbgFh2ZCfQmzlBTRVG4n4DsY3/WWcD4ZnGlrpg04UfgQvHDxFr0
oZkjLYzLN1766l2n33EDf3XvNoX7TFCbXC8NuHs5D/LNy6fnyQUJpI0u8ykrtp4tCfZar4p75v7S
Ssd7uGZUUqY3Tud/vy0Wul2HDBujnag6SNbLIKcN9YArQ+cNyqiMStz55mszcAFrIuTH2I6vddJ4
r9lo9yeBGMmePF21Bec7bdgmA0Jbw4GtRYGN3oVjTCufp21TNuHvbuDUWJOUvkQLXfGT4/pkSU6i
MsV9ZEql8u65ab3oLWzZmjvaICGunYZsoNq+cYzAWtL2Ug+9c8PKPfg4F9znjjHjxqzVzunK9uEO
PL95pJG24FAdodHtIpI1yJVNF2g5klOXgTwCMaQ+M4OAQ+21DZvI8pORf8QYCyiQlSCbJP0xl1xo
coevqZ/PyL77OnFo7mVVdyScGYVRZqMG/GOZIOSyWiSZJVl4Ppf6YEATRi7PRaDWeWKvRkkmxZKX
tod7P/bOs110LQMY4FBycX5NLTkMI3TOYmupqbm1Y9/f8Kp9Fk4+78eEKwETMyt1AJXifbnmlnir
Iis5VhG265SZUlOjQJpMu/pFFy8JcKiNS+/kEbfigqiGl7zDJwQzY1OO8482duivLYzWL2mVq3U4
YTBToEbmS/5YBm45iVO/dij1kmVjH9dcs1uZYMzX27ulNSd2bJw2ZvroDJ2LPv7SqquyYzXyxodp
Q1nmUGIwilDxKtccdlnvEhGtqdjKQQHB3HrKK8iKbWLek5o7Bqein1bdIXZ4Ubkz2/zL6ApOsQ5T
PW/QyIClB2PO/hYiba7OUC3bThVEg8OsO9eRZPlY5bolJUoKZhVozo6y7rtuGQkG5PwNDxYewrXT
K2uqg5bW4aub9/t21uSOKvE/0KNpmXS7Q1bUyDgcVDbptMoUWZJgCR4g55eEPCWeJiTTQ9gPLeBZ
Y/CJNPd8y41tOOdLkECBvEzfLmxVlgIt3rT9MGzpfnwqpYJFkkp9Y9cDlDw732Xl+GbyjX3KZ5Ee
Y1d8qxC4l253aHDwH/so/QxLlyYsfkxJyt2DewUCCcbiJ1ydWtBn2lruTXzJEgEBHfnWaiZ55xa+
xkg0DQ/xEiyg1S4c6wNjGKrvcORHWnDNWuoiOnCnSOCC+qVtRITh2k1P4us6el2+6UgrQHDWSdcp
oJiu056wd/zAEEVbipU06DT2j6TQ4ZUOvLwckQ4cLl0/8sL0p8tCnRaws/NGapsJk2kwl4bnzyRt
3vNYICrUpv49iek1FasO2nJSS8umOxB5+wz758rol7d+Lv5WecIjyHB3jxkWC73lPaeQxbkdY71z
+xIKkuVuyczu9FYnh5C5L1qm20d6WPBWILw8u4z40lJzD1QYHTEhFHvXme42gtBGDOKNzRipErpR
MvQ6P81O8/OJGfoAPiLg3j8fjGK6kATHWmAvh2gcSeLmAGm4oaogJES8E8usNlo8HToDyLyKrHer
by66YAvWm/zeMaPiVRyMjT3wnupa9Gw3Vr0ziacUMyYT3OJfUyfqYEhzFo0SUtP0JmVR7XNIyJtq
neKSMDpxPTcujuYu5Bt4z6NEsw6hCn0rTLg0FfXJ0JR7KDt7uZDqjf2BhoDAc7T5PCZqOU9tGWFQ
Ky+LbWk7JsjvuRPd82jIftjD3x5E9kdprSRNmBS2mNYpggaO3MzU1vQoGkWe4jM72Q2sIhMi3ZxO
Nu52wtDfRg7a09IkLgndjq4G5teNBmHCB6ZHaAOScGBzSXsxkYK4ZU/pJq9idYgIgu/Kok/wA8Mt
T8xu8bkBd7RTX8HqrUnJVw+XyKEyOVSUOsNJ6D0eyXgkRZf7FI7HvdE9mjEdnr3E8ZhojM+G2Ykb
yM3ntDZKDt9e8cqRclfUIjlYfeqsmCdsuGARj1IV13RJit+MoX6UKeDVOmXSBX/+InPs8Gs9UZ06
JNEggzi27WzYe6A/cpHj6WOwaNnAp1oXEuFsto9ZucwPqPeFE9/44FvDQCIiGp1+DXP6zwbzPZpk
EfSop2N7ycwnKdTPNDE8pC7UI92hX9kik/GaJQ7zSDzisZZVOy/Oh5sUdn+zB6hekM6v2KVzJspC
H5jqCHy1BK7G5zDvttVQCiLtL81YOWcOFtIv2CvxRONKM9zlNY0t975Wp5syw8cfqSdYWPOdVOkX
9iuHpZlzGBRCe5OMZXSRa0F2S61YUNSKRc1pmx1FEfROxR//vi47pjCijHWMzlHbHgiNZbR+GAfs
0PY+TLj2lW6Jj1YjpL7xRisMoBAkvhd10WmMFCcda3qbOu/S6Mbd6HC+ZYq8SNV+2mtcXRHmx9ev
/67XOG232DAnp7o7hrI/l0qIvWc04jDCbzcGT4K475+jKUmv/z4QUV85ME77MM5VLRp2ijDf9+CQ
MKyH3Qv8WC0gr1M8gYEifSHm+Og1UBuWQV5nFzZgIUwA1G75Sx/UfNYdqqG8ISdrU5wcyfMwMdfc
DhmfhbZOPLAT/Fsax66Fl9Ow3iSwVJV4snmQrrPpPfTw3JMkOBX84x0mc0VYuSetmYwXKFK5kXt8
3Y6Llwp7PMTTJphysaCoa4aPoEd0ZRxQMLERAjtbUGmkBW1qLO0AriOTfbfwe1EsO2HbbtBmaq/s
8Q1AkIZKiShkoRpfCb3v2oiTfq0e2pQU9wqL+FvsXZD0qm3lFdCIHRjwjNe3DhwwH0xBRSSB15WE
46q351ziZBO0Je5HS7j0B2PKtWpcTEv3BqGjZ9rBdTrrvOkwGQPrAb7JsLtNZdl/VVnFmlFmz/E0
Vzuhee07/4FGD9gaefnZcLrZ0h0xM4fu44NG0zdUMSSQISP8CZ9ZvrQgjRizpWJbJXO80+KY430T
GsgA2B7qTNsZOLcORldzMKnTrRTxfFFhnh7q2X0uUnM6F+D9NlO6Xh7ASexYEC8cdwSn4Lg/mLL5
o+qW4d1qg4vndSxMqvowdAeOMyRGqvkAP924RPVzaCu5NznhriDhvRGW0XkNuNmA487D8CGnPL24
yqOmr4muhONIqdoaJ4d5tTXqVbzNoO8x9JrxeENqXHiEX2psffhfYnFoTSso1uD/vw/zzIytRA0/
Vh1ARwabnEdSt6Z3xqmJ7vWw76GLx27JTB/h35fl81Jh7lXZim6q4G2ERVSc03x51fQacSGslkAZ
BrmkwnvxZmGiI+FMm2vHeZC2+zUy/tyM2tS+pFPBB4gTJCHHV935tZhQiqZK+sDN5EkpDjeOnRNW
VHD5vK5x96ILoz1Bnb0H9e69MrXfZYSipmdWtNGIrwJWygJa4ONLbZfGdsi717nSxNlTuHKzMFy+
zAFWgZXV7DXNeJcGbzHuV/x/W8tLot+G3XLT1FPBQpry902YvDG727eKHRTYuPMjTJfwkYcYzNNu
jyoqjyhnX33DI14lnnync9raDpwrJrYpoqKxeiQsnkUpbkurLWeTLL1HE71PntC86fKPJy31iL30
wzIZ5MUD1h8AC1TSiFj9LKB2pNFHAz9hhcbYmyXJ0gBaQflKws3mWay3XuGqF61Wl1mG3RlUg286
C5uRB0N2TrsMoQJ46VIyrWLhHQIdYOBhycoz+RW5tRZt2LWLoOAwLZx9V65LLS4h0mQcNcOuB6lq
+CLqfnpmZ7GKCAJ/ZhoQ/FO/jb78dO33FjfrTqvUz7ocl6CUNlsq+9jYgM4Tqj1FvIGHIjxbfez9
aUvnDaWh2mMBSbB/ePo5WeRzVPcgKHLvqUwrEn26/dXNenlwMicmf6ENG20Y7XNvY+BK6yfbCIrI
M5laOt3WIlu/S+hW93UL9zhqWHp0lpmUoCuQa4oe2E2EU6MZf9R2T7Ig18g6FT9S2mUuzCVvlhtW
l5IQXEvOOJhH75FqWUAqiTnsAIg8nLZY5sNDZPAdRx3nfaSCM52jPflHm4O7Uhf0QhcfSo73P5zx
3kiEjraDs1JWJkGHIbaOBDIemYRlQUqiAAS8qCJ6yqaa+DVlN4GRSSoJYK9LcPjblPMV/9zsS881
FOKweo2ZBR+nlnZzFdVb7IHzFe7LmlrBtSeTyj0YGBvXKvmkqNub62CD5uzaHUjgHsblXYmDWk/4
nRs/hRpSozHLdG/WruerwTrHabhwTInIeGukBdApwVLG1kebaL9Crt/nztm6pnEaOp0xgwI86PU9
iAvUm5yKsFPUOjh3SgytUWpUxxmmxehwIJYt75Cra+Pes+acfSc3WcZ7ABjNdK9Sqisc2dwI9JYX
vqAjkFKaPATQFGTRgTk5lMOxeo9SL5gb47kckVKW0dlUBeIbKAb4xMtckD/lnqts9e02WoKDPU72
yVSevMgkWgGjHC4sPOylfvuH2fp/zRq7Jr8aquH+dv8fVOtKDLQU+/2fYWPXHzHFukSRmx//M27s
v/7cf+LGXP0/PCFM2GFSAAizPNBh/8kbc4z/sCXcMItuOYu6XOH9N2/MMP5DN0B2u5xyTCBgHo1w
/8UbE9Z/2MKCN2abhmGbwv2/qtaVlstn+V/K5f6RzuiNxAtsAz5z/rfuSKOf3akztGlrz5QkUeHp
0SrEhxEJ6T8/tGma+YIpwoKcf8xU9xK5RXGxkw75IqpOmmTU5yJYshDfGbuLoDUIpEeOuBocelyg
oTc7rag3/h8kncdy40gWRb8IEUi4TGzpQE/KS7VBlKpK8EDCm6+fw56NomNiZloigcxn7j3XxZs7
CmutGOTd+QAEui8U+JCWsw0TYnddVbF5zd3a2T7ANkWa/f3v7daSHF5rxOcUI8HpJjf/5c7DE4oz
99jhIQxiXZ9KRbhKjdoOa9Dy7T4GQDrFMlN7qyF2iuOimOILCTy0yyHz+jHi47gZ3mHGt7dG42Z3
22souuWYmtPIfNd/F9miDh6F6x1R2arKEHP3MC/3Mi0+FgT0B6vvy1XuI5ieMB3sZTGpnXZYNfVd
AyKpcIeLbY84FVDgpBhA9hnbiMPs6xs0CgNhj0NvyT0FnbO4Oq2Yt7n/Wpuy3buMxWEv3KPeMZ8T
7D37KVzX0tO4JpT3MqZMinrjby5QEhiwg7Td6VNZb5iJ9jjacU1UmKz+/6OvMtavIVehkSCCiwmF
wseY/yuIIg10HvXnNE3yjetOSJQHvtEit5ksor70EnUKvdYNwC+ScTan0SY1Sm+PmNk9L7E3IM/v
w2tvsgckJu0tnYvs/B8iZorTt9wXcOeNHvwIqS0PIyjJNmBKOe+r+lcJY014Y/4xdsY/i6RjS3TJ
y+QMt9gv/HrlqfIrTPtnEFflJ2LzoMnpbGy6v93EQAkB3KiYo5r6SVsP20prLifl5mrNc/XeUQTu
ezlW97Cc86Mwu3+V83vUyfwrdVAWKS7vouoXjHN2w0Udw4UChOEDiR9L9wkKbXWhugb7htUtL8xA
j+1PAjph1zgYb0srWnd0pofqwmCq2rqGKy+Va8r9L2WyTeKp1menm788VRCAmjIsZlh64N9anEo7
L0+UZx+sTNfYDusbvnGOe5yeQeyr8RkqjYOKx9R/R1SxddP/K7RmhFL11ipuZHpir44qNDf6ANTx
FQ16DxtQjLtpTnENZYJh6IgaGc0nck+CSNg4H0cnNtjm5PV5DiV75pqrgGyQ+iiZZ3XcdTgi5cl8
/GhIPoBjKplcSQg+zpRe3bL0A+nB1bertjnOUj7FVcNzC+mOZBpkCbkZ77Nau9fOK/7UpPKceZB4
Z0JiGmvo60FfVc6hzee71xZ35j/FOzioDR5RfKezyH5JLmNsZUYwaQY+6BkzgDfewEAzuzWM5zdq
kvIwFpm38URebIVZGGdbXCGUpmy15g7diPxJKfxCUmW2OK0JDPwurA4insrmU2829tbtEDo26Yw/
2JoOLokwaPzGT5ujY5W1A0cHqqId66ydZ4/is10KPH3ReJ08JIFVRRlRavU9J+HFAgk1K/FFU1sH
fW8OJ3wV6E5hqm1QrQsgCWl/GUzztvgj/znL3DWagBqm25w/cVnEmwTQVSNwTXeuj9lmYXPR+SRq
LTI6xlNP4GjJdNoj6nvVmXCZVqCAxt3yYMZRYzEZy/DUJWaUBXabGhh0YPz1Og7csab/qVzj3Lrd
ba62LMspxnCh7Ei4wljSIB2th2Y+jAL5ReKw1MK+xiwIgH6LV6OI/zHlA9NhJWtTQX7PsbhZevhE
ExbkEwJPvOzWegnNv7PbMuwc+G8Y8dELqXtmtbaUTyNXU1tHHuYhvORdnwQ+KGsIZs8mMNyg9Ion
yxvPHuMNHm4QUIjy14lJmW805ylp061r8pnHC3bTSF9NJgqo54kdmBQZlqhHFVGgJxuPl1ja1475
DL6l+c1rcB3lrSdQQR7SRjKYTQirsFsXCeD0i00+jeRUhSjISDHC9TQmU2Dbabuy+hOW/XanPes6
2+6wss3xiwStb2GAnEIm8E9iE7YiiC/DsPzMQC9ULIwNK2xJH5CBaUD+RpwCOnzTveVt/qdObuPC
ai9qhnE/MKufPSgOFnC/PMMPgIAQgYkNiyH5NTDgxJlFOZySVuEpD7tq/rcZEAv7IQ0mgoUdPgXO
3DQ9p4Xxjm2dUV6ORZTgWnaq03EU1zqBro9V6SKdGtXH45GJWQ9mkQZ9D6D2ZZgQ3xfI+TIGfJEy
d2p+DO1jU/KbO6QcNC4RH1W/lolyYHXGR1DS+WpGpLmGsxETNLH8DAsRHElhNdux/q4VEAg3T9Su
50OMSS5fWYW61pGed7oQNf8zQrbM++gPr5P0nnH/HidSFdYpji2hufmY/ocoX8aw0S8FBgYC6Sh1
Q2vNM/gka+g7CyKHdRGJ175a7jaoeNvXsNxTNOkq+s0G82npokBHFOBRh60je9hsZHGwC8s9IYqi
ER7yo9eQ/TFj9NtUvBu7vkpYhg5msntEfWz0qJ3nKMxMxj7gEtI8f2idnPdicjbU5sO7B33UdiJ/
G+Obhl2NoQWENK6i9BfDDVJWndrYAcTJwNMk5XXI0WwC7Yj8Qpy72O4Zb3XHHKeGXdW3DDUpM1V7
i/OSVHIU63sPfxxznGZTEQ4aJKC5NqyLmGjJ8VeJiTXwY4FsEEATyu22t/CuWTDjEKyyfe6voRqZ
tJtZ4Ew2C8LG7p5LhGFh3/6pXb95dm0r5uZnTFGHQDOyutwNBjI8xDsL4+o0gX0A+CyHFhozabqO
Ej4a2peiF/q9d+/TzJYgL+shMEM07so2eGcfezdtF9/WoL7wpA+7UEztK6l11RST/BHX0xWVDGmR
TbFsxtGG5GQe4pwt8iLhWJdYpY+pLX+bfeFdsC8FGEyoI4mpu5uFB5mjtT8ZtqtghoebmZhLdNtx
edISreJRd5QlJDpZXlnssuyhAzLxVWXESwVRMnZbz+WxZUF9dRgmbvxKdUfZTWrFLtSLve4pSbT5
xIOBjMvQg/GJ9fjZlOOVQQlu4mkCBYUlUoVkY4xC14Fn1r8egQZHC7jICte32mZOx1w8yi6kYsGR
zGdFg9VfcfUkt8mDIiApmo5dYa4pleer50Z4MuzmphRiNjAAJ4uv/OSHu8gv1bFTE+SM3H+cMx1Z
DvaQIBrqjEAMEiOYoT9IC2UPbSE7wWt2V5iLuFIZs7RaQl1B9NvKqXm0jNPKwir/IcLQXJnRk/Co
mFz51+u0OEVwEM6m3Q4H36kYgKTJI1bw1ehVdhDYfHeFiDZF1mDOa8Gjjw4uBkAUz6yaBp58ZP2Z
CNCM431zBrUrSdRYM1fXLyFK4YwS1Ury6XV2O4UpaMI9DPnBMSLzzUclmekiPFdDe3VHdB4w1k3e
sZ5tBBkzVWEbp8jEX4xi4FhJdtSMmwDBRmDdsLx5ZE3jqyWBpTk6j0IEiS+5R6HdgC7qUS5jruP9
NPC7KlAHS6MAuRqnpShZMoziw515vBiAt88RqT2rJC4i4jPLFHs6W5OGzwUof0Rqg1k/z2aBFM/w
VDAlR0QDOHpGfutyIgDA55QQI/xJ720oSn30H2Zfi0TF3FJ/RoJljsDz+wPwlPtoQvoHueLulgjN
hO8T0srWMVu7/fQhl05jbKmqe6lR16DarndYZthVJda5I4XO5sljxXTrTQqeKDb3Zjxhz6uNg8rE
eC9dd97JliwIWUcXYia856nbe32qbzbhCuu2+td0ZLZOBcko0Tvtkn3FGkZgTCYvc0Qljj66X6EZ
ZXvctMN6cEi4NmGYvEblS1MP5m6em3zvYD/azm5vnNEXpidkeMWGVmKXujxVWIWrTdHQzIEMBr2B
pYFAQfVmW0RK+7nr78e0wuYb8QZNEsDUwAKlVrfBMNGIZbsUy+c4x0EcMx4qfswWaEm9aP5wORwE
LKL1VLo/hvNDQh2Ouymbb62q/kbxp2lm713Ih+HG88zwaZLQl+yPQfivD/xwkPL5PIcXZVbI7GtJ
ae4uQcIGn7cne+mM8SMj0WkdhjU859Q3t6ns9loUJx11E/z4gA9yHRWZeMIg8i/1SBQDOLmZE/ml
bU5fnp8ZtCfmDxziW1/U59gHu5VG6TWxyuE6z0xuCrIACMvKi31P2OF2XFznandqRnTjGRurHp+8
fFHvIP2XDygm6V10s7cZ3BKbX8omBjEF1lvz4gOPuZegVFYG3+OG15xft2BGWmRvbjcWl1ANR7y1
qN5I8N0RcxeSrAjQQiv/vcQq8VSHaYDOrNgOvU8xigPmALxPIWrzfpt0/zcPPuHiTCGcnwe3x6lS
oGFJwtZwC9zSPluwIrZjW10f2e/nvMbz0Dyeyb7zD02LzQ3qxu+EueChEvV8TAnb+W/hYqW2fzYA
ULjkNu5LOjJQbOMQKKe3do6TXLooPerMzk/ANAOP4Nctbv/63pZLYEx6YUk+BAUGmaDwil3OLuiK
d6AE6JHkge17rGrgtgzYCXIX0QlHjbfOxtq/Te4g1rZCYKdRdl6r1jilJLjumXIifGhSnvosyraF
K/OTOciHFrEt9uQEX2sM98ccy9h+mKSLp4WTJIJAposrDfPACUtfOGtYE+MDoTpL2K9Wn28z2Owr
+UCx+YSxiwHZbCni/k4KyZY7GSW6q06VfiyEYu/TleVy5LZbs5vpMxxoFilzvhrUurPCfG/O1Qd/
LfppUxG6pLt7GWFscGNp3ghLIiJP07K0zoJcvlU5ecEepiUG3ftyLIO0R3QdJk75MkYc9RBCUTcR
v3QRqnb3tej+wV2iS6XZ8IipdcPROnkyqQ+Mu4MBOv1x8MpzrFux6qVw135nHDx+30rps3CTYmM3
MaapMg6KmSGOmDMspjjNYqh0QBvPuv/2Q/XC1v1s8sGteuLDM233TGPGp4XOkqCZBmteSpxwjEAi
bDziifZzzuS5HkDahjXZY554Q+9F2+F4V8/GO1VWywtQDHnvQZMomvMaHw/RQeEqNlPadSQ/MKrx
/nsEK4jqQXU51vnQbml0SZGD3Ut45Mq1lz1Kv6hwjx71e+5ztIwl5BULTYCOo78EngZdVoSMAxjd
wkc9TBTZ2MyjU4fX2iC579DjGo2tiZCHin1kkhLJa83/hEKoCJEKZQVBVWt42GrrsWdp0fMEjVdC
fR6Ta0J1uVnIfFqXibeRqflLRkKtRTK9p+kcmN6SbHuNhtamULebl7AAA4tw7ltN+D+7zbDoz1rY
hFEh+hiG4c2a98z3rAdtiv4oN04sQn5aY9xFaWZvWgBDG6rIizDjIghL+8eIuxvId+il8FyHPvL3
DD9+cJksbNpMY1WoJdrKqM5PluuQoqujg2O0F/CUah8W5nfVTeF1MGR4zYhGBn3qJVuH7Q1sJXLQ
H2fC2hnchA6Dw6bvZXdxu+LAnDD/KvNMrYyUbHgyDqA55Ut79Kt1SNdz9LCK2V11Fb5qL6lr3qD4
Y2VO42rrIfLZCDSXV6IVm4Odp1eW3w9FqWVFp6wHxyQWdzhJJPo7Z6BRe9Dm6Dfrf56Jx93IwvFm
1qGzNb5sWSiW48lZjNNL3VaKrSW7Exhick26jr/TXc47jPhxnXUOy8J0AFvuWs6uMCZxl4B2I4Ok
chr3HigDczbUFR3LoW2RzQ6bPmJsnBaQbtUnz0xHf9tZXp670MyxmrchlvIsp++H0YOD8MEF8l/h
KN6pcU9sroevSUXo6EbDg4qX67VJbtrzQjA7RhzdvXKRsIDGnKhIcg9QwFAOTQTj9DBIACCy3qX+
wl+8Y18oMbDEz1ZjPMcWrTiJmc2+8VCFiBLcXyi+0lwip2XFZXmcgGy5FaiSYVxlpHMtzY7fDxcH
Muh1qaeFXZUHu5yUP3rORlEAIk5vOszCA8bEVX+EAPqFyYVb3gTd5cewGyG+gnMOmetZ2t1Y+K1w
gtzJmpYXL+UlWv6SqKIp3tm/5H36Idr4z4BQY6NC+yuDV6kjhUzZiuAhxvmpbPtkqyZHwyVgzlxL
xH3g3dHazQ75paHxWYT9ulOAy9zBfa6xfiLKS8u9sm8uPpNr03ZADnu2fegfuRnaB/1nMZ7Hdu1F
sIp5knYD0o1dU1ZPhXa9G470aYNFrDJHZ6Ns7yk2UWGSBaLXPKb1yfbQpjbU9yquDxTPCBu7JoLq
DLRSUWAt4DT2RvtteaQAIEmFETEkr33LjKfM2IyPiXOTs8TWEbf7pujiQM581914yOmKTpnRiTWB
fqy3oblz4i5BrbyTus1N730kYLm4WRd7t+AQX7tNG38ZrruTtn0WjfmbV6/chgtTG0bO/rVnd+qg
bjC6Jb3F8aHkXEKuDKbdbltKOFAvzZxzt9heta5oX1eVL4IEYx1qgVf2w9GFoHGSfcrxPNQUdm6V
l3sebw5VqkCYDYa77hox7cbeh2+oCEQTrvdjM3bbdV3+C1eSOmRzSTAfrIGqUv6+Wq6ykdcmaqAB
Vpm5QUmij7AOMZyD4cL7OM+bGW3LXHXXQi/OyvXlZ9eQV+o52QfVe4Zd0EDAAdc4Mf9IMEnbzmEu
aPO5RtTBCUTLOPQCUfPIYB/m2xuzo8sSbZ0hiAO6AZRNMOcJ3SPwvTMAHrRA+MNwIRTIv6jh8rk5
5S2OTSDSj8J5F7r6bTJqAzcHJvVqVKgPh+ElHkJ3V1tP5YD3nZEdslE3xZRTq7VOHixHUrZQVh+K
fgAebMptO6Icxx3ATlu2q0VEDLPj+nWemcowqXjnTmCXKxKyQWL3GdvgOfIWJtO+BhfnQrrqe14c
HO+YdddzhcAsLLrvJkztk+H2bzTgaBNcMvH6utoTXUTU9dbiDWz04O0bogUTeCvsJPpgbtActDwj
BJMdZyPnuOnUuLtwsE1b3jbFvcdB4OfySDzpDxmnZHJGy7BKMXitawsPn5cYDYuC4YP+CBb+4Pxz
KlzFber/LeYGjdB89ABZAHHIGRYurbdGcVVvRJzgj5nugPABgi9QmAdtpbt+gSwGi3xX+AyuUrUT
DsYSwZhu7r1fjvfwint/J8fdz4t+bxyBYIB1VNHrUzIgy+A2GFS0lyaOhVlLEy1pUqERdbNVMXWM
FeBAFXkAwf4cdvxW0Wj+bh5uqhj4AgqpCnZXjhY7FBvPiPfJomCUUFetQCg3IqwQeud/GkGVj8tg
6RF0iAyDm+PGewi1Qcoq6DmOzbUL/Rxd1l36AP7KBF9ndJfANM4WpQyPRPVTJ0sJsIA5BffJpzml
R6/go6+bHTE80Q3kDEFbrbggsEURayRs5f0UK9DwiPlh5VYJnoRGMSrMHrk1MJLOtdTJWsZ5h9cT
2wrjJsav9UDrkFDfkRBueM/AvuaDDr+nGbQhh49UbLzMBP18NpLxV4QMrHPPOjVxe6WL21SMvNp7
ZLQScA/scy3BEIuK0b3TUHOl1R6aPrg592EJw0mZWDiK+IJ3kOVx1GAAdnzrEjbxJ1h8Re53Zgel
7a0EfJmNjIz3Morhtk85MYRmvW8t9yPU+VdX6R8BKGoHXrYlFaPcoCKErzweqmz5w/apYXoBgtWO
5D2ujPDuv9ht9/OYB7wm0AxGgIvnBHeJsXQEshDUlpJ1rVFeXhvksdS2GZeE1aP/Hphx9wIOuS39
wHaXksYKWIjh1eXGLvKvGj5yMLHsCuJ2+SRJoTjGQ/XcUhGiLShWpEH6B9745xFwy0UN/VYQw3pf
yKnZoQDV29AmUki0U3amDTvWC1jN6oHdJczCWddO2hIUzxKr2vh1VLyPug2PXPrNJrLxrsYl6XlA
EbJzZyyP//c6KEL6yA7LNPpp2W+1587bpoi3lKnDLiHkEH5v+YzewTnVcrgYiT+vG2M0NhXAtBWC
KXCHoZmgA5nvDD3CQJpGttd9emI4v7zVhPrWSFADZUzRzu7C5oNkuxKFsiH3iUbOGMtwK3HMrZST
NYfCa5cTjxFZmI+oiDYrN/0EyqGwZ31JE7DDkzP6aDwGpJpV+a8q7WRjth7Uvbz73fn0vkWLK/aB
lSfLUN7spnmCaj9wVRL703idAC7iwe/ujLfZvJR2G3/nyNriAoyjndevU2Ovu05+eo0+GhQ/zN8z
zvqwyE68EeahJWyy5wTdqQmjd6ZdZlpLusd8Roq4IlGQtQ9bwscioyHwu/YVmTPQiqOHGNqo+fZ8
3Atp/suIrEvEpCOjNdtB7mn3hVefIVleegus0Qx9PjCXaMPaFO1J3x6GXmC4ePxotf+xeGLYu4mb
3LRgF8AFku5mK01vNq1xwxrWSQFuZlnrbKmyjr1fxjSoqX5y/HgLJrvZ6iyG+zWi53MVH0FnsOLK
Hsf0DLiXC6/GC5nUP6QlAGYeINiN2QzqGF3bQeSR2McYIqFPJmQEWPYNzsIzgUgEDGun2CeZjYiG
sR5vIyVDJwaHhsh4UksFWhWDeAF0YYUMsQqEn0cbJETiXNXRB2qC5N880VYz1SWvwqpJakjFXWOy
2S79dOSoBldgiikoFrTrqUbvruviIoVILjott5Of1GfOgHFD/MO0pl5Iz0R/KAsnm9V5/6yO0HiV
637jRQCWofcvFwfzrV56Zu2PHKfSXOUqTxBFWkygPeOMQ1xgTn6e8y7QPUuw5tEQWZoAKbfu5cVv
qA2IwX1aKis5dpb+5hS1TwpNeIPiZi1Gxt8ZoaYbEvvenCIxnxrmDrmSAbFA6tQauYkNBrU/4Yfq
HCdZ/+I53Pphc/OVR3udMW1ASjRd/vsROg9GB+Hag2Gb29wyx1vpNGiNzP4yWplxLDioIxx4x6hO
+Qj6yUVERLteyemzRua4j21JreS0XJnJRtp5dcFReEwwTQKqBI1V2yzMHqPdzkn8AE3p1deFyaPG
a6LNytk4UB+Ok8HUlhcbDEVs7HuGJDwr/SsS+qNDa0FfK25WPA6Xpmq+Tfh07tx0L0Wn541yUn8L
PPqeJMiwvYbpfpUIE3nsbH0ijliDxQoQXQwfMrUTXGGCKbmROqcUdzrO1AlDaa7iXRvnsOl6Foo2
T+bJIfV7FcXO79lfDoa2ftlsfVA5J3+y0H602gwxDB5Fy8/XMlp2OHSuQE7kthx55wYpv8iLfVI9
rDDmR58dNFHoP9hH5S0h8ncVDsxeKg6fYVpo7FnPN0P7m4YXheUT7LCPKNlXbMtXwkFuTBm+rHE3
3VyFwQc55m2w7fcZyOIqyjBBFCPy8sHo2Y+K7Byl1Z08H67WiQuk9EZ40Oz1hhi6z5QGSQ6wggNI
Uo9FNZ43J95JkVHb+x5LnT471j2jyLQk2atG4rBZUr9HI/tjZMLCDQnzL2JNaWFvQ3APzKEE+qqq
5C+j4LRzXp1Bv/sEuK69uPsry/DFYZwbGKH4rHJXQTvL1mUMFqUTv2FnYPenl0RQbQJvYXM7EZuq
WvfvFJM2RayC1OZnPY3fJF2cQlwvW2UgD5++lfcGnK3dDR6GpaJEVDBTbkTNlnPbgFi/EDW26K+a
QCB2YisT7+nKBEi/mjw6+dpg8V2KEwwWxnau3Ei0JI957L5zu/MMGrAYeQAeTAT86euFj5R7fpN3
XDbYc8ZinLZSLq+PBCrEmOaFsTWktEqyRbSr/JKl5ltlwStnCDPUcXihFjaA+t5lwhIWNBgJF3hh
ESTiaRP9B2uOZFuX5vNCMKKZpR0s0ugoXP2hiF8Gclg4Dy0zU3HiuMTsSsal/QF0zj2xNT6MNn9H
+4FrM35l3/WSdfLJqZnKR20PRGl+sSJyBoHwURgk4pdo5etoxsSdPi+0FDWaPyJH8FosjnmNqXcN
tBlR8YWBmLi4CqAYYJAI3A3WltHCIsXpsjPxsK6WeknWy9B1iBQflaNm+YnQ9Vr0nFomnCyrpPRC
CPva2n/ytO+284MpGnOKR614S+HPKzf2d93gfoelB7rDduEuN9Zr/+DIqzkSKyF0FHQO23d6znUH
axR7GKBgvjJ2u26+0hnp1SDHIAoqeW8WTrxJYJ7JJ2831zxDUCBfS996T9FBE7bOLp8EWb53u5l3
iZN/44iin+JJWvnAsbaWbR952fxdGuEE5y/g7/Sd34l5ih9dc91klyxbmEOzgNad94hg2DC8AUAM
rRYvMN2ngIDtAofPpojB2dj/kjiTY3qnOJ1whrJcWhtlnQRRPydbf4or+kr9KVGLrccY440z/WhC
w5i8lPy7pb3CwXNXZjRuJHIWEHZ/4Jpf2xiplJ2Zt773LhlovuG3bos3BGkfrpl5Zx4aY/6DR4Xd
uEeEA47Ybwdz/1o3fZAZzW3Jl2ivvOK6+HQD3kdYIxMDBDUzPm0/k5n1j5hR9IREqZguQPwlep8L
91qi1lrX0URAORFPrhe7G0cz5Oz9CvlFPm00YSorc3jtRLWWz0tBQ1mrYz+DlVMlFWDEzQFNDTHG
GYjBy4y9CksntPUFWolWrtpRXR/zxFcU/k20Qx6NTBylbwvpajCzbodMgZg1qXHVoE6tUN/EC7J0
0VT/0gEWwTJeCQ9ivWzx+Lpj3G6mAViyO2L76bBGF7HVHesaaQ/Nz8hu2ENUpZbk4NRPeeiwYnPq
5bEKXOcPi0yORGhrLXQjAxiQUxpDcUwcDO8wAhKSxhD1IRhwPmJkfiMhlYgwX9BzXZYHfI2Ec0K/
8GsHfo3GXYzvtZcl7HQ6BeR54mmNHuXW8tAbif1ErWS63cP9BaHw9N8Ps42t///TI9J+jOi0u9K9
hd2AVXjGaK+pvgTsjY3fje1F2eMzOYT23rL75JDk9svEHObuEDZ1d1tWUOybaj+NLxnrrSA3udvb
yrbOxHhuh8USz8RQALddgOn2FWXX4LmP4He8s4n3Tc4tpuElvZh8hOtxrGjJgIXi6dDCeqJP22oH
840ROte0Xp4SOZ5l06SrRJXAdXpvPz6y3pe525LZ5YFNfSgPIayOCxFzpH+cIZfcFrojYmoGMlFD
ltRFAb0ktOctUVfu2Q2IiD+im9pKEc2BHBm7D83Sg+GwrH05N/YG6Y+rOcpaSep2bx1br9pDH0AW
iNNwvIUkO0wqrD9ENqLp6KMD9LA/hSgv0iSJUfgE4GCS3rMWyq5uTAgIFEtjUyeKww/6wx0yK177
sNs3rdMcMBBsZVkk7CoK6zEm5fKuSrhKk3mECTFcw0wVPFl1Bm8VeoJCMw8GzT76g+1fbZOAvsEy
B17Q0xwvE0qBdNxgXTYx5mA4N3yTKDFs9ZvJmSQAJQTtjoCjWSGCxNZmb9vJALk1A/h2lbXsp6EK
SjPNDmS/rStX4nrxYMtBAjcpoVHOG2b/27MA5KAWvIneemDcxIW8dXM3uCIYVMOg2p0TdhxIlkpB
vpfnUxunxs7I2n6PmdQ68pQRJUd0RDvpcxYxenGHu80G5UYokrlumRxsGANbe5ossn3dMiIpKbHP
/iKfvbbVV810ZEOK6nnmr34Dm7gn3bjFsCb99eJBP3ILBDAm5V3yQWipf/V4hznpvXxbhxbLPERB
GpPgfbDFV1m2AoZQDyChm6+aqKatIHVw29lYiL1yZHsOVVDM3TGuRQFs3ldXUrFxgZJr6UIW5DVV
9rGZCM9GXzMqIJuF0/JG2elCjZjshiQsb7MHojUaDHFQ1ShPvopRB4VPOPfUS9XJD5VP+mh55aVK
dftamaY4Yf/4cOaeUwOF47YXgLCasEuugMiBMMa63/VUl6d6ApC1eP5+sv0/pmvab4W/3Pwhab6T
lmUhhGUlbRI1QX5dOrQoeN3HdJOMOgJFWH7N3GQ2TBWfqfjiFp8snD8zG2uhCWckLmeCwHpST+aJ
bQ/1z4/EUgnJNAKjX3LCJv29BeDMaH80A+QXxAyXrFacpj4SDCc3AIazgyl6eiwZ4koq1apdWM1n
U/FOceMeUKj3YDwgCnRQd54xQxUMn2RvFOthYKtfKQaEuLnODmmqgU3kUv4w1xP9lJUdiUXdNO8d
Wqy8je5Jm6C8sp2dNoY9MDvmztSHY2JvaiMYPHGP5ro/N07S4ZYaLpU/vI9O6qxHazNUGYdbnvxw
+Jiroc1/xzAeTtYhnnXKr9whSEBFWjOoUnqedkVO5IX7p2kntffjR4jvOzQkEkMXZ6+d1Lso45HL
FJdf29aJ0g9eXW+V/87dPvulxno3ESLB7me0XtxUOlt8cDZSUryKGEbCu2Gyt2ssTtNSkNre8fr2
oR1TgZAeQAUBbNPKkK30+bkJC/ec4guixcpbrCxRuJox0D1n+adI3g1GnjG7lWcLUB1hChAKF9vj
0XfwURDgMnmOt6WASAOndJBRe4C/y6KFVDTH9m563FrW4yGMO+pEGMWaJqrU576X9O1V62zINHHW
NiKgbPStq4tm3o57crmiJSAkbVx31SzwnG+Sro6ObtWPT6Wr72aWxSc2YkbW36Klj5/dooXJjJWG
Ya5C8Zewl1iImGDjdf3vn1TDQUCPCvGIrYpwlIDk6fxCbJkE9szYo8P8j7S4WNSfek6HF6XtFyX6
l8LW8Znx1FeLsf3YhCpZh03dBaEBom4Mr12bb7EEwO/XcrihoKTVncr+3lnfse7Ua5hJPPbo+djR
MohuAeXcytyS23ii+42KcKclnllWRvrOhIYuAUXFpnGwPnYy7G5FbLyxY3c3MVbo/YjdaKkM4pqS
7KHPm86YzzA5ooEMgZstuMwvuWG+tD1ss9CaiZom/NKOQ2NLkELG4iopLw4JH7g/zQPYiI94LP/H
3Jn1xo1kWfivDPqdRnAnBzP9kMxFmZJSqcW2pBdCJdlcgltwDfLXz0dVP1T3dBUKg8ag/WDAkCxl
MsmIG/ee8x116A0errkK3rJVfRO26ntSz/21P7Q/Yz2rQwtk92ynSJycKiYgQwLRARvgE0ooi0OZ
WI9L5aozfLz2DP760I0O8vSh2ZuTZexZj3aTa+1CYlEvZhrrk+PG3/IQTHJoZRxw5yW7As/EHSG/
2rRhNuXMOSVYa7qC8I5oJABuMymV7s2sh1oH69Ly2ncXu/YkKoJRqvTVW5HTHdQ3QZkeKJgeSRY8
d7MDpIni3+dHy0YyAmoQniNiyhBTMlThZGul8rosaQ0MHkegOKy3jDYz5gfLY089g9nWpV/Rgm+N
g6NOYYBB7IsaaQ70En3a6ix6BP7FBbD5SvDqs3FmXtrtuK8MyWrrlAnxElH6ZmoGaUyCC8c4E+RL
oBYpmNsRwDkKB3UQht1esa5f6S57RvG+HKf+oHM3+97Z9FIl4K6INo8AFhyPzyw5UaAWPgNvMa/M
7pGDlnwKdHcz2AHSqL51Ycv3KGG6/o0YF3HJcVIMhguzOcUZS9dsvHBWf2Qgkz84gb5mAeiOsXR8
WmpCPC/NalwLCoZBk/mzFhUZJbH1bCA6WGlE+PaSXOCOy4Tcx4r9rtUKJIf1biQc5201T0/UrxmJ
E8QvIMPaoqtg3fc5RrpyvjA6R5VvLsFO9dg7Zlu/JFV9ETWiWFf4GSAc6YMzpIM90U6vmRE5ZIvu
LFHjLAbrEHOp9guG8l1uBO2W4KkwIo6QHD2rDI4uARNGOtjbJskG0iwVjy1gn2a2zQvzbTjAmgiy
apLtTaa4U5McxLak5K834fWYg8du/PcC1x+e5lnd0lbgnqHU23jLKhAqnW+zis9LasUnGgos/hat
TahCTN97C62+VUUsZJe66fzbAjHqqoyqGnmT9Wn+2DcQosHZnNgJ3ydHHkFfl3sI4HsFNW0X9M9D
2RdHrwuoW4v5aE14f2c1zowmQXOH88JAsAu2oaFfENKxJEiD1BG7gd7WfO9CA9nAcAiF8Wot/evY
KLiMGhdLkhB5lNkfDiSfE2zyCbp8VTPjXlUs0prvhxTrQJZ/S8vyrMZbs2CIypwv35BQgkNQVgyP
2rSFdsbJpPC8aot66p6ViVQam7lQ/9ZS5W0sA1aWLpOM3Hdz7w6IGXWCvHaibogkfLNJivwBpGRg
if7JXaaWKGtnvOa+7J+AM3Q7AENqTwTm5IBvz5Xx6toMRmzptyeB02INv3Y7j4NHOKwDKHLmqpGU
Wa++rkcA0DDFJ5ruOI413KAMiicrLTJHSzGoxNjKkZizmyxepevx+E7Lxh6nNdji4qC8K2cS6IY2
ikV/bKmtrQoMk/vNdfST0iOa6oEma04FAb2tCuwzY9unNi4QWIwfsgCJVmILzhISla3AvqWFyK+L
jdeMrHcdizvZYkcoS+RjxMv50WIVT9PAgI+5PXmTi9KR1QTeXVs1+5Sh1U4g6KRFhjR9ncZdqRgN
DBQLdIVBiW3NJHy7Te3xCAwtezZ89zBVhGU3HpJsQRb4TMyBSvZa24DrPJrHYbKXseItW+HOH6b0
KxYYNWcX7RNhpPCAFfV9kY9I5Q34OjhGgB/1pxrx9NHvpq0xuqAsgk5tHbHMW07P7rnBI5Y5QfOg
nI6+XJImv1gdHrrccQ4pVtjDIkkTxdbkRO4qnrWcdoDPeyQ0uoFhjkdfjtOpg75/9hHuMG9AyxTY
ZnLWCZPgWZnX6eTztmxkej1n9sCaOVpo8WRPrJNse+XVuDLeTTVtIBwZRKinV0g/OwSthTh5tnMs
YeOcPYvAa8+OiTE3NylcbVu7iGCM+gmo2XYx5jDyQxITakZIt8vQdrdVyMBFzuYvSIwoNbvR2A32
+BLi6N8oYpZOgdm8xl3YbbFJwx9B7ooZZSqMEwTGXTk+CY6QQCJQeNZe+ZYMJf3nZnpB/0RHvSHx
UCEJJsvQfclQbt2EKm83UNiZySXJ/edffP68LOl+hPyBfScHyPH9sclb71yFoAAHBgewqba5ahbM
yZR7KL12HBrm7/lSv7AN7HVZ62+u655CqrLrqUg5CgrnJOKaFDy0IKkmz4URokTYekYTb5GqV9vE
o9AgDxbQyMikUJVN+WkokvLOoAWxZ2++mvtxbTPIElEn6EXDSRKUnW5NFWEFOzi4LkQEx2noKSVY
M5BAmjRf0UkuQasPukuewkE4W4ayxqMF3mbr6rGFSxUwJdbcmCZQ5U3pWvWV20ksbeuo3lpIGJMs
EEj6XszOnVBymJAKalBLJGf7N5r0phvd07mTSz5sjKkfbrwFJ9Cos3AfTqS62JEfTP1dUdgfI3Dz
20KQFkp3r9oaqYRdiyt6gQwY1YN8KVXb3Xecuz17KS9WwXSmHHvyE0N5N3+3U++I58x/g61HchE5
fB6F29HTbvZQVgC1hMbgHcBxIi6gkMQkjQSv3FSdTxvWXd0cRuGzhtAdCONVcDelw26cXX1tVlQP
FmJNRswL+SsGnEI7e4RORHyuid1eeIXY6gxGwojD+sos0IrYrX1oYaqCku2Pybgx1xXYzEzSPWr/
YK2IFEAO/d4q0h/MeS5BlRD5Y/pgZJsF837OLS/WyammpTrabMZE8FqWcRxp26LVz60bBEUjlrSn
hUM1nwa5A6uyrGu4jKHvodDxW3ETiNBk1ugeTZxnl8+/0Na9eJLIw8VK9bbFVkInmX9m7uRdKUPS
R8+XU+Vm6V02dXfIg+Zrzuy0qMJ3a2mQQtgd1Rc82uvcQS1Uk9ozF869bhgyL2Z/LMbgvRx640TP
9Vvv4ynlgHbn2KW/WZxRo0pyikOWh69TTOhgMfySOmpnDnHxvcf9hpqfx8cyw/pZI69JHXt+NQus
i6JyttJNGQY71LXdWNxIeHtQM7BkMuh2K5rukNqyXeqV+lwEyoEerU9LmxdnI7HrXVauXIKiBwiZ
gudy+KghpAD5bZ0DMGgfSnF2C1WYRLi2vYqFSa9uuEBDpGoJuLv9F4BqOAOT4TbVoLWHBa1olXEm
qI69U4BDomTEfwY2xrnWXnZXQZmge1QQxGPYW1um/cHIaGk5vrFaC/sDTrQy0vJnn5oHqyJlh5qp
2zWsgTVqdptDddPVJCDE8s1RfhUtpfjZzOPBmJ7SKbnEExomb/XQjDN7U5MnlwEi1x34yPRWuzFC
QgIOXV4wUZCkBRHS1tzl4so1vNdWOAaWRGu9rulhCJrXzy4NQi9yoqW6oDKYr6YJEVjLmhTCP7kZ
m++G6JCphsExr93+JV4jG1PWb54CuNijwuKW4kiQ+c3s6eDei42XoKSlvGA1x/4csFubEOpAe+CG
kfOwt2nn39LqfrLjNjkxkqP0LVx63nYcnB1y62lhbQkFZ7rl5KSfZGTg9qA912l9G7diW+ITg2Pm
VLdJTdB9ZpVHVWLw7ttWXyAc4UexWPhBHdxOuVcQgCShp2myFmntESIQV8WxUYyklBTJrmim2y5Q
ceQZqF5RoV2aJmdJ8/vHphxVZKj4eYmRnKnEbTZ481Zj6G40GNRbFf6XuPvmy+yj7clFkqlzIgiB
bqLmexnYushbyNtQ0txJmCkYxOwHGgPdLg8BeU7xz9Genof2aJjB46zxiWT2/JjYiHc4rb27aHd9
TYeFTmazFZKvV+F4O3ULqZbjtYnmOiHxwgEC6PEwT8GMNGR5rO9Q7U+HMGM6jDqDnSChDBts8ZI0
vMWGLFNaKVAiY8Iua9BLXBeTl4wmNFsJNMoy8FGF+aM5MfBwg20/hi64II0waXUAlhOdyrbr7gnn
GQf9kIXtL8Xg/Sjz6Xvio0OA/uANIEiaGiEa53PIrHeZ8OgOBJYZVVWxGTLznDlc9MVcProUkkdT
/IQxqBE41d8FOrfayM+iG0mI8E1Wn+xhjBe5U1M1HaYYz0OQ8cDUdki07gYHBWkhisLSwTZ1WK+B
GHlbtT+hJvb8BllQTbwgubDk2vw0G6b1QCoP7TRO10m1Bn0h8wyL+DyRu7Hre+qkqc4JnJoNwFnt
RiT8dx/lPYT+CYJgBYTemCEdk6bqZ4MR2dCf4Jj6H5N0OV80y8lYIDfHmfR2XetdV07+NSQCjA42
U6HAKKpTb5ZHYKy0sh0ltjaZkJvWT8qjtCaXGboiCjRqRKeiPleQggkWiLS5PNf0ImKxnunytNmy
RnaBY+194b81+jG3rnWIXcqeU1ibZA4xLzYovyifStDcsMKH247s0wqPLWojAdq1VRvWkLtSJh+e
A+CySMmTrn30KwE2UA8MN54MGvEhqrspnR9FkrvcbvZj31YIlNkFrRqsHieJFOO+x1IZ1nd18FS2
xTcA4zjC1qdg8LKPyQQcb1oIiWmVaJ4fuox0o0j6zlkfQQd/OHP2hIwW+4vGbjvoClmsumMi90vp
8mI7QMzRzCNF3ymaO+cRRXB5jNeQ86YqCPcyHwJ4Nleye6H7Ad4eUfMm68g7QpLQbDMBnYa26r5I
qzuLKKxUGuLKJowIjDE+PhSn3wFk4IBeOFAlVXcxaOpusedi7g3MfGMldGAC17hLxXRuGDFsfaqj
3WzQXrYYaoecRGAaw19FkrTTAlaVWUVz8jzj943CeO3fjJrpVeof/GyBL1r2hyFN+CzBjXLYrm9o
DO4aQC0bRULdzmXjiGhvMaCCUOx8DfL8XauKh6xSpwA+L0DLGphM/27E1ZO/fnw1mOhOD91d7/2M
sX7slA7KXYDOMXUXFVUmlqEy5uenoCGXmJXMIYi5sd3bJWZcKXx5MLtKbH11n+iueXIm73Yp8oh4
N/81D4+jH78YlidulKL5jDogPExtemuUHpxTumOlrfz7ujyNZZ1TtGELLGV+VzQJdjXQV8Kse6JW
imbHwQhzCjFlNreHKxxxhVKO9Dvmt7ghOtA/KOZJdjguFEUgUgcyFqJycA+KgJed60PvGyBPVBK3
L7Z70Bqxs2x1kn3QSWOI83PwLM6nWu37IUAS0ngPFe6CyKchsnF6fw9rp985a+h905bgz5h78ZxU
BMyOG0XZS9YCw4dhDfgYvG6jpwZpupU9I99No3rhnC8S734izWzkp0RSN2tzAsKiznnTWY5itaFP
ULXMxjKe8CFEFBZ3/XXSMC2Zu0BcmR5Xmtqa40/f3eR2epXOPqx8HmybdC+oQijrLeFeYU5sI2FB
24tBliOvRMxRkWBAvmi91wHJ9HZvfBsUaz1jR3lwA9fcsxGqk1c9ZMyJ4DPl6LtE/pXZ9yoSwdpT
zbneKJM0S0B3DiJH72EMqyvkPbTxfXY+O0QZBgQah+dHCgqSVllymXT6zqUQW8kCGOEDF5skb3Av
xnRQG5LrPx+athx+MYmNGZcorBASm/m8yvZjqM9tek8sMXeUMln24KVoKwC7PA1QuGsbKgRd194k
8S+8JubPuxfcvAi2Q7KfiX5xPWOm5lLtNiDJh9k3cRDqlVQa+0K5up9rdw2xAj+64CtuvAZVN9b0
Q1B3Bz80nvCFMKHW2U0BG92gNX4YKUo3MtTbALcXqcdH9CSPJGFOWCx4YOaYeJyCT8gM7eAkhfNt
yPtXoyHSsMhGbh31FqTxVzAy9tE27bfBDS+6HEnNXB/3z9t5va+VZBTuENe0H+BPpk4yb5htd7ua
YGCOUuvhlnYnRjWyWt3vlKAvaQbUSOQfi2ZnL/F7bvOvSzjcrp1MiikPa9EgGdwv7KHuwF9buSgo
o1WHlJFeE/V1QSXJVYfIjKeA+Bo1PWszQNKVxiRVTQQElYmLelE8ch4dyCioSBMi2Cgc+PBJ/DvR
m3oBKm3uoWtKAp90gMZoqfYVioNw7F/qWD+TzIlGool/WPGA4cJm2pA0vGTF/G0zKHXgNgm36CGa
OZ3BasVQlWPKCxJVgH1O0AMcqt4BOEJiUUG5Gbd1r9DwF7JkVI73EM4PtjuC5S4T9lxizTe9RlXc
Dhn3G/9FE6gVCSWePmsCprQF51GOrm3ItsKZmqLN5UcVLs+f36/gTzQ8YMohujHaI/ThShrGgzYp
e0Mk4CDY9IHmfR3ZLbrRxYvJEBUe28IaQpswmNvYBdaD3fgjbTWo0MFJkGnMh89duU5ntZlbyBgE
qS5LtabXL3kEDvvJCOpb9ECUli5RSlS+DUOdz90xKUd63B7FPk1ud2da7WsXpHyuLA8lhR4gjtOs
c7xUCHQy2KZZnLINUiqOGYuR2YlXiAgHE91FONiY/BiFfF4MO44/OJR+7stG3vo85NsQMAxJtRaD
bUq0OoCAwbTwKM3skMpVhqwBnRqufraM6VYMZvCQi2I7uKNxKwmRGJYOe+9a6xosH6makVGxLrW5
ePY0m/yQWsweOKE3V9pboZZeYuw/T+TW2Mc3fWHeff4LKRE8AArdAEyL54FRrBsqi3zn94XY21ar
eML7aJjVKVaDjAyT3xm709Psr3nza503Swuo2dIcadmiyvRRJLr1PlANHwqR11DShge5VJepTj5Q
XQNbKY3jkNJRgQnEpsNIGlu8xFUNcZcB0LnHBEeWjnlaK8x8Xp6XVjBMaOvriSJy6yZ0O7LqqAJc
35nNI9HVSb0f3GPOzswEglUeuRkHf8CcnsflIdEMaxpoE9pKkj0ElNpG+MadrIsPw2RxgjpMN9Rk
2GzgHsPOiQvIVz7aS9a46LPEkwSZ9zFLn43Ym7R6dCI2wYdTi17PrspTQNIdBQcpCVCZRhwOMAK2
VR0ZDkQ8s0ChRBICSWDPssFvgtt+Nzo8qb1zH4QamA9iUc6rxrYTnB56TgRVm3QgK/oDgpAPB/Zl
FH71kuU5SSlDCLuh9krCB+yudynskWGoiedCkact6uzBXsv+mLmqBWxT+d9WMLwkIGDFjruB8Wgr
6nbDpXRxU66NK4NrE5tkP1HjwnxKI3TatBHtB56OM4l37s7CjMTOfJwbmvko7rYd4AjkVoj9KQr3
og7qrZGXDPhC/4GsaICxbOYsjHl4ccmYqLyCyGf5mpjDiaHzcw19GI0WGJ/aTfeJkUVy1P3n6hgQ
Wsgp8gJ+VZOVxFGztV9aI0iZaG3GmRh6/OqcCIP8w0iwPPs8BTFF7efzZbEw0Om4LmEhMfSiIOiS
3fpIkC68JjLor12OrtwJDmnZ3+Bl4z4JBz7knus2WmymWTatckJ6Eu14VabeeyeprEnkuIhpbSel
3LRFk3187rDK4CoweYcq4a51tVZwUsbl3W+cSLOGIiqkPMQiR6rTY1iO1OkNlxcdIce9ikUR7tYH
jRoQAljhm5HtsuoYV481gpjZYTsLuBsiXbPSjB2EP3zuBkOtiH2X6ycowtDt7b1sxNFWBuwR60mz
lQAFCMxC223CWU59tBa2W7FZQn+S2blWYEKnvvxZ0mdF8Nmg4qzA2lshTpAAAN2GGUbpzM9N6F/H
jnNWFuV568Ow7pkcLS2PmOTL4+K0OzvInjIXom4yPIOhuImhiK8Itx9VWJzbhv/ojgwPy0QTgAqz
J11WZjLFFaiWbueUQDMh4m4QWwGOo428qyElOQ4k7MljOiAmQg58HHXzuHzV2VjAz7+VZfnm9oKO
ecUoE2UeOGv3nBFCtJ9YCHdTkr75IXdjZoIzUxiorlwpd9xE79VCkmUrO47z+MyqmacpnFxyXqDz
O9xWYwYPqutz79cjq+QoSR8GlL89ybPSy9cSstxmUWzOTTzjKoY5EbFXACqBGRpjHbMlyGEgIxLc
rui2SD+sO6zY7JqciHlYv5duTXN3BYOmjjsSvjEK4svSiWbtt8C1wm3LlAs7JMdp0aTXPFW/1h9E
Y1Ko5ogbi5+tfc3qJ5HeIv/PN9rlzRIaRSFhgYOs9qnXLkdNDktkLjWKxC41toVo+afwu8NMji/G
mOAbGoMVGT8/uu06/539/bLk4175T2JaydRBxTXsejhGUNaJa/mpgkRComBtyqxfAPTxcGHjo3t2
zDKTRO1meMKAEj7EFFgOD8/nJkXjgI90mCuarj6DYtpSDjKAFjyaP713gS+uNEHzCJ/9Hwi9bnmc
hz2wkY20B1phmRHSwm63yPuoIhyOTFmXMKapWwJ/QSAQaGyyjljWruPQFWV+oI8ZcVubsmnQfZqO
CXGUmQQC0QsesZozKOG1PftSO5QEfRjlcD3Y81F0YXuXmKxkqLQOum0zUqdgkXsWm77vO2SnT/gB
AONCm5vY5oueutzgft/3La2eyW0ZiecYK7UGZo6d0twx7pVnixNhXIvD/y92813/53vdzG2Greqv
hx/1+a380f0L2Zx/44du3/q3XdVnPdPTH+388KPDjd399b/49cmPev3qhQYUsPr/2zf98Q/6jx+f
v/lpbn7891/e66Hq11eQZHX1W2qnadr/wPr8fEmfr/ePfkLxxtsaPvjRUDttFya3ZbM6fv75y38U
dQXW5fPLfvjF9nACA38Tn3/c337Uf3QN/vjt/Xox//h7/u4NvH2UNGp5Ytvsvf/tJUA/6vzJi/AP
P+M3F8H74gaObaGJ/KcXwf4SwF/krvf/TS/CP6O+/s6d8LsXwQy/kKsnAtcJf32X1t/fCd4X/Iyh
w3X4d7sF/FDw2f36sv7h4fzfT8Lvvn+eBOLifE6w4p/eBOYX/NnCFh4wXPC6v1kkfm8Z+OPb+1/3
CNiO5wR/bh34/XfvfQlZAzzzb8+5gN77m3UAIrDreawUAVTg9c+vj9yfugh/4ptYVdfvei9+vLV/
/R8AAAD//w==</cx:binary>
              </cx:geoCache>
            </cx:geography>
          </cx:layoutPr>
          <cx:valueColors>
            <cx:minColor>
              <a:schemeClr val="accent2">
                <a:lumMod val="40000"/>
                <a:lumOff val="60000"/>
              </a:schemeClr>
            </cx:minColor>
            <cx:maxColor>
              <a:srgbClr val="C00000"/>
            </cx:maxColor>
          </cx:valueColors>
        </cx:series>
      </cx:plotAreaRegion>
    </cx:plotArea>
    <cx:legend pos="b" align="ctr" overlay="0">
      <cx:spPr>
        <a:effectLst>
          <a:glow rad="1905000">
            <a:schemeClr val="accent1">
              <a:alpha val="25000"/>
            </a:schemeClr>
          </a:glow>
        </a:effectLst>
      </cx:spPr>
      <cx:txPr>
        <a:bodyPr spcFirstLastPara="1" vertOverflow="ellipsis" horzOverflow="overflow" wrap="square" lIns="0" tIns="0" rIns="0" bIns="0" anchor="ctr" anchorCtr="1"/>
        <a:lstStyle/>
        <a:p>
          <a:pPr algn="ctr" rtl="0">
            <a:defRPr sz="700">
              <a:solidFill>
                <a:schemeClr val="bg1"/>
              </a:solidFill>
            </a:defRPr>
          </a:pPr>
          <a:endParaRPr lang="en-US" sz="700" b="0" i="0" u="none" strike="noStrike" baseline="0">
            <a:solidFill>
              <a:schemeClr val="bg1"/>
            </a:solidFill>
            <a:latin typeface="Calibri" panose="020F050202020403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_xlchart.v5.6</cx:f>
        <cx:nf dir="row">_xlchart.v5.4</cx:nf>
      </cx:strDim>
      <cx:numDim type="colorVal">
        <cx:f dir="row">_xlchart.v5.7</cx:f>
      </cx:numDim>
    </cx:data>
  </cx:chartData>
  <cx:chart>
    <cx:plotArea>
      <cx:plotAreaRegion>
        <cx:series layoutId="regionMap" uniqueId="{6A4B1CA6-FE89-4845-9D1C-D06EF5D9991E}">
          <cx:tx>
            <cx:txData>
              <cx:f>_xlchart.v5.5</cx:f>
              <cx:v>Sum of Units</cx:v>
            </cx:txData>
          </cx:tx>
          <cx:dataId val="0"/>
          <cx:layoutPr>
            <cx:regionLabelLayout val="bestFitOnly"/>
            <cx:geography viewedRegionType="dataOnly" cultureLanguage="en-US" cultureRegion="IN" attribution="Powered by Bing">
              <cx:geoCache provider="{E9337A44-BEBE-4D9F-B70C-5C5E7DAFC167}">
                <cx:binary>1HrZjt04tuWvJPzccpISxaFQeR8o6cwnZo8vQjgc1kBJFElRlPT1dztdVZ2Zlbe6GrgN9A3AYZxD
URw299prLcZfX5a/vHSvz/anpe8G95eX5Zc39TSNf/n5Z/dSv/bP7m3fvFjt9Lfp7Yvuf9bfvjUv
rz9/tc+hGaqfY4TJzy/1s51elzf/8Vd4W/WqL/rleWr0cO9f7frw6nw3uX/R9qdNPz1/7Zshb9xk
m5cJ//Jm79tn+zy9+el1mJppfVrH11/e/O6hNz/9/MdX/dOwP3Uws8l/hb5x/JaKmGGeIvHj581P
nR6qvzUz/DYVDCWIkr+PefPcQ79/YyK/TuP561f76hws5Nf/f9Pxd7OG709vfnrRfpi+b1YF+/bL
m+PwtXl+81PjdPajIdPfp3y8+XWNP/9+m//jr3/4Alb9h29+E4k/btH/qemfAnF9hnA/u3qyMMP/
rmBg8ZakMeIpEejXn/j3waBvMeKCIAzf/xjzRzD+zcn8eUB+1/kPQbke/kcF5eG5fXZT/Tz8fXv+
G/KDvk05SeKEsz/Nj+QtZA6OOWY/Ipb+fegfkfm3ZvTncflN1z9E5eF/Vqq8myZA1jv7/PXV1X/f
nv+WyIg4SSnGP3Ye4d8lC0dvU0qTNObJj8Alfx/6R2T+7Vn9eXT+0P0PEXp39/913vw5zv4WxX73
xP99SYFtTzEE509TRrxNaEI5RO5PU+ZvqP9fz+bPA/K3br+b+P/jEvJfl5d/VNz8eXoufi3Vv6kw
/7r11+UBf/hD139VZH7s1fHrL28SQgn/Tby+v+R3peIP5/afer4CgP7yhpO3HFANIU4pFSLG4s1P
4fV7C2NvkUhinAoCmAi4B6Vo0HaqYWz0luCUxgCXSRyzNIFOTvvvTTHAJCEIegpBMEE0/gdNutPd
WunhH3vyt88/Db6/080wOXgxjDH+eOz7GhnBAo4XYYhSFLMY/9r+8vwAVAyexv9rGiZBrU/nvWno
KnvSX+qyld6935YdG5Z9x6rbObx6or7hNbmfO/H0/V+54tMYogwrdiSe3dRjdNcs6dWNKZdUC1Rg
v1a3KyG3bMbdO1ahG6wOjTLXwWxqRzzN0hI1z1HlR1kmtdv9JhR/srCUIEClPyyNEIA0njLYWkiS
70v/zdK8o2pe0nnew6hbTmJ3CmMTirkZsOxNmffJchvmpNk5n94P/bKP/NCeU+STAvP4K2bzeBJt
bU71NH72a4133eTHMzYfY9qMF0TzoULkzhpHzn5Yq0wteTlE/aMaq6Nl63qavv9SLnI5vJBkM8Hr
2bMxU0Qskhla369d1Z7ZakzhLFLHmYQgmz64OxvqV126G4RTfF1HHhVlmvR7JZpzQ3RRklVf6hFX
Mhbjqab98livar1dsKhl1ZXF0lJxWFY1nVBYKknGYdqtOpZ+mMqbciNOVix91v3UHTpUH4MV/DJT
duWl9580Orgh7NU264/lEOdc18mnYYp2UZ+i3UCY369mdPnMbXNfr6neVY5s161svLRxEu+XZtzO
ZT+pzNSCSafX91WN7wzVo1RjPd8GbXNvSHcetaWHLdBsRhM7LagsM0q6h7FJDilizc3WCXTtkhwF
iNhk+ziv24rlI+lpRuoWncbUyrHH5DFdXoOwNzSqN9nbROVrT+NsHlQkuVpd1i0TzhBumtNYmRwn
/Ikz1xwEmqPMusbvtFNx5mv02cxYvZsob/ZpZ965JghJ1rnPyRL0ifClOqz0A0LHENU449Uc71sf
D7t5HlwWD0Xs82E0w5H2G85nihq5ou2LhgyUAa27pNz2yo1n5s0iDYgH2df6gExzkyxVFqf97VKh
J9YEmfYSYRWyZBmuEWJTJtpFyZaUMq28ObUTeTckTbxDNPmiGlEeyRYKrfl2Wi1932G35hNqHsSi
5iM23F5K282nIcRFU81tHtuK73EbhicT0vNKnD1Xcfl5HJm9JKR2cuFVeqZL2t70IXzuprKUbjO3
y8T3NiJ11lpTJLQ+xvEm/dylGXHCSsVLJRe93bNtOka4viTTqOQ09vckVEUbdTpTIt3pVr3zrblr
2vlWtVHGU84k93QXB3K0W9zIhaGD2uJcdXUWIP4ynW2Txyi++uCkSFyf8WDrjJmWZOIlYjZkqObv
mR4GaVJd7aY5rmQqcLYWwqgy16K8aKU/0QYrKVx3xBQgbJorOCFNJMs2qeSc9LrQQ3LdunQ/0HWU
Y9QNUkTDMdmWi6b2RpH1QNOkQJA5WZXYvcNLZsvbbm1vRmsvqu+vLn6ocfKS4PJEqXUZ3bZrRObC
tGzf+PLQ1tHR1TpkpCdVkcy0kq1q3q1IwQ521BV8uWzO39jStXB+lqwK7ZettFZW7Xwc2m0t0lys
aJbV5s66UgEaSA7zzak60MHJSLWffeVwVicmt5iHPB66XpY9+TBF9pNybMzTiPYyblgrsTuRsby2
ZnuIorNG3ma6GrKUN7LW5Tke+AeIJ4BffCSIUelDGmeLbvZzXT01DYLAzNtJj4LteippxS7UvG/6
6b2PAE7pgqSZqiPM84SMbTLUTTnkzEFbdYpG4+Rm7TWthxZa6HWaupw0apS43256LtESjjFBnYxZ
n6fDeMcSdBjc7cBDIlm8fg6CpIBG5RmOGMlooEKmUXD54KGYxQI+tqT+0K3haje71/D6lcQXWoaL
JWyf0qKP8JitiG2Fi6r9qnDhB6hJKeGf1VBNsmOfbVO/x429LYX4tq7iNRKbkKpOjmNTX5oyMRmU
vI90u61d90mtGbcf9NCrLJl1L31TpVK0/orQtK9RF+VJ4vXBD9FNu8Ice9Ux2dTjImPSfEHxx8Wy
j9HSH3ggd6xyNsOokpS6qvDbqjNg6rdoHh7jwG70GqtiLmsEMBZ/5fMCgNd8KCPtj93cw9EtdSOT
RqBsjRKy1xXbHpFTvZxZyHTdCtnjqC22oX7dNCYF5Rlra3TAafMh1K3KfTQ/DgRHMjXRvd+ml35C
7KB08glp+3kxlmWaRaiYE7b3FuAl5pWSXGwor2yjcsrnEw2xkXHn+d5vUPyog49DO9VyE2VSiKnf
rUO/Fb7dHjYtsGwjUtRVHLJ6TLu8m9urmsqcG8hq5Jb7dWiNdFZnZe9UZms1SbEZv0vdIuTQQXE/
px1yO0TCLBvz4saW5qNydD+bXkuQqPvK1BXARCoeg75BtehlQ2YZajftKdaAvHN6iiJ7WoINBYPS
AIDj5VbZsdA87JxYb+vKUTnPn2CR/qqEIjtlQ1c4HG0SJerLsnCclyP/sOJ0Z4ZByXnwH8fFppll
9iai5alNyvFL6j7jzl5xYxrZWNNm89R+XigvuKOJ5LyZiihMx7p384nY9J50SS/JBCF0o4WU8em4
n+PSXX79xRErGoXavavrIxUskcLDPHAfKilsp6SuySYJxm2x8MRlponCfnLRKK0rUtJtu2a1btdz
X0tjCZbOLTbruu8HTNyaedug6A0vcdUCCjf+blhIL+tFbEUKJ7NhpsmxhfCKNNnDkiSOXJVTZrIe
sHDwAl5qcueJAHJAmFRBvEdlJVG3bBmJm+/4d0PjtNwRFkFBpGuSrT1Ks7Ch29CvwyGw6IOOMcTK
dA/VpJ+jaAQuRk8ED263MjZnjs3lrbLNRTByqLc0zZSP9AUNxGdpl3QXHCuVV8uIi5b3UVb78l7P
DctrNnrZpZPLfD8/pit/qoPfhSnp9lSvWtJUfKsDXoAito9mPvJkG8+jSJ5s1cT5Nm1DPpRDJbdQ
lrvouRNQcbcxHPotGqSnuD2UZX9do8Htm6AeFPIf43VtAYNCKruqv3F+LXgYtjs91iPgggXyFsh8
UNiHvRD+3dzim7giVWbGJNmb5cnMkc1p4qJsms71OGTNOLOiCluSBzTf00T7HVqIAO7Xvm/CsUWa
3QC30L4K+9gD/+YqZkeqvVTC1ntrp2wcE1REvc7mZD2Vc1ceaRLt1sCB9TQrzmhUQuqagqdj/85C
kVHt+jJyCmV1U92uCih3af+Rj+GxW0sG2VDVxdTXMWCAKeYUtpwuqpNJH/X7Bn1uO+CtylenVIUv
XKU0B9T2meFQHHUi4kfBzT0n85WYUd3P0ZzcVNX2Doee3nnRAiPqxHAcu3jcdSvZdVEnreprGZrx
ho7JdSppUXYLcBo8FzPrXFbT9LCVpc162u57zuu8TZcdL9N4zwOoBOR3fgti12L2ZaqBPA0MXbw2
8W2rpuvq2upChii+FfGBk1Dfpr2Dlbi5PjQ0laRe0L6eqT6WIXRy5G28X1fQVA7bsEMhjrOKbzwr
u4CKJOna29pyflYan5Jp/iBsRWUzKCBARMZ9zlgU72xaLA2brr2tnpK2LfzYHIIl8wOKq/mhqqHC
jN62RzEtVC5mqHeijOdzO37qGU32qGLmJnG43lWwq/d9y5Cc27nfGw6p0y7x62jri4oDz32SwAkx
C8+0wnHeaLtcl6FerhtM7NDz+XOz9t0q/3dDhACBQiuOeI3ckQNKb73ebWsaPSRzBNRt0ZOkwmxn
tQxzIdopylqMh4NQ27tmXQuntvQJADG9aedlkGws701T2ocusXUu4sEcKj2dPOdqkMrdGcLIk6tB
2aTjlrd4XD6lPD7NmH3uydwfe2SSSyweEtvVN0u4LLMN+dytRmoeQyJO4bPZ6geg6M9sY1/iNC54
XVlZNvyL5cD20hnQsAtyQfFpcwxs9hUojBnl4iuA5fqcelZmooNNnNr+uLahzkrhd1WM854lnzea
3tttCFKs3GckApqFQUl7YDMNfWwoYfkUD5cVG12wAUnq9c00lqEohTUZSOYMTdW7+pO7luEQoaXg
SRxkvd56ArUx+jiEtjv0JImyeXVPSy0jUg4StQIwgwqcq8lmtFoKM0RKVkNZdLWuD2Ehq7SQBpq1
HyqWHLaEzYDH7Qsr9e2SlHuRthDwtVGgZPpTUJbCxpAPaeT3gqNPaRVd62YSd07R3M+ly92wTtI4
fBsYHWVlljYzwMKOU+h2ahhzZ8fmsQ0USzNwsW+60RaJS3A2j7O+UR7lU1Sawow6Bc+hf2hVra9z
hUA1RhNQeEjCPCZDk1Vi+5aMutp3aiNZj5N2FyH1ZfAfTFu7SwsrE9hEx2aTfDT9XjDTF1Am1C42
voBoddkKoqZfPTwz+1s4p8H6pkijFngUFAczIC2tQcsFKtb8rjMYAZVYUuAp1ORVQ/mja2e6S1qf
5LFvyV3F4sI1ZXMTRvcuxWvts0ByCP0dMnN1ULPX55WW+iToJ4xiEi5bgoJM2o3nTQjJgemVZJy3
sHFV/ezjIjB+6lx9ZUOdSptsIBT0lm1bQftZSKBVtziqC9RO/R6QPp+Gme7b1xBL1g7LuaxH2Lat
i3M6RSBNIicHM+dsKL+qNNkyz+LD5rfXDU3vRkGeEVul518SMr1guzWZ89Nj0gO32IYIy07zUyPA
YjBtVYJuaG942+ViSy4mIbuW10+lqdosiaf7VISbmXdWhqq0+yqOViD09H5N510Q25ytIyikMdj7
zU5bNvZTI9u1m7PBLJuMS9Xf8BqUHi1XXSjRgy7ez1yvO1Z3Nl9FMu2NePVjXF91p5csmSKeoYjS
AxrVgVdjXrLRFIDkk0xRz/LSYbBjuqyfdACeq6YX0Hbdbo2ndQfDVdK3sdgvGohL21Anabx80MT0
p+o+stOck3nGcq3csBtiABzuXTZMwZ8iOoqzGdMqj7ZyzOa+sueWAp70Q3rlnGSwjaW0WH2ZLT62
MTn0ak2PypCPfaSyDgQppF981KaSTZokt8RcmnWx+1IPi5zHfJ63g+iaOefW34pyBANlwzsTzAcf
sZNw35nWiq7+O4hN5fRxQhORQz2iLMLV+1J8MywqxAoCx0dUZa6pG2Dt9FPD18e1XJtsUdbIQFMl
wWHIZ0jvGBw06VajcjIhyex2tusMElFd/ZjufA9Fmgwk537c4ICUuaiGK4nsLrQVCDq6JHKAjK4G
k6/Rsk8X/lSRzl9al8iqJuWuWXwjVRJHF8we26ERUg+gf0CaXIDW4j4uGEltFum7ilN9SkS/K5W1
t6gKTPZVO2R2wRNU1GZXVcpmrGpFMWvQG4zEfba14h64lc382BEQw1suQkMLFrkrXpvriqcVnEdz
lyY4uUDl5+A+QPVFTTOdJx01csBdecv6BWXJ+mCqEd+bjgLdKvVDvfRPXPQvC7C3i7ARzzHZnrYJ
2Z2dAv5oGP00RnF1iuNBSyLqQW5dMmaDymDD8QHB8cwtMOrCKHQc3CKryfCM43rYx4M9fj/qmaPt
wZawzX3tYikYbs8D24h0wTw65r8BW+4gr4x9LKsyp4OxeYLJcJPSE5REdo5G/j4Nq9uvVj+4oUt3
ggHp1HHY8m0W95AadQEe83Z22CVH06IdtfxqjYGTOm5ftmgpMzWWVQHD40S/610J52RyJo9YlQ0l
kLqBKAFVpPf7IXyDrO+Og0nKvCJGdvF2IzAJZ76yx21QL3WClDQIDAo2qK9Cje4hjtdn5BF6p2ik
d2VwIARMu90QWGze2E0VtaUkh2L63MEfE1wwIgeo6eZovPOyFig6gm1zp5pyva3Ih06o9jukgIoI
qgSijtdDy4wtemSnjzYxD0BR7qwTy6Fr+Xyfhi2SdnVzvmwxIK1Vh0S0N92y8qJqtiTr2gA4ONyv
FhQ6b5rHEJoL2ZpBDr6rZR3FKousas8qPPXtXe36+pA09lHr5Tq4utu39bZLFWPgocwd2KvDuxme
Kbama+XsyScXkeEVfMTCLoKfsYI675b2XVjrCYCggOGAyfg0yVQcJ8ehAwa+qcXk4PBKCwYiwpMo
4KY73dmh2XLexe9xTXYILK+Cdp0Ei6+GaujYrYoCl0HpFWyrcZNjrGUfJSIDR/CpAks70z2m1wXr
bKHjLpiu3wc3goviV71vWLOvRH/hHTlrj8c82TqTI/D25NJX71fbt7Kz0JcrW+5mnOGxPGm9tmch
zHVW7KNwft+QGFZOd2M13E7VeLbYP2Agggpk11JdZtEdFhz7zJu7CgqLi+ZdtKEvmi1jRogA4DYL
OFr9SwSWfZTaWfZxe9CmTqTX6ryu7sHOd9xDWkAXYCz9KxAkuaQikiv442qDYgW2KkogKAiOlZ7u
xrhpMkL7Z9WoJ9DRFtAT2IG21wZqu9a0z/lGRhjA5Fsaj9lY0j00s4yC953N6YGq4RMkZx6Bi7Zv
hpBF8QrIpy4UgJ1jcksc6zIgzWsWNaqUVSKqYqGA04KXuxj0Xgu72KR9Ni3g94ijQmkskwUK0vcr
gYX5d7DHtyBpObwAKHO81lBPI35d4bJhWclTEvlML00ideCzpDODm4DhfdSjJ6wxlmw6x/14SmIx
5KmYgOdh/4mh6Gvr01dq7XnhE2DQJ8IBgpULHx1F+y0tBSCQr/ajJV9C/N5RfCxn2J+tP03ruIvq
p6ljkWw5LtIJcHjuydWruJN7AaK/jWXN/UO87PGEdxWZbKF6ft/PPQirSmdwxwVOHDif3xxaLZi8
LOP6PcHzRyP4h3mk5wT+YCBjoAgzM6F7QLcn1037iYxn+EueO0oSDoTWGdAa8yyhnoA672oQEFB1
DdZfy433uQ/xaQLKWDTTLBUQVO/ydQi3sWtvhB7sgYyh6BC6KevmvTFg/nK415LTELsiMlYSBBb/
3C2PipOXdsSgeMRlmsYPLRizcCYuzIqzj+0rw+or4fOQazPez6L8wGoiazPfRXV4NcZcofR8m5lq
shbMkzBcxo0Pu02gXQpqbg+nEPyToQBxrWQipjFHdbhNOw0u5+IPXaTfoyqFwxdFDZCVjoI92bSy
ZJ9FWsZ5j7YHq1R1Li3NyrFiWaRoUyy+tFJvOpGlBz84SfFHr8rXboqBDKaz2GHN0hwkudTTZHcI
SKleuDsoFuTgfAKm1LVJ4TglZia5me05Yp/c5MPZMnwAk8XkgpVbPo91V3Q9/ewD0JeUt0fH42IZ
p+U0mO8wOUY70UamWF0UH8t6BVOjcQVdpw8NwsDKO5fmcasKA8d0AwX5Xa589JMlRUQZmA8c9YUR
y7zjfPOynHhbKDqWBamjh7Y3RzeoD3oCaxWvfV8soDtwlOBT7VYiSafQrvIoAy9szEI70YvogXLE
LM6MAJoV+YqcxnFEe+xVdAwpQAZz6sRRBFmlu6wjJcqXriI7PSf+FLbtaErswJ9alyuuy3xx+pxE
rv80qO1xFU9ti8r9gPoaHJ952kUkMrkSEVDFPk1k8hxh1oDNUIKVlMylxCycALM+iuQ4lQ0uqjGU
ckTqNUnT89SDMEw/rEaLrARZLT1azl7j98RGYLtpSEg9usMicvA/TJaUTb5hO+VrGcaMoV7k2Dfq
DNbOzYZJchjLBWwGSj2YPulnXUGVsTo8B/CEGQEcTZdZerw0+Rq+xCZIS9cvw7LNexKpU0yjOGvs
COqh3PoiROQ1nfmh4vm2CnRjTbzk48pKQFgWg4QbHxtRfdUuhhKt0W29ECBZi4oBQzq8G8fvcDrw
fj/E4IzUU20yv3rJmarez4R8m/vlDLKeXoe23tGVgGuouM7LGSY6AgHYqXUEelH2y7FS3YlPbXvH
dfPM+n7vx2SSUQIKvI6bx22K0R4uWc0pgD2YBm6hKNVrgaPyEs/6idoS7TTias8dlrSsejAwyy6v
6+Fj+V3pJIQLWdr1FSrEDRhJPZwk4fLNmz4Hv7DRQBZwFMBfhNOZzQ4VQ+RVEZG+3UfVyE8bAuOz
iXiBlqjJHbNobwLwUryZZt+37nZSPtnHVa5QN96Eyn6p4lqCoKxvp/C1pYq/V+EebFQUwKIGYy0U
47wdacMuk7XDiSYLPhlDnju42ZEtkI9DuthTY8J4R1D7rS7xx6FraQGKDMOtLzAg5E02qUTtXkAs
mMskwD8e0a7rVQ0FfwWYmvBysGY4OTxuR50M5ORYnS9kcDcJnf3O4F1TA89fWLPecIBhBhfOn4B6
01O3OvM0zwy0VDdA0V448ODSwt6U7toN1Xx1oPOzbe5F0XQoV/0w3dRlc1i3oXsstYZClsy+WOoR
zOZt2M8KiZzV/BudAHlj/l40ozh6II5HP9o7EJx3SuGwM2QxeyDkIzglLpDbGG567hgDBWM8XOVB
snRAWEkjo7Z/EX5sz70W426OxIkBywNzbXpQ5TLlXZQAX6CFh1vLlE8vjevoeStnLRsvAGpKgrIO
41QmBizTUs25WEpbrFv9Ph11XKz9+nVo4SJQA5afRpDWQLjqphC6fkxMgMehsGQtD6+ohqsKGic0
r0oQASnwlxJ8qYwTuLxLbQt04T+JOLPmSHF2Cf8iIhBILLcstVfZ5aW93BD2dFsSqwQCgX79SX83
52J6Jjp63GWjJd/MJ9HlUBO67x2GTt+KuHTYx7m2vyHwbx6mjcNB1ffLSY5rlBOwFNCGjbsnvYW0
NyxvJYxbU8umnPx+2/cD0nNe0dJZgYgOnpExXZW1tA8zhowl7+KhBFrh8HDHcU8WrcqeTgwrija7
qEqjzP9yFDt27rFMk/Aa8tkhGhpcqQzkpvBvNBTygFEMbmaYymImflp23UvrN3ndcnOp0himMoCE
rEEsuKzQpn2z3NO6M0+1ijtkIf7L0g3+cR470BoCB7IIyGsokFbS+CdeZ3Zbe+++DAsSbeL/SaMm
3Vf4gknc2lPl1nxptMm7dnyvnbpOXNavq8MtH6r5eZR1dSKtQarSamj52ftT91Dhpkf8ZXBTvkdD
iwSY1ncClGPveVQ/RQFPzpSx1yFi0OPurYr7S5xEN7qqv+3qY1ux+7bMRTxX8C7ZjUEi5D4N7/j3
1RdeIbYEvkBv6swbk2IIvNwP8EMfhmEqAri6a1o9MZ0+2mrvLfTdq7d9rfs0X1L9TqmBFA2Tv6Ib
66yP7Gn0NpItLD4mONmz1Ute6mZ6l/JvNQ9fkv9wY/s9howLHeObt23vti9JlfaZ5OA08PDfApY+
1SltcIY3IpMYMkNyTxZyGoU++/0M9GFM1qwZ1Fn6LhOh/Emcek+RgmPC+Rmd+AlxwFTIcrN+qz+m
CbI4fid1tP+RPixbhj/tSz8p6tH/IfV69NfmFEfbV6qiYxNqUEUkuWEAerG+voxpcAxke5nM+rx+
TkOncHO7LbPjY6CivWtkRof2I0RGnm2BHQqR4D7B76aT/I8m9tE1fiZTEBNLcoRS3kpbpTu69cHZ
S2uS88qN18HvxWM6wmPybkiqgm+kvFekEPRPtdU/mwEHktbQRotm5tpapnOm1pv0amADetvbliPz
BOPzvAjv2gas/lwwF+dVxaPC1xRTch+PDzWJyIWsruxJ1OO3pNthHp4e4FCYdIth4Cbu3Ln2uEr9
XTe1/iM89mjdB5u0X7p6G4pZgndQdjDHlfTFHFH5rCipkPoFU9EGDYOnqtorl7Y/8JR8+227lSNv
6tvEl0sMb+kSEHLpWDy9EJw8GaFS5EbJqahXHZZuGDHmpVsWeI1XNLPxS8agdCKefPFAeTkn0WmN
EL03lAsMg/AYVmbzpJ1FvoKd2OFzs5NYEPp4TbDXfNyZEQZkQ9XBACLYkwrB+zas6hSJpcv4kjw4
S/l+jqzLO+zeQk/tPkCMyuGMFGOUuEM76JsnU4XQESpUbdNuqoL15JtPL/D/G0XHCr8z9XlYNJwg
WRUUxuHTUtM/3F7jeR5PqgF9ERg8rlSJYxdP+Fg4v4swZlW2+NUOy9W/ytRWJeH6pGORexgpvjQp
ItF3Wbyk037htYAL7CD1OgQ+tLPRrgoxmeoWuVuHkyuPYnY1Ude8sFCf2rWtD1HX5rxe5XukfmDT
2gzxKJAaF2PLqRkB0O+UYvm77Ag/cNb4iFLYQ1LjGKn5AF8Bc/ISZ1Ul14+gWsEIbYk4Nz6ddl5w
SX9Jl9VJ9yiV/4y7BgBN73n7OgErEHVjfLSxjYvZxRTb1u6X1JDTHGOYrCL6COTCnJeNjju9yoPu
YdWnxJFSYJA7Bk5p2GoDQ/5ncNiPpCuCjdWIotLqBk6BXNdsQo0iF1PqPoIeSoqSxNwgJvrjGmAW
ZD2H6wmp0qbRdglEgjR5C+M/SYVwVmhV5SN2VsMG/3M1sMHnxf1b6u1ulubUIH24zKkRL1OyCKjM
uNlHElFRPatCiw0YiZTFYpnMNY++Z4v/fxx/xZoE//D7i4tWxI3tXW7JayraJwg/eB/JdrBA5XLE
V6+WiS3b2vZE5qTYZggyyGVWt6poNZ9zwdMg61z8EHE3ZMEAHVKtEEqNhvUAM26ZvfUDbgLmDXzB
NI4taJ90ft40u4SsL2r4nB/RLymx0Z8Wg2scjAAwyGe1htEfG4XIBMOjxya3i1LxDxdsOINCGHX8
M1SszesFAgW5b0qjp1qkQIeW4W8/TbBsdIp9b/tsSRR8g+Z5iCVMNXesgNvs3BiSA6tslSdivONG
m66rWjALA6k6ImC9LogZT3Q2752iDoYVgMI4US+KinanEzAklHo1ToV/PNRHr4947gQkd2CWx8ZL
ggfhyXPQAo+YpVnLYd3CfRNc6JL88xCljt5S49ZCLt8l4u4DvEJ4CQapHmZcb903X+P76tdLtsEu
u6ztiXlbkfQ1uyRiuS9qOpOoeg+Wtcu7XhywYpJM4N7KcF0hrWX0bpP0RCExkYxUmaXTUKh263Oz
8bDoTHrTMj6TbltzQZAh4kJoM0cQQ4FXiwMExSvr+G/sa3Iv7h7YTBGS1DGCh+2ES2CoMyH+9cLs
VcgQwggsIWQmPgKcnMicieZ7avsqo84bCqe8tSDTQIHveBiVonbNvDmSe9/XeQLLGINKE+wSD4ND
XQ254pjYZ7U8+FOlcLuOcqcs9pAalq+V7lat3oQKQDCycNf6dMs3OO644lOaj2OIkydCOsXapmjx
sfOW9XfXJv/pevlj1sxa4/ZIr9O9szhfsPwgATZAFCNZPjWpt7LiK+bnAEE77wFw1bi3vGDAUTTq
e9pZaPKYIw1x9CcUcAQBMkIfjh4oJ2gs2we3Xr4voruM5Lxq/azs5iAdYT3UGAm72dsp1z56J7Z1
ZTVjJiZYQRn1yFfsD2+h+moH7Neoq3dj2Fb5oKc8Di1Cq+W9ZoufsxoIha+inRh5ERj+Qa4WrGSl
Rjxi0j/b0EdKM4RgLc14tBt5Zj5/BxlnC6Z+5qZfMjNOU4ns7j6CZMxIP7alZLhZJMel1sTPyq8/
TJ02eboHQINUSo0/xqqfKh55voLpMFs4FARA535e6R87MZelwaxKH0ZQt0E092Go9u3m70iLLGY0
I6zp6BOB3E+IYCKra2QMPI6/edwhKfNvrVtOM6M9ZlTP5CuSZlgWGBicex5rOC/LsOUIW76dgLeh
xQSNj0yujxDgehxKSytLysBPz1NN/vNc+j5h3nVTMmYpB1y5zM1Ty+j74MMLnAegGNslFf5z7JII
pmTq9lp4b8FWv7A2M2GAvzm2AHkj/mUVds28bMeoeWmG9R14bbDDeiuaysBSdCMO4IUUPmAMCSf6
sI4QirOLwlxG0TtS3hr+8AM+aOHxFBLXkX3K1X8bT5oyybao2UpgbLjkox4s8zq9dWG/a8y8nNNl
K2uJJG4L9l1l6MWI6cOC192Yu2F7DJkoN76CqwMViDBG77vYvE0CSzk4Txtx33iWrx6T5jZP7LuD
p3qU9QDRatIcuXNYLMC6C8Q9RcMpUiUDHdPGNxjTmM71kj5MQHAbxOFBN2z3vkIqmXQZCJjquDlu
dphSL1PVXrs2YvkS9diR693zk7XgfUbGcb0k3vzURM2UjzUr+2Xjj7HtEBeNL4gyfmDEh5mFHXAB
zcv0aDPlSJc3g9G7ZDVlw8EINZW8ziz5WcWUW5HePbshrlTto4MkBnc9gANLguZElvYzjimceghk
Q0Q+NS1iL/fLeIaPjXWvli9ZFQQvYTLUxQz73y21K7DlyS/HcAolK0OvZdli2mXXqOA/C5qn5RG/
r64qGjWqLODzvfajx9Z0ALuANTS13Tu14IaU+tarkMJrak8TnRQ2WVMDISXYUSyvID4vXTHW449Q
GKYaHuhSgNaD4hCHbl7yxtXuJCTGcynv4L6+VrY80O6cIHjLA3gOWWA6sAa867IVRwvynZI24Bhj
kBjZIq787xIOfyc91Q+REH9jo87g8ZZsos1HMiYvdsTJ723Ng5Z2O3PYaVIR+JY1MOn+0ISE7ZHP
PBGH9I2t8sIXNmcQnRs0PkAkxnMggmEW+ekA2RkWCWaXkYGPpEPSHPvRva3V9C3qRy8lL1vAXcYq
nFTbL6XN2ksLG3Pm3n91Ov9v5qmzCZdj1IllN3M9FNhJ/wQoQhjlD3xbPATl/sF68lNHI0KMeN1R
GLXL1jwONpYZOM1dTWuNH40FIgujvmzCP5VZ93YGsTNFGlbWVA+ZsUifl9m/+EF19OP+XXA6YkWH
CoKiK1yVShCe62lZ0velKR3ufVQomNur9RQ6jidHw6JtRFQY0bxRGbWIXK9OpmGeqA2byU5luFVT
ZhAvJn0T7zY97WoEMHmfdqdpIkGOP62hTj+B7EyALYpkpQ+edjzbzPCQsqIbo0fKcfrha1yVBuq5
xA6TgzEvzQxMYFTBSzu+ppMpkrTKUsP/hE26nro2jAs+AQLn3dg/VLZ+hM6l2ejW8I1OSO8Q2I9q
lHuwXCAW/N4/jVo9ybDargkz5dxN01c/+6B+ohFwJI6anUzGbddp5Kv9ECDMpirIbJfO+4T28TlO
trWA7EA6/8u1xBF816YaKVwQMX8iJz30LjwMcSRO3KyY00WHG3VsEH77w5LPwxAAl8OVS4PopHsG
UFebYeeHvT3Tif6ZWN/mSbqS53D89P0ac32KMyEdfdwaXKgd8hSwv0rco36IDxFx+ynkOO96F5xn
uYpztfBLaE8tld51GJqTBAhRUAUcE6QRLTDWVWhYDPwCN+oTiI97WWoMjIwMU+kPVO6CqDcoF2h9
W6rgiFYRJqxOGRhXItnZpUOzZx3ri4lxsciupYXvQ6ZsHv0YTVNd5LQ+TxVxQBvU8uRqaNQkWcsx
xX/xlkUXMJgY3wPR7DYEiXv4HNNBRCN5xrgARd7/NBaegsOAPEl14Dwmd2uBipNZiVx7/YUwfzji
AYlrpwYsWp+fXDc/hbPQB/SIXiIBZ4InE+ioDjgBOgTyPDB1TVKLEQz9jsyDoblTpEnL6r1Jno3w
y18awiK0xqU5FynbsBVmkgkc3ruof+63PoWHB/Xt4GRzcMg95ow0XN/YGAJnKyBhb3HVfYQrpjNn
zE8SAuLxf9pKnMYZpYA1xmYRuG/3Ku2v4IbAKNMw93yUK6ZWnCU5YXki+JCYMVZg/pmZ53fMn3ni
KShKPV4bj/9EYXJZkxUDKccFGK8t0L6Avk70EgNwiifoNNak4GCs/z3hksrQ0LhJsKhoQ2RTEhNE
Bx+LA1wkBxQ9JnKKJlcjzJnPTVJzkF/NllXtXDLbfw45Zh84RqVhKPxUf+pVnFSl35PGMLByuCDJ
UCT/8Sm5hkN1bI0rVoLCBXFf0Zzu1KD++Qo2hBpDZKCy2c8bJXnPOomPw2VJILGT2gHeboBw1k16
NBzrtGmRDhgSIWWdvNoWaedwe2KUzldvcWc2ziaf2knBMJz+rR1ThVw4xcRiu7I0nEbXmWh/b0X7
F0FXWEXHNOhg4KThKWXzkrm5hn0pRVJOSXUdZYX6WEiLuFuC6+LTZIfdtpV6Y+WkJXmpXzAdJYdJ
As+TSBqL0PNfAjUjcCU18BLCT/A2RdGMyi+CJAADp9icV8R7aWzPLxFhgPsczjlZN9GBNRAuHEM+
S3z11iwu3EVr8qZ99jf6ZS0ME+Mx3mg5jqh51COAC0P/xkpFH4w4hRgf1LPikBhdGn8kxmtPQaxt
MTctIFRgQOsa//WpLwpr1H9DIuxjkzT/BF/4Plk4oEm/sWd2nLSWd3g8+8ak5OoJTpDQGACose2L
dCBvcvtVBme69vWt96b+Zr3JuwKyRjlGXxOK1MlXZ3i59VVHfMS2lNhBtSmXKDq5JlUHRcMnfLuY
ykY4/kNsL5IQk0fT8h7C5py85r4y/9U2IawljyNBbHCSAK44smEttvYWJ/Gh6/nr0j9MW7WrlcWo
NrUqQ5nQ+GhgiBhEWqJtHgmkg2qqXnkFwS0gB/Pml2Fl7YlCzvE+wZJao0eCSAVJCXY2i8/gMHO2
SYTCSr5wi0KLtukbB9BmBvIfFFW3C7z02QD4z1cYTLjI5ZkM41KuqbjaxbBDrzCYzm5p7rFMDwgd
nxznn43WArYCSLoN3RThodY0zPB5av3DyYImQIzQRqPphCQFjQ/ks7R3+MvFddERrHjwgYdYD7eg
A4eO5sa5vZOk6mF8o/7RRqLsVg91MOnqgpGCxhhHw7T6wyKWFFWq+xxCLIFPloc+WhFk6Lyd1sk5
8JEwDyAEAICi+uDnemF63/PhzasSNPB6Wx16mD+/Ejc33r+tMvjRoX2HAwP4im7NMZED0K6l6Gg/
4/r+/WVB/jwJfBy0BHOKuQlYNqbESYL1iZYOl0qd5Namav/b1ivNCiaVpf3XZFWNeRGwEk86kykz
vgo3DUjR2D5ugPiDjeS7xbYflkBt9BrfJcyIz9gD4aBcmhkX77zUP6tqKLYxfgm2AUWjljxuEWSU
QUPBIcapbw4zQWaoiPYzb7/l9hf1liG3GrrQzgK4XAvvgh1NF4qsbeg/Mo9XFOtaJF0d8hPLnzzL
k4Mm+rSs4CrlboG3D5cvNVhkA0dxJ7jHtAMEWKkS5xhk6kpwMM8O/CrfHhY0TDLMdMOugemZInPc
61l9RAQrDvLsH1vZJ6UWcqLhryCiAEyhd+hvHuBhATi/cer0+w/yFdSgIsSZIxLDwQKI5deEbzyr
PEwPMz4Dcgtvt9a3VaA7i9PSFEAD/YxGyUWOaXMcNw1sh9Bctmt/gVjGOBn/spY0fsIE8tUm+P95
ZwsoSHjqUCuDAd8V6rZISJXsBKjX1kYOLP+zP/cnVGLOZAu+Zurd5l8fMjkFtQQMvoaHOej8bGrm
O8GYCufwgU30gF2VbxHdEVxfBhfg5A0I3CmAAiRotBzApfjUna2Jj2Pwp1oC6DCKSMX3HCyINjg0
9Ym5/r+NVfV1rfz6CoMCNyvKEbmSj+H0axhuw45WK8J6aLkinNHf7DcgqcbnEgGMP2Nu2n5NNLad
TYNlVemj79MaVym0SAejeY7ezJqWSH53KkraDCrusFHgzT0gX8B7v5I6eALPGWb+hLsihjKUcs8o
9wGxyU/ANE/pMGMAa+cc+UWfe3MQlhHor2xMSmJGl9f+1hUyOYKhgOOf3FHQzkev6UtvmgA5Jmxv
eoFBvH8WnvkbawR+w3gP+dhBJ2vwYsOnXFObwfAAttnDlnDzDrg4vQ6V9nKldVCsqoYKaq0tkin4
Dgf88Ab9HVekOnKx5aOFV2sWrJRZKCx3fWlH9RZw+8R8XCnrKDOe+vdkGJ9jWIVB557IAHtSIkMx
GnMdUWB1/fYlXkL079p2LqbOL32r9GEEMQKjbihbvXmZ0eq41FOyB6cvMhMJoP+UmydPwxIeie8O
i0ZwuOn2JLuE71qCr57EHQCPxf8zueRi2+CvgRjeeeFvKY1PL8NYvQkdnFDsO/VjdMFY+GbaIav6
vtRVdJI2eG4QmtdcYSBr/0SQJ2H1LoSajq12UFYtGBQvzVoMMrn0lxeN1qTYxJPo+OcWKxiANXAz
7b2EaVxGdP1b9XMpSXoC3JIWIGgRIXnLiSCKrHgIL9DiLg/cHWjRd9uaUsHxwX6fzv2I6k0Eh7Bz
v13eoMfPsmEn2s2PKZ72Hsk45il/SnMSufiEGPaMElRzmkNb547CNAmSwSuiAbhQrLd6N2tf7r3A
W0vtRScjTPsoB1WuEftclzY+RTF4YBg9uBdUBxG9ACzpt/ViLPhwRmS7I6F36kxkC4LBpFg/NRV3
ZUDNpe6UePquub+vKKLRUHpF1Y7/0G9BJ8Vb88A3eM4DvK5Vj/tOKTiQ8XZkbfu6BLS4DVW4PQ/V
A3pOLaAgr8uDCiTWRmCJnbe5b3ephsPauQU0C+6sTKFX5QYU3obtLI0dck3iXUpJgOlrSNEC915X
iky/Dz7ryXvSXfBWx1gJdbsC+MBpm862cCvirTjJHYm7MrKD2MmBfcgUft8qQRLWooHVP7BdHIOh
RUACt67GETSNRcBEfFRpckKxFm0XfywmKMpc11Bpolne1K/eNsoClcZYzWDAAiOrqivF5tKjmk8N
WLDdLIrEr/VFb0t1CPz4uWLiOLuW5HiL1K4hbCy5d6rEjJFkwebr0DRDBVBfHN4scNqEPSardxm6
Sj2EYD33wuFMT8WJUN7sLciNAg7hVRudlv4GQjppMOhbeEiHIUp/r4IW5cit2s/NAn8glXVpwyFE
4CXMkcYjhMnvyTOgShJiulGMBvuk74b96IeHpjUQlfD3SiCS/7oXhP7+HWbwAzaLdxEIYIkx5Eg8
kHLK0AYJ1fYfTrz6Yrn92kwldsKO625UYVOOngXj11v/FGtgnx0Pjj2IooMdYUSxZLiknn0E1hHF
dAPUGcDj9rg7KL14pezCbSeXQV4MhzdJiYlAy0fu0s3oOv+uC3CCy2n1PRzUcf9jzTaeEsmvJsCr
C2T02+COyBnz05vuJ5Ty2v/SCSVDvZpnb/b/eXir0A5H+zepFjRNYacHqyZ7Cdi4GIA1FRceC3tX
lOUzn/EQ9IXNDK9BUCvs4A0Ubw28GQcbrHs0tkYUOdE8mzgc4FnFfo4G82le427PHTlaMz4Q2E7H
yCWvXK672uuqPRmjOu/oBdy7vdWY2lK8FaGCWpFV5T5MgNSIjW5ARcti0pb+8wShU4BPh18CAZ91
zIOP8LBV0MFWsiiH9EsAR0Y3iYO39OfpPYqWb1+YZ6h//zD2zyroShgf3W4BIJsJoANBZ1vwKKhy
zUE158DC83aoLj5bXkHVmAd8zaeG5jHUjQQvNpsegKzkYNBWp48K8xr2E/hAC18iJRpAiw9xuEIu
efU9YeFr5JBCsHDN14X1+dfmj39D4t7DVDxUUg+HaInALYThF+wJ8OlaiadfIkTQ7Yvg2zzrykeM
C66lhPd7iJ0Hn0XIF9bhe53X5I8DxYNVHjwmKQh5q+/0t9wOmFCWdaQ0RuPqr0vx5NnwD+HDWGp+
mx2IrLTdlkI5kO+IN29Q7iD/Ngz1Cw+XoxJNlMXRG7KFzyWsv2qwZCDXddb4SAvD1vSnjQSfLFlD
rDaEvn0t4yx2c7+P7PbEalvfPLebTASLnbs058GkSqnxOSSu1B0n+Hs3Lz63HHgcIbwgi0SQGfu/
1S+DHyTuboowAQCiWmvIJ4tQZIb/lqP4HL/iqltyurUgmYg69ygPHJv610tQONxqttEzOqR4P8DA
73TFyzJwXt1WGO+7VoPUYZu+ctUkh0b1oHUS/xN1Jf1Qt15JmpV+c2T3TE/3MWmPXdJv12GJPJQn
e6RGdX1Yo/ln0M+br2BH+GVSgbyMov+sUwOkVfIPVWlaBNH85s/to27MR68vqwGEeCfWx4YAQbSq
cg6kf66i9Jux5FNvfQxMCSsR+brAUQ1Vh5COors/3fRaTuqXzEjoGV3nzzV4rCSLb30b2iyY4hzv
uPiOgaUhg4swr3Sv3XyZIwFiHC88mCr0jr2ePtEqrIt2wz3T1Ahro74PDgMG6diS6ivcRGFwDOKS
+XVjIvWMLsF5Y9NtnHH664DqQiM62dtkAnqmnMn7MfjX+EhnJoY2Zre45LoicxcNLIAFyAOSQUCo
SRjdSTN26Jwv0+vQscdpmLrTHDFxFcgUMI7Xz204mwxwsXcAmj7+ZuoTorRtK+TMw1NEu6ZAWrvu
ZB399k22/8KY0PNk+5/B2eCRA7rch5gdcw/3koQkt82WgPhrv5agRvWKJCLzDcpFEI+7BFWprJXN
oZb0jP7AY7NgAGuUacst+Ni65UgpCtouUjEep3xMFrabQrDv0aiWcvCjA41ZchybJ6PiuagSMuO1
N9Fer97JX8WQzzX646hB4aO4CpwGLDfGyXeCBnS5DkENQ1j++kDvQRuvV5Tbgh7FDgybWznkAHvu
jRzw7qEW42tQgaZs1T5KgcVu8cSyuSK5xasFoJjjRxmhU0HC+DrCcYklinO4GbJEhMM5qvsHQdV0
WW3bPAd6/ZjRG7ZDgHfNFKbmeDNNHU+/QFRb1IAGVmQ+GaeTf3Qk+WPX7k5iQK5r/RYuaIs2a7m1
1VM7G7xMpIp3PQvIngbmwRP9T4pZbAeDbwvouasHH6+TCPWht9N760d4p8ZML6EHYAgaICjxehyT
29E8EX+Zj+PDKrm7xaanN26Jv4/R/toWeoBbiSxjRdtoaTj5rXfk9arsIwjvLsMqKeu+qtEqSvVZ
0O51DtRLw01313YoOz4tj10fQsM48ZdRhr0DAG+/0ZSCNIRjlQqMQQOavLeFoPgLzBioDNn2C1n5
vUVxPiRIlaKuQlmNz/IyyGArlE+g40TQHLyGAzrq+tv//zJF/HHFeLSP9Tzux9hrL8L6JpcggM4t
DrRlZs0lVGkpqqb6jLEXaxo/M0bEU9V585k6EZVIcPGqp/bAg448oAamHj0n0bPCfM8fgFAkb7hw
4TUu+GCYn9dbx377ZSYdy9YaXLsYoU8i8P7BoPPRdjXdkcv+7qlhOy0BsudU87sJgvpbTGiq1Mtj
pNFkN0v4N40vrcRrcDpG1LH65Lr5qufhiGFWXaMYDB9j9NxsK9r0Q/BvQDV6N0cg6fD8kjs6WkFF
Hv5X3gYPPpdh5d3JlPonin2QM0y+O+LpNe9SFZ+Dxbd4mkOIy3h2pdygAuuh+lpa19/41j+mXgpv
A+8BRfCJOqhmZJfQZNoJ37On1CIORFbR7KAKcFL+H2dnttw2drXtK0IK2JhP/gNOICVqoCzZsk5Q
HmTM84yr/x50Oh0ZMcj6WZXqxE4XQGxg7WGt931WWuk48MJ8J8NUwSIerXs3Vu5Czvkr002tnTJk
CquKbN7bXu3gYHeq3nBM1oWfPubNckz2lRHnqNnd6tYdsMgjHb6n1FHvtdDEBNckxTYizbHOUrQF
uT+6eGD76oDAjokP3zyu/qkAaBnmQWCdkJVUOHUp3Ce356zcSa7xc1SfkfhvKmaLW9kIG0dtKNq1
rUfmy5KqXRyK71lqeq+Z7uFtT1z5IdTGN0+qzJ0Rt+7NoDGpEK67yI0QMkwnQVtWN5qH0lsoFMop
sH7R7Py2SOPmhn13cRjjyc9CfsTJgzsRSsZp7JJDq0NGsCp3N0TM9ML3917P+bpr9buC6fpuSnJt
2ijjNMyh22krob7ImZXgK+SPnEugUIxxs3flwd74qqhO67jI4k0RoTGM9HR4VFgptm1qrauhM44F
BxofalQWtlCyUvx2flHtZYqdL2Ffv8vD0RgRHLdibG7zocUtlYxHX+jqXmNmgLLRbJCQrGt/eEdp
rN4apvFeKU9pF2ePvOmbNkIrRZY52qPWL3eRLsBgEXRMKeJOTV0KlsVPEujFeqwC+Zh74SZvW3Vj
9mm9NpsgdhK23tjKZCzMKJwpqSW7ZrDjnW5NRqFUPsmBT1qPjDaEjcARiGX8Qrptqvqhz+3ACTqs
FWMXuI+Nku1iA1m6b+KMG+tVBlyrQMf9qaniU6swgcRFa95UgXQfR+qpanzi0ajTfSqPr17DbIkJ
AmpTsmn1ONxKXkKYpfd/DSRzCtk/0+NAh2Cs9FvvLgj9g6k3/W1O3kJJZdhcVsxMNVjujajG57Kv
d7VN/jbU9WGf1NU3z+8+B7VUPOUk9dehsrfSUj1ZFKL3flXBQUBBNFLgfck6CFAW0UJiRC8PCtbH
A1WDZp2UpbiRzJS9pdKYN0j+flqkcYLOFY8UbllFOjnaoeHNt3kQaJx5qr2raMU+69CexEFdrLtI
AzoRWQ5uRs0RmqXckgUo3VH/1JZ1+jAUyinIbxPSAV+pFdl7FakV1fnBxXWk7oJoEjDr/gZWzI+8
6LbMKtqbbARrUy+1gz2M4c43cDmWybiCiqA/SSaC+c7gXJcb7DpJmaWizJHpsssysnrrupgRULOt
AAK85KjltkoHMMcIHtzM/wIGrF+NQ6JuIRIdXZl3VsJitnTUXn4l6m1seQ2kNkfLM+u27IL6mCOY
QGSHYhI5frAvk3gTpXaxDeP0xUoqvP61CUSsx61RWetEVhrswog9RBH1pxz3+mZEa75WivpXYhbx
Wy8Xt7mxZa3vj4N6g3m62pEI9jZJYIdreF/m5GTyb0av+6wLFz1FVYM1qnCNGKGpHdNBig9oZT6X
lWa+GhYlGq0o2cVMfzTF5w4C1pcgqMRtVxoT2emHH8X9UQ2q9ShYRyOoVL7nbSXqQocRbIMcIfb4
lHI6QWFo1TiF2xOy1IMHd3AVKtkXWzb8jVoqT0hdXiqBA0sX6ddIHl88KybtIw33sWptdOXBq+QH
D5KLKxvViixlDDgn/pk2CfthPW5Ii6SfUbTelRYuJlkdNu0gNw6l1bWRD/XW9KJtD+oHA0yNuLVU
j9m4L0394GOe35ot8Bs7YKdzSAaTmVUhm1CNSb4rs8wHVHLnWzCO6rD9pVbNIW27k+W6Xxur1Mkb
i5c07N5USde2KSnCxJtEAeI1ivSjR1J8pVZBuiOPb2m42VnFPWANVMw7BHslH1zWnnCE/ORfalEe
sulWUSqvSMXwq6UwOBjSdyvVSPniboCU5XE0RNhCtqjSNBB2dRtv9DLHJUV60Y/M58xoJMBS+rMW
jPFWK+6SYuIggAdDSPXgd8B+BlnGLRQi+MBxKQ6jADODKTfeKHV225pkKaxccdhw41fs5eRQdGRf
6zCrbhJZJfcG9afS0PwMzX2a5PBtCjTxA3CM0miPPWsJpKDaB8fkjjdVqB5NgncvuaG0abkf2yO9
2ZStot632VF2/ZMehOMXGeqO2eJbl4Ks3uTog4u211bJyJ67JFKcMHn2x9TcFJbqfxPevq46XFal
ELvGND63YSTf9U1zynlxpID6VdMKknAdVmr2m+ODHYf9lkJYfVBYkEg/TwrrVqvuZEXlcD5iYrXN
hg2Zq61MMrkcPVMF4tQ75hvjRi+Mg+clj6ZGwaDCJ2Z1po8C3Rof1Uds9+IYeP1jO071xsDXt0kG
/iMrZeUmGQt/pVd67zRUXddVhiGCZcV4FCiIwOfEq6APm3dvx3TBCby0g4fSqLNNKvrWscuMhDkw
yw5p2NYbAE50Hsq7rkEbldVkjJluFQqCqJPKEn3cMLQ9TDlkGWZdiHVek78ws8Db5wDH1vi7m3XU
jJETlCJc5XKa7voIz6atIIDCo9UVRYeD0F5zkE2ftV76ViSadGOxF4ns0D5WShc8TLUoMUb5k4Jm
VIr5jgvXfkwlysV+bXlPvatv4HLa+6rzTvIQUw5CQt1FqThWjUwFoabaF3R9uA2I1h6wFcUH2X20
29pGKudV+zI2vuKsVvZ8feiRk/qRXdxk8yC7V2NoUxrM/kopTbKbMtpFoy8QBSFp7WvDPim1G2Jx
LJonU6My5RuxRm5KuZUszIlji/2nKmPr2avQrKODjOydWwl2aoV5H/XihTREvSobaIQtjqxQqzAH
yfn30M3lo5Ghtk+zpN/EiSttvDH39m1G/Sk+VeUpqcf8U+9m391ARZrafFerN7+NO0iMuJEUY8vZ
Rn9I8cRKrV8cLBnTltqioxnBp7R5Nt6Q+HzhHJnexC7er1DmMJ+/hqnIv5UJx0gv/2zUofLMBv9r
n3mg7jL9VtQcm8hhgoCCBLvPNJccT1MWBD32pYhkhGHV+q1X4aCQKozX2gTMimNWzK66Ha3qpq4S
8TkpOgqLetee8kT+JUyXRV1W3sayoHzb+5gBC31rJKq6k3Q1cvwUdippaoAX+kDeXfGSQxk+jrq/
N3t8LGGA87QyPsuwZtXS5axsARVLtS95hzGhT0AdKJBNyGHIO58lmOPVUbHdfaeiBwh8f1NGeNQ6
lhdO2jvFqIONhOchJH80uZFfhCAdkKajtOn1NYkFbw2j9M5LS1ZhabL1SPBQIIKtsuhZTbNHrVSU
Q1EazHuevrcCABT10Onb5nas2mEXxSrEwMJ6FMxnMXmqoWy+jo25LQfKEuhR4pXi5q8alMBVtkMb
cqhLtHSo575h8pRXvoKXMgle7V5mApNgahmytWLeoUxaqN6x4/gsd8nGU9DFlSEyRsuscMWFTEkW
2Y/GP0qVhflZC7OtrDyPQmctyr9bCfMXEGpYZ4MxHIZEnAK0zJu8MMRWYy9BomE1on+9z43y0ZQH
/IoCRfqgNzdp4+nsUXzMaebwKc3YWiQi3uoh+6+BAL4ZYg7phV9jlwlrTKMRSU8rhk7BroEDSAxZ
pau3oWYjHFDJPId1cRoivb4vy3VRUlAOEKPL2luUMe8bhf9ojWm7w4NO4Uftkbl1iC2j4Vcba+OO
A9qhNqtur4fBnWU+KUlsQ4iqV1aK/ycbhfbQBcFbU8ChKHDKB0JkN71XIt6sSKQXbX5bS5mykwWJ
2N7T16FnkxscqaiMlpftwkQnM0WJ+SarJ6hsBjljgE5xKIIsYo0T91Im/eIQ2GzxNg1MOag9emGR
ZRE5O4WYLSKlgi3TNQdloWNfKdyWzTk66toEyWUNsfoGL/y5MevhkAX2uI7rHJSKBqGUkoOj5M9F
2iLPrJAZWk3Ybg1c16sKi6SDXuhdNBaGEE4kom3Ke9t3f5nTTBVwsLw1svRTayotZ2mgbnFbipe2
sdyNjGdoxZkR42XT9McwLyisuPBqBo7zWmH7nzCZj2vVw5yc55gkTDY+G1UDYITnwEdU6iFCGFAi
cjRRqSh10aZL2+Am611HiA5ibImEvATXsna10rxR8/EbE3R29Br+YRkRCOCQk1A6cNq23PEWZoy7
zTNVYoHtFQrPMAJIfZiUuklfqnFePcQB2omi9tP9QEHw1BdCOrmyuQkrDXEKuptVKtXKVkMadxsP
WOKUlGKa31vy1s6rLTLQlVFY1qr3tdOoAL71C+a/5NgGPuwDBRO8YtpvoSLIRFfAO/C7wqM0Dm7C
Hjxz21e5gLOsDSRjSW3jMKCKPepGtHWFAey3/xL0wKoER7eVXFjPaZtAbK4POTUVXc0emuIxqpH5
WXL0lAxIZTyXjXQuv8pKdypJb9zrNkmNBpTKKpbjY9SX360MLA67yCH3vxPI7IJEsDUKqAaAYjvw
DtMp1+YHewHABdsu15Wvf7YLuAxaWexGiYOJXvMP3NBIFMhfU8WXkS9Cn3Wrdoer5pBU/iYZyr2q
yreFHP4AWxDdeMo7JyENBQ2fklKqW08T0UoJyaF2EZsYICJrN1IfbfNV9vzvOsxjpmWsBEkQ/FKN
8JcoQ38NoA15mWTcxy3Scji5p854G0rvFlvBNkYUFGVlcHBLBR5quYrN5BhD0sAD597IYfKYAu6h
UtayNUypSw2Tg9rg/VWxvSOFjvuPc1KonqIDhvV3MfYYuUv72Rt1akR1xc4LSF0T/lKk+nUyU4L1
Uann6CeRfUJyReaobF7TOvmOD+27nGU/E59wCYzvXaA8oOqGAsf8xbak9nprI/XSuxah/bzXlKRC
kHnT1vWjbUu46blW0lL8UBM8/IIdklp5vySVQwXVi2lLCZTE+5QBQ8zt+lkGN0j2/ICk+k6ME1WD
q4Y25xC14zDNzvEUCiSBUmXjR/Y+6ZW4C31r2DXs9TcAGk7a+CmVbScMVLEi9c4HG510tFnrvx5R
nn6KF1XbeGBX3vMpDe5zwLFE1etXeaSA6HO8gMb5zMYZA5qnnoqsZ3fmpu9G+HmkIruSs5gyqvYc
wmuLXWmba4x8q6I8dKtXnMn303/b7ZNpMv1r4pY9srvPWsx68YSrVDz9O2tmYzUd0pJB4/Erjale
uZcLvz9YI6p05qxtyWF3j90e4eso/yiqAbPPwNvL5UNrKVN1yt11PZWvCj1Drf2IxubxL8OB+SgF
xmtfxKitu2/4zu6aPuzXgxJ+qlTrM8C/+xELoaA23djZQ5x3b/kw3EUBImNZ0/Z2hoJGF+JYYyey
5PibrWkvA0Jvfazfs7C7NfTEBM6lumvZGst/4+z/bnvwN8/+3+D+H1k+lIHn/93i6J8//r/nLOE/
f3Xi+e9fTh2S/vunu/+0Vjr7bznv2dS4o5r/S9Ov+eda/Ji/f93U+OC3P2znXRgW+iw8vU+dmhb+
z9+aMPz42K3oP81FpgYFigLV/58uTP/TguG3Bhf//Pv/brxgm//SZAVnvqZwsJM145/GC4b1LyGr
mg2QjXMi/5N2J/9pvEBPBtoFaKZlWYrFKkqvpurfjReMf5mGrKm2ZQraJkytHP5/Gi9wnQ/NCSTB
LTSD9gTm700JbBG0RhX3JvpcH2bKOA7DF18Y/b8bNfGCaGfx9+fysa/DdJnsr+4P0yj89/LG75cP
TSka+PzZL0IC826qONQhA8ll9daisLeBnXUgT2ulxgn7YeD/cEe68/zxjtPff+iygNA3sjDRg9Dm
KB0+iFguBpDj033VGFf84fxtlsZt+vsPt4FVZISdlxpbf8hbLDPBaLEBH0X2dv76SwM3NZP4cH3T
LuQ8tAc4EEqu3Rm2ZFpPNSfv4ThYNdJVyRzRdye0PXg6f8OlB5p1p8hRErfmdEPaaZj9TQaBGE4o
SdZge/4G0yv/06fAR/7xiaxgpKbTqPqWLGsWvriBr0JHku2IY3HJEWMwVoAegB6dv50iL9xv+vsP
IwjIAQ5ChQK7QbpEmklYjorrAP+LHUtfkef1IdT1rqcHxWBKR8rllhqvscKJ5Hj+Jyw8sUzAf/wF
sUdBNNY5THWW0Ndqmf3yMcEVMqkpemDcnb/JwnuTaRHz8SaQKYzOInu3hUNmvnplaW4HVY7p/vXP
NPaHaFp6hNn0EFsTjlKF9BupQfAu00bvWJH2XMmUy/Ft1umwO3+jpdclT7/gw+vKpE7PC1/XyduD
cnZ747PQa3Pt4TBajzZVBrQ03iY2yKYgPHmJEBCfv/PSAM4mjDJGzpYLDvHQFwGbspcjNZzrtupd
eYPpxh+eTPSewhkJBo6BlBOiRRQlyHNxMLhX3mA2VwgM4GlW5RIW2cE0Hms6bkifTEmTvQtz6sJk
JM/mhsqSG7nrdQLIdJExBEgFSfD62DySsACVSR5k74ewiK57I7OZws6iKXOIDC2TrDHZdaWCeKAP
kqx1zt9gYY2QZ1ODqmWu1eWS6dR1I+p9yikT8AUuamocFOn6C8Hz59vQMev3F1/AiXDVPrEcKhrj
c1QO/kOBRP0RT53/cM2T6PYs+ruotxDG6LaDjDPYakrhR7c2qCbrCZVc1F/1Quga+fuD+BBtI8vM
abMSa8NBSgDf295UNz3/EH+OQN2eh74Ly5oRQltvgvIiRdlrX9Ef5RcWnqXXMP39h/hrWjMzLdhj
Tgup+bmPcBuysrIlD7CDXTlCsxhvAjUdaLdiOVrVRgHnFnSYKxCDnKfPj9HSQ6i/PwQcN+A8/fQK
ilK1d4XfhDJ54rypbyL6wRRXjtUs0k0xqJUiUeJ3h2S8E/ZYUD+11buBkupVW0LU1r8/SWID08CV
QfBxDG02umd0OTVBZOu3agGa8AZUtG2eSNCoxlWbNd2exbs5MGSyrJtOW/KaHF8nrbNJe1BbFyL9
z8ukbs0ivQ+GwqhFaTqK5KnmKhNotKjVNC5JhUQgjg8brQwu3OzPszHZmN8HcPBCT046vjU9aXMT
fmIjdcdYiLblkGoGyn0EPFE+Wkqt9F/Pf33Tc/zv3o0a+u+3jHvPNZGLgWO3ha/ck+0fqx+VGP18
K1HxRnYVihhmpwCXe5RDqlmvCIZU/XT+9gsThDWbIAaXwrMVSS7ufKnZ+FosKEjTLuj81Re2Hro1
myD0tu6DQhS2o8o8zHZE11tvLS+MB8ejsux9ySWtS/Ya7EzAX5zg0jvBgS3ExCh0/UKALz3jbAaZ
wCR51gWak5suKCtjtN/zvu+KCxPU0hc6mz/iUjWUoafZk6YGnUPFLNwi0UyfJCsbHcoOzYVzy9Jj
zCaQBmWyFYae5njyGL6FViE90q7DuzA9LV19NndQMUhpNmDaNELr5HANwIsSSRNg97sytmYzRRVg
2RR9aTkUQXAuayaCr89FrtJhKw2anK4JaBu9H3kyVuLCm1mY2c3Z3KF2acx3hIvZAClJQhZXApKa
yCve24Gp8cLntXSX2aSB/yMq0JyZNDGKo60BkICmcB7d65T8um2bbs4mCQysMl2QetzkDVoxERgt
qTTd3J2P0oVXb87mAEMBYtezQDg4zXGD1JC6ofOL6z4scxq2D3sETlGZpYDTdEjbgzr0lS8pjIML
b3jpp09//+HiioFUGpDrCN5SGk9dmwq4IZ6EK++6oZnFth8CzlJLEDmSS/ZZktVix3lAu3JoZhFN
CUfPgdyOTu3SM1JLWM3oCude+C6XJl9zFtJWKkay+rxXhYK72jV75K53SQJuB95Ub0kOTOEdCm1k
L+bh/HgtLKDmLMhDWSrlzq142Xn4VaYsufKafgC/gObfxU2ztuv4wq0Wwm7K+X189Sn+nXFU6GfV
Sfo7x9uo3dEnK0+dmvYkF4Zw4fMyZqGttmabhiDckUUa5ZNdZ+FW0bLowgljusofln5jFtX1RGTp
RqNzkKHRXrEY36QoOnY5VkdVc1+rDJWR7YYXPraFV2PMolypk9i1YK85la7jzShVQNEjhs28STZu
VlIs6OMLD7Y0bLOQZ8V3IbeqtPLIQoThpS6gRPnIKzbnv7KlVz+Leh3BRiTRcWhrkb24qQ28KkBF
41u8JumF1WrpEWaBT+JWapUmrHdl43XVJ1fxIu+Y4457v+4RZqEfKUFbeNhntz2QVYph47NpTjoA
F9/e+TssPcEs+kG+RpplufShjH0StBX6cqqAzYWrL2x6jFmgq3moCZeOC9s8lb56dIyiLmo/5FV4
U+dI0q56BH0W4lE+lpJUGX8/gkbxjMaggK6vu/o8uHUa4Fo+TcJsJMsrMV29unqA9FlwR3Kbu3HF
1aHqgFDPh0cvN9ANRzg2KNJf+QyzoPY1DHuykMnhaKjf1dSiXbA0Xjn8szCO+iTGu8fFgbUk21ED
r+11oHPOD//CfKTPgrivyXjFQ8RPF1D77fJTXwN5obnwrs21L5UJt+C6G81COYHGl2aqjPo/1EGj
ytgj8C70mA1UdW8EyYVs8dJyq4vfF6SKhkdI3rqGRiMKrX/hi0X2XoqLtRFJe6+Ut36rnZJA3xTo
/a57tFmMyy58mwH/OY0BBvYPIaIPvBJVH3zTIuWTafe78/dZmEv0WbQX9FehnU/TYN6jeZ8RBvEk
gzQvPMXCdK7NwhzTieQF4Bq2mSYZO08ykFnRiO2BuTC+8LEtPMDU7f3jZqFvNJFqJpgoUPoZDXNR
HoGV6H3T3JwfoYWvWZuFO04mO2lybIM6CPsnu9RpipJYvAvc4Su5tPW7ZEBGeP5mS08zi3olcEWZ
9bToQSYS07i8UjYVXRm356++9DpmYd+Ubq56qLmc2lbfcJTf9lUSrFJLujBUS9efnurDnr2vhjAZ
Bqme8N/3zLpfVdc7RTSNPv/zF1YmbRbudhAkppKaNBZhy7PyO6RybeY/tZZ3QzMh9cpvdhbsKa3e
6aMOUqMMMKiUtJMjGfVQG/2X80+xNEizyKaS3eUVe/StKINtWrmfaMUJ2Du5PX/5pclKm0W0FXSe
xBZhcDR3lB0Vzv0aBw+SFiWLt14WBo7pwoXSyjq7Q7rkbTSI7RfGbuENqbN4bz298SOu7MRsD+9B
wqYbaMxiLw2Wie0obg7nH3LpPrOgb4pYyLGbNQ6dVR6iBEO0JnjWHOeAUdi/rrvJLPBdKygmMX/j
dG1OF+tyfEjgFa1MkT/GfnDdSqxOT/ghZOwUTHguJbVjKeG70ejBDROO+Xj+CRY+NXUW7zC1axCo
AbNJ290rlfegju1t3vRP111+Fu4jjIjQ9aPGkct8YjBnW7fL3mKEr9ddfxbvdMztu0Dl+hbcgihF
ExRmN4rQLqwcSx/RLNAzmvt6teohSjVoSyAXk3AJ2mNNo+0KLuCFkJi+lj8cBSeZyscXrCh5jole
SOwW29saCwf8uBeXHlQeoL9GFBf2KEuvehb1YMRwKGSMVdSwoXPHLUSdnUv7svOvYmFdErPA1vJu
QISrSNtsbPdlJ1BuXngLCz9czEI5H1AqZvnkT1RQTVbZPmG7MGrNhelw6YfPgjiI695vGn446j85
p4Rsv183IrPAjW0IcWPEe1Uy65twi/vINvfXXXoaqg9zQlO0UY/Es3ZQDKLeHmrhhA2otvNXX/gg
xSxqLYRWoRzbNbR/QH60kq/jWwvVMiiEk6jEdZ+9mMWuJ2pPyjVZ2jIfo7tVJuDit6KCJeXJBbDc
+MoPcxbEfPVFEcvsCfSRJkpU+4q11tIT5PxY/aXo+kP0iln0wh4wa01Hy0tXaac/+HT1wHK08t5K
+AEP7TYFnLWJT+ULKLRLmbaliJiFsu/5hQZEv8ZnAl5FDt50UKurTHK/n3+ohesrs1juqCMOQ+pW
W8XP9ygjjY0rhU9gGYcL737pBrOQLptGprzKDSAQPALBRyiMSt+wr1sW/kd9p+kDSmu72paJiug+
+h6L+K4y9QuXX5gxlFlgY0oyVRo01Y7dqdq9kenVvtB640L0LSw6yjRmH2Lbx+sWswOXAJoixk+a
5ruJFthOpRclUKsrX8AsxHu7AWpnM4GYQu6CtRyhddromGZjvB7QMK68zSzGwX4CewuJPU/Lv9FQ
60unZ6+yG1/Y7i99RuL3oWqRppeGylDRAYqqyLQkSzHbcbWBrnddKMzCG0sz7Fi750Qh/GM5mm9h
0N1h4X85f/mlT2kWyWFiyprpq4AgCvWuDKVgG2hW4Jy/+MLwzIVyjVeib21aDls6nGGANJZhAWUY
L+jwFn77XCJX6lI6eGpSYezQxVqU6htw5OK6L0eercqDr4Ckwx3uaEN768fqTdZlNFVMLoTwQpDN
ZXEweEMUw5i2os598i06nIXyM2jIYl24xbg9P/5LN5ney4dIzgD12i0sKbpaBypt4/O9ZXm0FEl+
Smm0O3+PSTD9p92jPItkumVXWBe70jGUzEkqxL+6QstSLdF/qp1yLFrX3qSef6A4g1EPaNgmkPNP
mlQD5XflS4eUpU9tFuidpDLj4kJwNF88VDX2ds18rmz18/mnXLr8LNDrjgZRuZFVjiup9B3X6YiS
H+TkUvpuYcMjz4K8dS0awsQazZPqYGuKnpZXbnXy1LJZCSu4q/TywmyyFDKzcA9GUFglFljHxs8R
acN9Yl23S9bmqrhOKkWMbqV0/GTC45emMcF/MSZ3oSBBeM17QFr/+xetR2mfAupjoIYaDgxt9Xzt
i5RHz+cv/+fh0eaCuB4hbGyQe2BGaYHIDcBq0KmqFwb/zx+RNtfD0YFRZy+DSzvWlC9Qs55Q7281
Kb/wjS79+Fm0+7AHQVr6laOLQOu2IsqA0HqUkKMLv//P0wlgoN8HXwN2YDUABJyxl05BAni/yB/7
NHN60JfnX8DSEM3COA70gowAt6jc9q6wvLus6fd1cKmwtnT5WRjH0DKSoh2AEanmDxkjz5p+RPVJ
8WBGXfcAs0gWZgsnL+ADbWiVTmcv5dYrIOKg+b9w8lp6hFkEJ70r1X3l8wiaV65UQzyALH7wS/vn
VQ8wl7zRJbdpNJs3wIR6i1n7NqKJvAUs/fzlF76hucjN7qDehrR1c9Io+Iza/AlI5iej9R7y4lJd
YukWs5WbIn8ps+cuHZlaoB7FHNuBzVnJsQNyef4pFl7CXLhG2rV2jU4qHGx/XwzPOA6U/mns9Xrd
5afbfli3gR0nkZeHLKmM1cSn6laebnnrRquum0etWSjXalhIIQ5pMAf9S9+PJ5ATp0ayX84/wHSZ
/z2TatYsjGW8dEMK1NCxrNiAfxcWRBqA8k/nL69M8fqn68/iOAxtGkaFAz+/yF9GMwEZWtwFUvVd
LaQOqrjxAiOrgQyk6kA56YtExkbBmR5e+XyzKG9D3XATSy2c0S7FWqm0+7ajq8v5p1savFmEN1Jq
ZXqfFQ7kULoYr0y1oFuCZdPV7qobzJVp2pDJNlXzwhnyqs7BLhdFRQ8WrbhUxFl4AnO2Sg9RAysG
WC18NE8GZ9+bEKgb2+zKC0O0EOJzSZqSCFnrbCl3wPD+JHN57A1oD/QrupdLOd+dH6aFIJ8r00yz
x6HdyrmjRuWLHgz6SjZobqdyrr/wGEt3mP7+Q5zXMdrNSk1JbI1j+t6O/XCjjCL6huc6vaTEWLrH
LNL7oDTKrmeoAKKAVTdKCCDiqY+Vq+Q2mjkL9VhkXSKZTe6UqZXvh0qudlDI/Aur3dKXNAv0Vm3V
IY+htYWuDjMncz0AEFZ+qTq/dPlZHKvMsroAWurYqUtrIhPMrAZnNDMunSKXPtRZLFMdjbI0b3PH
MtPQqUhplqX1kqXpN9qiXrmvnIvRzCgRyNRLPiOtplNOdfLr8YttVRdO8QuDNNehee7QQev2Cshk
9luadTTI0LRLpcyli88W6wIAFZ3QkhzXgFS+SYZCK6woaa/7fOays7yu/dBU9cxxZX1NRlfegNox
tufnh6WfPovecpDQXMRc3MrqmoaI+iFKL4rYpkznH1Y4Y7rph6mhCGAj55bInDAcAunFgxhGX/AQ
rr36ZMiNWt5KvmvI68al7dRjZbpmfihsYcAJ0ugJd2gKESkRxHa3Gxx8Pmq36bohLL/1Fv0TNyn5
bhbKqE7DQ9K5Xnnj9RjkHGkMfZ1OCRGVV1sVRvsm11EUfLLdTK9pT1qZFv3vDBqXdb2tgHzQ1Sr9
2pua5j7WmiGF32XPiJqfcWr6ZPKiukjuDVIEgPyD0KSlArCfbtvlZQ+Rr1RsHeBbAkfUHdyi3Cmp
OjR70rCjt+/sNkkxBuSGfOjgmtqHzJzI003f+8qtDAPaJckA/DG98nXOJrKk1xp+uZo5ErXvVUan
G90asvX5b2VhFjZm8xiKyoHtIdTa2JiaO6cPcC9uXDO4bsNozOaxlhJSHwt+uw57pbLjGzOjiadl
b6779bNZTG8R+kAvyh1h2z0NRWwwKn34Ewf7hUVkYXjmWrtS9lQjog5JaiWk4xRTmNpJb0ZYPl/1
APpsQwIK0G5TUyaaZOgU9KaOd9gBg32m1sl1U81ccucbAT1PhFE5JmWew4j5n9NfqT2df4A/J4g0
fVpfPkwHZeK1bUtfS8cCIrNGuBvesuUdt0VfisOgBsWxUeSr6rSaPpvXijSoMQXZDBaubVqGFZ/L
tFBWg9tceJiltz2b2+hxCUzBymkvUBe6t7EHPaNddAjXUg+iK/c9+iyclRQgl6TyzRpeovdbeg7n
73nj9z9NiUe6EBjTL/7DLD1X3dVAxFzJr3ktWvwL7TS9iKvrnD2aPovpvOnKthjMjJNyZjynedK8
RrQM/ploQ/d1yNTs13Wf1iy4afM0qnSsYWoq7NFaqV5gUj2UDHEsopH2u3SR1gdIc13/7fwNFwZt
rrjr8jRW5N5ju2Jlb03WdE4QBFeu+HOtXU4vmnD0WJTVoS7XdqMYrPsg5q/76bPdSidjxtcDMl4p
DW1ufHpa0iSokj9fd/VZkFdh6kUuvXscPf0LIqvKbxxyhwthvTTss7A2+6QYk4qtaOQCV2pSK6Se
Xl+SIE6/8Q+RoE13/TBBCTVu7GBa4KzEutHi/J5N3JsaDJ+bmq6s143PPKRLpW96DscOJB713cdQ
8E5zR1ja111+tkbrQk1DnxYejm6YrXSI7FRZy+7/cXZuzXHiXBf+RVQhJE63QNMH2+1TYju5UcVJ
LAkEiKOAX/+tfq9m+pt2V/luKuWBBqStra2112Otf0XncUH2BsP8f78jNENzHugIhtHdOJQPql7A
6+Uh7A4z2zcOHBqroxOFk5cHA9aTQxQs3XKQju83XxwDZ3O9CylyxwJZpV3gUJvCohs1RJhLGZ1/
6R2eq+sCl67YjCBocXpy/QO0OUKRZIbJXfa1G5yt5Ks7dmjF9uotpQQWkLMtLEOJB/asVwbZhcWJ
nk1xIC/Bi4Vb1bYX6q0fyp1cx1c0ZPz+2u8/m+OgIy9DPK711nQgk8+CfqwgV1357Rem+LmYTrQr
6fsShJnJZbmGGaHn9VcytAvzm57NbwCJXGHhUAM0PIStMFPYwvX/EayuO0d437/2bs7m9yB1Jwja
6LaxH1GYHkzg1omuvjK9L33Ys+kNMjK23fi2W7U0661wyXyifRffWCS9K6P/0i3OJnhfsLphNam2
yNeOIXikPPC2EqyEr72fs9krYHjNgq7B+ykctqMAS+20MV+sIpzr52wZwJ62pNWWNaCOLWztvjUF
m3bAyoM19/kTXHhB50o6FgNwENRuhSQZGBcAU+GC7j23y/q1EeSdTd7O1EKAWo03xKS9jQbYGmMd
8h6+9uvP5m4MgspkCVb/gko0EcegaKx7ORRsySzMCcOPz29zYRZ7p5f3j6UUhkk8CqhAkA5OGLC5
jiP42jqAi1+JoZe+wv+by6pvp1hVW0+PT7oh2Ti4T4Lwzee/n5yG+3/kAufCOtijDJELa1J0c/dZ
5MQ7Uk8PLQPuEyQYGPrljc/uYGD34TZtgn7iK/e99FhnE7wGS9opoaXcwHKT7GgJfNa0OOYZ/tv1
1yb4udZOK8DKXK/XW1hGmpz0ACWYioLGqEBX/fztXXqKs0luVqdyeVXr7bTq302rbzwHat8F1uJf
uv65tA6G8PUyLvjhSPojoKOsMT9hwdjdrzqGA/HXbnK2SsMaiXM44ujt2oXvvi73jZTPpliuZFIX
Zsi5vI5NLo7S0VKKxugGNqBdS+W3cByuKRlO0eI/xu+5vE55fV1LfvoEtODoPTAtEHzDWwFm3kaX
TgCKZMWujKhT7Pive52GwT8mO9BH47wChQD024nP4qpkrDq07BE4Y8Ho59pm8tIbO5vyMciRAFch
5Sd2ICeGFLSv8Nn12v5Ku8OFYfs/ddA/niOaLDdIn/EcMlgyUlJ23xsw8FYYEXzxq5/N7yVQOGmw
LWzIiZibQ+ES9+h54GlfeYT/6d3/61ucLd8Box7o6iOGFbocKvSTArwNVxJ4P6JRhfgT+IKm6TOc
v7vltuh4hL6qIpLNK/HR/Wa0MGkVMucphCsrjroWKAMBNZCxo99M4xGbW2Nlm45+Mf+mFTuZnRfD
YVFyQsce/EgBApcKVK5KsfWbJGhVeuy4XEFadCGIPRZGOiuYiY7swVSnHdyHPd5MVxLTSx/wLO74
a9B6p7b2jeA4RpuAZri1QVHtLHOL1y9FhXM5oHQKOq3TBE/7wn/puZth/D2WznLl+114gnM5IDaz
S+UEttzStTdA7bJ9uw5vcXtt83QhLJwrAmHHU4m1nwETULX20D+0dMMmXqDFyNaqddZDiJ7taN/H
TvFFtcS5SpC0sR+wyS9Rk3aCDSutzkVb5UGAQ/UBLVJX1oQLQcg9C0ISpT1CO7jct0YoeIU6CEDe
cjDAJQQWiMevff6zGERAWB7Lbiy3gR7VMzTr7D6SYv41F8S5UoS9NATOdhAuj0Phmbbc9DMtA2Di
5yH66BnQfDsFFpF3JRJdel9nkQhaCTFOAdxvhMLpSD76M4HKDQ0DqlojL42mqwdYl2oG58pAIVG3
4Z0ut271waM3yKQ3w0o/TEGBYDb7kkQbaICOQ3etgHbh4OncQ8+ZDUFJoi63a+3sJJEZvHgACnTT
FRzBmVQbT7f5HH1tUNBz1WBIOVBVOgQIQ7ThsI917+dNFEOKEIhJu1cG+H+PC3jr/nuV9XHtQMGl
JZub0cCsXLG0HZv6QSPDzj4f3f+9wgL6/O9bwE2tVWrBEVoY+kMeKCJS5bjXNk6Xrn4aif9YXieF
gikdidwGC3BnnVrAqdLi42s//Wz6u4EhWoean4CjBxegJNYEV178pd99+vd//O6TYykIMLj0ujK0
TCEjJ+3281996ZuezfUFToKqh8tsVirvppPDLm4fuuJLqyGFB/O/fjd0lG6IIcMzU9j2gP7EIp+V
8yR0kX/t15/lGtwP4RlLnTibR5gNRzUos9RxfTDH5d/P73AhdMAJ79/PAAfejvuwwdnWdffXU+0b
+hOPsFR47Gaacye4nycJhM0y/K3MtXH635ERUph/31MEoQAhalRbDap6PjV8PpAW0bGngqQ4iImu
BPr/jlL0XEboLDOOkKpOwemT3nTg2vOJ31pqATQAbSEytxh3a1KPX3PKpOdGecDttmNPmzhDPcqx
eX3qXIHXZLRmn3+sC/PkXFAoIdVtNatjHIQHtwJ01cVvf3zt0meze5EgqlUCiZ0eRnTSjzVCufaf
Pr/4pe9wNr8ndEgAKNzwrDLhC7dh6kxvUf+zQq2C1t7TtABuU10T01x6SWczfoVbVQ/WukL1WrgZ
4IfjB+/q+Jru7kJAic7mfAy5NwtLP84iBjxLMhDZ5iCwfIwTX53k8/d16RHOpv0YANETtjRGz/kK
gtwjAUT78ytf0ETS6Gy6MxAjYdQm5JYsDp1uqrKo6K8wmCESgX6iO8jFh6rXgZU5rH7X2Y0f7dA1
7SZEY+7wS662Y9sBCXr3pbMGeq4ynJ2WwB1mOG3XukHsy6muVF6E2jjp50984V2eqwxrpYYgIjLM
xnh1/AOAFsucw0UdXeqf3+C/E356rjLsBqDDJg5y69jAELPk04Pi1bHk3V/ftfnYXmvhvBA0z4WG
SBl9aigoQqMpJHIs964sRA2wprOrWHileHzpJmdhwIA11/MBN5nAxEmcihy9Ve2XlbzGpL+yal66
x1k0YHKEO8uIZgBQQnLAqh5ATHkLA/8viinvn3+TSx/9LAY0ZRS5LuXDZvJkBYSLA0ebmbn5165+
FgJEtJQucyjMYNCgC5RWJ446pMPL51e/EGDOLfEYSm2UBC34UyfEkwo4NGlDTFIZsWttUJdez1kQ
UJ0lDc6mT/ROWX43wI+IJHDX8ErOdcqX/3+FhJ4rDUE7s+0wTjBa7jBAxx7u9K5/56loVxu2q0X0
KsNrzYMXHuVcdoj2b7rSyO83KiZV7oPdB9zOVX/CC3P73P6OWo+uuhz6TduIjU/8I6OQWsd9+zES
9KsVy5/Pv/ml+5ymyj8SYPCNYRgXgqoE4taTAhC7CuWNNu0965fnU0PQlfB/6T5n09svx8ChLb6M
JeS+wxEyjqGetAWVMax5tqhr4qBLX+X07/94Hmc1VcuBytwI9DJlMfr5UgT5a55rF2ZIcDa7V7Se
cDV1/SY03rvS7BFWFx8NoIOff4xLP/5sestKVk1j2LjxYxkmjseg3V95s/n86hei37kIT5MSmssG
27OGj6PcgKi3wId1rFSVL4Gnu5x1xrtmdX/pe59NdD5RzkiBRwGw4Tfc++9QL3ybPB+QxCnam/la
p8OFhzpX5hnJw2EIcB+nQlGt9e1xNjOgmjLaRZDSfenNncvzygKBJVq9bhOZuQOWfMIC1bVTEg3e
Q1/xK0fYFwbXuUIvhtfDUPl+t5nKEdg+GYHK6YT6VizEfm0Wnsv0gEMOgrWz3YagFpCgQeH3yorb
Ssh7G0zvpAXx9PM3duHzn2v0VlmxtUGlaxPHuk1KxxyqEqhR4Yv7cNAfdTtd2cBf+v5n870Ol3AI
QeDbqHKSiWG+SIrV1AnQt13Sze6VuXNhZp6r9ThjuiNFgNsMLfBsoiQ4BynGK2+LXLr82cQfybLy
sROonEBTHJY47VxoXorGpjAIvrUWXeOlM7/6bN6jnfkYK9bmMEDtEtL6+eDP7hfHx1n6zyluNUI1
vpGAWAc0UrCzM8+iJXcGFoGAAH7/fHhcet6z6IAjCxwMLHGcM8dP4sn53ej62+eXvpACnKv3SuIR
8PXaMG+DsUpZa2tA+3y+43013oBLOr5AMe5ty4rL/PM7XniYc0kf0dA6rnCxy1c+az/tyQnbHBBd
R1cCw6UbnCbZP9Y000cj9iomziMZbZq+BeXwiwklO02rf1waVnbtsICxmk+et10VuLhhn33ttZzC
3D8uDTiM4jJs8VpOll+RQGtS1Y7hlZF6IVie6/lgv4MmkqVh2YxuAb8ub+vOPLhBeGVGXnrlZwu9
60MoRquKZfDnyGffu2e1evz8vZBLI/RssvtwzZIdrRmM0KO/nrb+H3jXj4eR8/ip6ac3aosfo+mO
Qbcu21lO466th/KphFnSZqykm8xL0yREgySpKXukceABglhe80+8EFHPVYC1IW2hxybE0UpdvOlW
41xwJSsUyqQ9MBiKPH/+Hi7d5ywGKKc0LLI8yCvjADHNxqUGkhWdOztRrVbeDch8rhUfPO9/ldH/
2BqcK//CBZDGqWj1RvazreeUaKU9s2l8NFb1Sad9glEKLHXlpbLz4hCg+HJdsItwDePA0sIPAlSN
RptAVrkhoijhx9rynux6rYL2J6UW0kxs8osBAMxOWDDrO6UouYkleFXHqeeWBPsZvg8tdIG+Nfo7
Q3NR860hJ0ry5IGeBL8iF76ktKjc1qQTGdrZ5MtqSCiypZ0skHUsbrDR4KpxkjmMigMt6ZBCD2C+
+yED9VWv3Y+uWdkHcAXo8A7Bsg5v4NBd8aTAVncFyn4mzQF2ZPJgbODeLXU8oBV1UTM2fVVcOf22
9jlTP21EjHOo64KJEdDyTh0gwQq2tmZ6O7qyu/f6BaeJpYL2fo1kCWhFReFY24RLlaO6O4q0mK3I
fWcFwZKpvZbx+ibRCPBaA1wazSLXQb1vos4/TbEY4FhQyOeMc1qlQQFeczS6qQ7Yhnqx2sP4atpG
de/lkKVmpfH/mG65legQSkk431Hb5n6DlgM+2e0y6W3rxW3mTh1JVRSmvVucCNP6SQZe2rV/vP6m
aGybNHOfMpgngwF3A2dYUBHyuJXbvtWHeXmCs01akwLdJDdVgxUXjtSyTNQIQ0vbYOUaYd1d/gTV
fFt6bp+O/Zj0/bvAmlOBSAtZ6X1fzu+z87snxR/gHN6p846mr7u19Y5zZBJT1uli3XzQeFcwDhuh
STI/p+kPdpTB/GS9527pDvBTSjrwXpWHN2a6JFi+97HJ5NrfRtOLFfKId36HppG9P1fvbjz5iA4z
hvGiEl+tD+heaQG6BepwgGBj1o16gs4XDl88aHZzjEbk2Zn6IxkGlkaUN0fpCb6FAJvqJCh1t2fG
p0uGsYkeZgFCsoMiZDcsMV58b7JlbeMjXq2bWKx6eAYczzYN+00Xb9/X83NRjEHSWf9QdfqWLywN
C3qcpM7dJbrz+PSjm8T3Qk5/aeBrWGabDB2DJfpxLZpyHfnqLeLbOPQP/ooh17Y0iXBItqm1fG9W
/xepnVdYQbz3a3ynQ5U2i70Z3TmTjvfd0gDez9WSuq4ED7iVbxEMc9ASnZXecNSqxLiopt+OLXqg
1uMNU23Gx+cqEsgfc2Hg+zT56G1f6M5V/UsZk2eqaMZMByB5Y57oCiPbeL7zvVcShDlYDpu58G9r
L8RBEou/T1bfxa5+EkCSLMV8q8No45sJlI02c6oSBw571DByh5CjlpWBw3Z/7GE/JPsuE9LdN26x
g6HFRo3RzpJ5C7eSGyHrpC3ITSuGezQKiaxRzWaUAvh6kIJL9QPTLVk1vxdieeVun4GjBxz8j3IN
Tzzy3AnCBHq6dMF6jzAoIXmr8d9FHB8VrOXcaEpIfc+aZjeswCSWZgMd58PYO/kYmKPAkFKm3gD6
s7EAVZA+LrJu1PdCdbtR/w2D3x4tX9Amta1VhOYcZI2lf/B4nwYde/WUxI5WAve7N7F69iJv7xrQ
bgS2VYAibD3WFRk6FW896uYleEJJq/BNo87q2976Mhm96B2o2jyamgc6ouPQTPQdVtkoskXvnjHH
9cTSmCdwmOvbJVZ5B0BBUrm1PUWMbwBxPdR23QnuPVczllK5oAkRvalI571YbJgbPmA1gieM9WnS
UN/kwejyXShBEo0D9GqYvgKMQK8YFGM2Ye+czcGkEjHAX250GPuxlrx+BjIuNkk9zCvfjKNXfxsL
nDclkNKED4MXsedinmNw7G09PtdELVkrG3z+stPpoNAkvvA//gKqO1DsQ5Dib8fmeaoW54ER4MYT
1TbQkBYOwbyu3B7d8TIqw61iVL6yCjiR1PPjBtACqcM2CXy8nJfYgnWaoCkBPuKqYGGFjnrDATOn
w/iNTVP9UsUCHreEIaRmK+zUmmSSptoEvat0GjE6DzdWLcsDhzUu3SwceqKD3wT6V4RD8bcoRJWt
6Tp6ZGxw7ry5YSm3GinU1M6izvt57JxNRWKkM/5Kym3l+MMv6kANHi5M/YCNrydSCLabt6aW46nr
n6VyWutbblWULlVV76WHK2berF0g3nU7+lnF4XC6D4plim9NxUn5N3D8fnwiRcWeZxFDh+JpR9Nk
MI751c9y/sW5V79E5eAiTBi2n3FuegdDv2XeGKz6fxdgmEnW9ia+Q0/bW1nFzs0QAgK4GfrWxxSb
nHjMdB+hfxRaLHpgpPFzPox1lxd6iBHLR+9FeVHxY+WywbTRWDCfh75v9kNI1HO3+u5vIWBAAeKT
nOntVMXth6h66m6AhBp/oBNs/quqosu4FWW26pruOydgx1LN3h/qTczgO9JmJ4i7HBW+4s8SsiXY
xg3dcQJH9Dd37cAe1lrH2x4L00PFgvYJnh3181K17Y6NcYc5CDB1nQ5NgBofnzt3x5s52q9SkGRi
VfSqcCnM0rBD3sD69XsP3UVxiLwg3LdFqzJwcX52hPX1ppypCp6auFM/Tog1L3FRF/09ON6Y92Pc
e/uhB8/hfoTT8JzpCQsxANkN5heLayxMC9P3wdz0GwcUs0dpfftWRWT+zno3/NYMpDrgBMDPVV3b
rRmkyuHA7e1iP1yOCJjTr2Byuh4oCltk5TBEOybwm5YF+rUTEDmN48h59Bc0lSxBAUFviLeI+OE4
S4plbvrezaQusqZY/AlHQWFMb1c5VX6qhkZ/zGtbPfhFv8AbfZI3tbXhW0hFlTpSkhQyS5pan9S4
S4sVDDtAGYEWWgLkrv8GEmcziHdRDTLO1rZt1x1VxMicrnWH0AvAODVPcAmZnRTdc+37OE+RSxPk
jtFbF8fsVSvuyrsWsGKB9mKw3d5r+FKrDBBEEqaRK8i0L2fl+Zu5RoLDk3kFWGQ3ozN72QDmPjrJ
Os3mwYf+t0/IHMJePA18OIXlsEnHaassXSGS0EjLPzQGqnUSV6+6FfCdDMdpBEXdoCS518wOY7cx
HtxYKm0hwoolAsSDguVYlZZBiUUsjqq0VnVfdSlAd04/pa1x5AiKOWjhSHhr+qSKwvupKcDscAlK
B9E6HBvOlj+DazVNiU95gNhnw+rbPHuiRgIYCdHuBYdCdw2kjwSGO4psQn8ZnNRFiq1vaE07k42I
gk91J7i6tUXpp/G8zl1eLbNZUiCGXecXEp5xuXMrEXvbOPJDr0jRY1Sz2yi08fh3HEFNfLalgwYM
S/ohPtSeJR2DtAgWyms6eVWsbpQey/CxYYD2NolphrG/tZO33CHGgDLvAdOuN1ZVTnxoR+s7GeiS
1H2yrbRwMsPL/mFQSoyQI3qTC9TaQL8DHFBMqSgBsAfXvSp+ifm0lbOhF8VbVrV1kyh4Zq2JW3v1
q1sitchmycGWrvS8+lnPkDBWLhJ5yDNrFR9jeNYtWc2Nv94VHXhbD1PB5nHDFkCxNxFggTPe+Szm
TVlFS5hJS7tyV3N4/GZLU6u/aEMZi52pSNG+4tss8I4BT3JMqZLumHJM+Cl1WwsjNeH2SLAIFJLQ
0QI8WeKMcwp4jnbfsE/RutzQG+YNkd7VaDwZM+DZVnYE2zF8132N4GOWQjab2gROlUwGTfS5tdPk
H5zeovTlu83AMrhXRsWu75qxzfxWzkGiPIJ36DG5/nTggKaTYl4l3/irN3wIS0kMso4f6N9rI9Ur
JpbfZC2cte+jnhYrys+2r1NYylReMqEJrN6Pwxi6aWRjbVIw/kKZo9e7We7QkdNHKf5Xh/0eSlab
FE0b2Hkb1k3fwcFE6OawKXpfDZs/hoiur50iekjHuIARHz5MVO8AeVrCNFwKBw4Mpbce0fIh8gEt
s31mpiiM8kIaLbP1ZG+QYGyQcRsLZwyypiq5e0PRI+wn6FjD3whAJdTegftSt5ljs7TZOEeAzOCK
tswpcCSQQvaYeOQg2q6gf3x/wMbGx9HqT14pi11BSZ0/RdDSZWuCanJ2TIHWuAMuYX7kKihNprWn
ypOlvucmYeUhvImg4FXmBapl98SW/EiayTlA67X+jjWB5YNFi/QE44c4hcwQ+R0M8SN7EJFlXt4O
hPsJfFTpG+KFqHLuBRr+xTqajk07hL8WpEV1IvExZTYTzv7W4azXo1CmHXcgx3vfOoAioo0iDJgu
O+thOmIJWnlSx00wZwsZmyB1kGbwnewrAVEbGUMvXcQUvq9dGfno1JdtiMb6uC+TCF/R20nqINES
aI2ebguvCMnNREuM2Fmz0uRrRzA5cX7I4iMduNvk9STaORPc8ZoNoZBp5o5Z3AgbIlwbO4gG0uli
RUiHlxpvYc08lR5PcAQSL0c5u12fomGMrZulD4YVq2ml+ye4vk9rWq7uJCDNdL0qp4JykoUQdIVJ
6Djrqyr7mGdYSwco+llEXk6j8gGNSfBaL5zKkAPqacGvU6rpJUjI2ZD0yuXjDiEO4mUp48KkcVQa
SLqZR7wEnUdBmazcJ3xbLp0Jt2EfQyVgLV5c4hfL+N7rqh+ywcL6Mxv6Gr4YPa0gxQ80kq5DWcje
zRiWnzELA9kNt5i6dDiIEU2IEES6gOP5WJXewmiWdcqwocTO1Yv5QzNIVx7qk9lqEnIoJ9O+Zv3H
2o08QB0jNHdRxwmyz7nHkNWBnGFSG+LAKnVDtsDxXdTx+0iHpU4Y9nDVvuSiDjcr5rtOWaHCB1BB
h5dlPjWHO3qsX61j/MdygQ5KOk4xJC2xfojyiXBR+4FRerCvFbIkbH3BakKsiYj4hoqfVhC6lSuk
B1QEq7oLndrpkwVA+o6jPDSEc52Q1ZzigA24Wsuk4PoUpe04Uf8F6MwOZRQww8vyqXDHngAgbU5r
5+i0gzvmPr7N8Mt1Bq+Yk8Gytryxcy+kTmbwp+MdXENQ3J3hxiGOPhZm/RSL0QZ3Fvl3/9hrBM/9
NKw23o4V/Kyz1np8uaXg1z7Aylb03xpjOE5aFpzcU9jKIMv7LRWrgpt1aiL3iLpTx/OaOV57aMXI
dIS9uh5skdiZRux3r4TS94TCKGA/Q5Xa3TU2GBTa7AFWxXYpXpLWdjHZExr3w73ft079y1NzpG8D
TXuUtmpZafnH2K5rbkfIRjTaAxaxvnCHFMOjLitfHtG7WtA93IcCfTd2HkDbm3J0dYBmFofyvytA
QTM2td00vk8ggCvkoBFhxUEWw2J2BsohTyToWJjcTW/gFJNMGBnec40k5EC9irZ7nJJP3p1rFPjd
aUecEike+iVs1lYhnNCAWLF/UZeosOyCRDqYpEKjPMXirTz9u/Sqxj4yEwH9KiKlybOP8xn3w0UD
hLf3HYYiwNBhOr6LCJLuIgnLplTvE3TqDjIo2pazTfs2ZN2eOJO7vsP8Wg57buTg3der7ckWIOX5
IWyGet/jmGW6xR4hkD/p1AT81e18Ory68wIJN+KvM+KlWypWFNTMauBXm8iArJ2btHXtVPdROKzz
HwcITApRDqnRNZrxuFa+TkMrxuBG8dpb3ssuNOIw0AgdKqjw2jpOBL5VmddaieivP4ycfMMWms/5
hFx7enCJEznf3N6L+KGtdNHdxcov1yycpFs/apgxYBMJTSPgMUkfoOckuitWLKU2gS+sXrPGuuvs
p1EfY7FDcHfc/cB7t9I4nXWjoEkipHETyimgCGLTQVEXZTvh26DezVBYsyyQ0imz2o0Mf9eBsSh0
0Nmt2qORrfTiBCyR2UAtGgwIa5BVGXLjE8Wme1K7MJdfjYzib7Px4LgWkVIO3xzaRBh2oetAkKkC
WcDd2KcrqqYI/+uN0U3jzCjt+Z3GWaIoC/yBz/rublAdfstJAVuKuxZIZ/MNmaknTMIKxNADzPaK
ARKN+hQJRIdiaJCCthnQTedyz6QAnozla1FCIFLd1iPvlhiVFgy8F4OJRl+6olsoKnouVm+ahpo2
7itsxBZNMzGEPkJiGEwaLTiua1DVdKaumrbljNnww3c7O+VeWGqSIpXr54PTiKFAOiTG2xj5sh0S
SupqOkTaRqpJq6DCobKFFG/IaETIuHP6ZfVvcP4c+t9dGpvRTUbNyfQEb+RiqFLbw57mljntCb6I
Y/ZgeS0tUm2bVlwXOKamS4maMNJDBmnKgFOw+9YLOL2TVMT2gXjFUkCt5PdSQ+1D4ffWJ1NtSpHH
yH7CLZrMxIAURfdDkftVrYoaaxVRqHRETVX7DaraZWdvJzPHIkFKTdXGLUjr4sGGId6g3W3ESDwV
MYBFCHqz8ed4MDvNtIP6Km0HgSTJwMxDnuqiU4/9XeKJRnmPyq6mv5mGwGUHmE+MKwoFdYssoi7j
Khu4r+gBgkTabVBW6P7wtaLRASlq5R4Bf+qHvFybucA6Ds/iAzerbDPhQdP4THpP0Pel8p0oRRrm
eDujjGK3xlGzA7rI4i17L/ZLFEkUKeL7lo4UpbbBGf0NpVRkpCV0B1ezocxXTAMY3ONsG0fPFTFy
J5Q/tanvuTJAK15fqrvG9YcXCC6wr+QFKh5ZJfs2yBecV/NNJWyD2V6N2FdCcsVs4hRBtT5y4MHJ
BjTvCEcWqGC0m3HhNP6G1tRR78PVlerPsDLUG0qGntyEY4oOP1y0lnh5U/h8eCpDbAK+h4QE67Mk
q09yMWHjvAcKDXIMtGMY8E5qRitk9myAzN6dAxRT4WPhYJXvYjel/bQMLyg6reMRfW2UZLJ2Fc8D
pqfbKprnfk/hfNXvFHopq3sUurr7Ri2i3OjZJ3HeC3i/5VjgnD5jE5xaACZfIzfte6TCMrGNjm0W
dpE7/alHE5QbnAifZCk4RxmwhYv87gOFqLLIkcQMc4JGN1rf8AHBbyfr0JK7pnAi92VunDh8Kf0y
3rNmRJ0URTWxCUMBNcu8UMFuBZYRnpZdrcKsmBsfLXJztxaoD4BytsPhkFMnsC2q6mOnApzMTI0T
IF5344w6ImLGa2BhOv4SWQTHNxhgYvOaNGEk4bOB3VOZmYWi51LGmr1phTV+w+EH9jTCZQT5Rqwn
+wiNedm8uKHyX7BpwR5klgNqmTGn2jvathL8AyygmX+PYjH96hSMNTbjLGy1HXHOdNK/43TlZpjD
AHXpKYjE7f9xdibNcSNpmv4rbXluVDt2oK2rD0AgFkYEd1KkLjBJpLDDsQOOXz9PZNVMpziZ0kyZ
5UUpkbEAcPfvXeORY/axsD2v55gQy/ppcSpwDsuoEuPJmRPVWIFfqNiygzIztfFLkSpP7jO9KWJs
6CKd9xao/vfRVCZrnr4WfRxg3V86KBQUql2Asqa8Gf20O4/87BzMpanQcFBLfjvXDth9SabcfdJV
UC1TPB5qNbjXgnaxO0MfZ/POmA0oAcOePLBQp7OLK7yxawvs4prvvZ+uO0+N/qkSnv3ZYVje2tOi
tlYKaEfuJ7CwkQLVDn4PdaCTTNbaKPUtf+5PMAdkraiuOHs4tLYO/28zOKu3aXqFPXkuaaxcTRRs
dd6Zu7kyfVBKfbmT6AteR8t0UR5oNT+Ifug6Lf0S4HisHutY4arA2/puJUt6ZTRQTk28vsaLmiKq
rOo5cBo/fjdHL/ucLU6x1dx2YCCZ162WZsbJSYFZgpWd91x4vjnADVW2uSUeaTpqljAPdW0QwqVa
i/o7jK5h4vvxFy6n9jmP/SoGpaGDeK5Jl16MFcFM2ujddzutaVi217F+EuNQ3ciyW3bCdRipUmlV
y1YzuilnY0gaI0w8CeNmJVS0InO2VOS7trhCo20fhDFleyMzm13qtCUWR7t6adp13maz30Z5xq8J
cty9GeiwZeaQWct60FTlFSEQsiD5Mymuq74cTr4h831ej0AtJPe10SzNdmNxckkCfVyp4W4qxoGx
67UbuynEWeAfOAF/6pEyLiDZsOoP1lBlEduKd6wMXQfwyk3/La8cBle7VWKr61W8pcvFeXDXLLsp
GocYScNwN5W5FG5gDfN61bn6EmVl6UdU59Xkbya2GQ517eSBaE1ye+UgfJbXSRXkIPimRdtGn++U
rHCkTdw7X/tkwFCYAcf5jGmBT0hiJBMDUDBevHuGZPslzZPM37AklGXoO5Z+a2up5wX61LjfMo1w
OKjnialOlWUZdMXiBcwTNW1P/pRuCsRDD4PfiQn/hCG/aKamzvAH8Wc/X+xDvnrNbUVI3hi1hCZu
inZYN11Oef3iaOJMSVv93UguXJbkOi/NzK7pcXBm7LTN6QDGb6ComoEiYG1NIu6DZkxWIKmG9HbS
iMrxms2bUkfdM5J9rg/uo1UK42hWWY/fukxU6OqTp18KMsEh68JGzlpiTMT5aM+biY6mU5e67mfl
qeYc59BoaVG5V4amdBnEHNJPMSK/SBFYd5WspCSTWAoHW5I5FxYyS86T4eqvQPIMnZ10kzevTPLQ
N4XaDEwdR83T+1uPieUltSTx9hoZDyYmnMws1cbJ9Yu5CbTPCiqi+k8FRYhToOqeo4tlEoGvCTd9
yjVpXjeZV7RBlzrTKXZddUjbeoJbYMu/i01dexDm7PZbL5Ywp8T0t9A55Tzswd4uYKshOcr0sjv3
nMP2Q1XM15Njyrs5tzPQYFhS3SC8Zm6yszUgrh/ZC3a2vthIDrP1qK0r2iVQXsPmLszLjBOwNHMg
/FLf5p6dT0FHV0pYqaY69l43bqd+eUl6dMMCMIZpofEODvbs23VNviRqWpCYpeR3562902a88cXs
TSFihCEa4fN2wrfGsGF/PeVTCe27as8DLxMVTCqCxqivK4fuTxLpUJhhBMZPGFdb3V5pXMWpEnRe
7+xJrYTa1kpKhEWq5K4t3W5bYoK9Hqe5AlTp4yvdXszvS1xr11hjL2fdzpm/qnkQV2OdC+h7T0R+
saa7bpyMSyrLeKu8fLp2XN8A06ksrwyEzOuNYws9YPI0N71bydPiSue5zeC3ceZ0e+Bvf0+IaHfr
1Oty8DU/Y1ZbKw5D/vAgU8phu2SCMVqzVL27pj9uffTpofLqOayZTkN3pPnCNn1c512i7bWpbQLh
+jpbrEgBwZT8rsvxwaOnHhe9LrcpaP1jUiovaBMQ3YCFMIY0B001uuTeYKPdCgM2PVjdVM+uAfBa
WlZELtNzTRiWfcvW3TVbMkxfembiRG2Iw0uHndVVGR96WnMMvkExplZiRpykbOOwAN05L7bI1bpL
HKHGa1FYi/aylJqS2yF3plaHa42X5F66wxKfTdqTmO8x1SbTYWK9H8oNnKASNMFKIKjNWiOwBDhN
LHeuAvzeNeHPrp0Ub17D8fIzAbCTijrb61n5UkNxibwM5UIGNrHr3BEAg0M7DaAnBpklO/MdVEa0
9tSzWkgyYtbgoOvdQT96Czl/T5YJknSlFm3hhN9OtZ3tVVun+Z2jWUn+nfZ0fIjCqTvatgaYqfIb
U1PZm4GuOjlxh2fkl05D2+pjkCYEvTwhtSidXYycZD0Y2PDdY0rWRM7m3/dmcY7d2MsfV6Gs5t1N
x6R6t/xJllmg+zxl32trMitO8TMNLlt/6hxjswyrMGmwMGgqmVvVyBz9wFSUe8fz7W5f53lTEFUI
FJmHMmNRlyHd0P26n5hkqrt0jedlJ30x1+gCjDQ+dknapK9k6nbWtxk5a6MBTpcyvq/7DB1YUNel
ZzGCpbOrXYbtwv1WwQIs456jlBqQGgmSum+EtcChgTSLRe57KgAaULwyHj9rxjIUZ+7Vot2vlAMo
lOsNZKQNuuq/+Y1JDm5VG9zPFb0NSWjadi2eW62v4P+UrkaNUAS5FF/AsFo2A5qNSLNvXZLZ94bV
tsNBZyNvnvylox33qhQWA2dfjk194ApQ5rLRc20xJa4kKds3Auz66mqJOWRmgcas1H4yy7pyT7bU
tfWZ5FC9OxtyGcqIG4PLGqIW5e73fP5Qb6TF6LXJSRiYrxyx5NaT7HRWpqBI7FJ/F/7aZU88iXJ6
wDx2aRVPYsfurgwiOVAfONR4gUp7yndftYmt6zPBwVb1SK6K0tlYO9mPz54Amka/AuYZaS539a0u
SRq+s82sb6qAA36sAAlEPZRnRtpWO0ryqdT1mvilOrlLU7Zk43ljM/SXkZXWH7MUY/JsrHHdR3Us
ipoFftKMWwuCRroBnKfpHonWUc12Nsmi36aSqlnW56ZwxnPr2NIuA865q8bBpIyL7JD3g6O+TRO4
Ludzt1/0R61P5LhPrdlFogzf5qxb+ueTeK+s2gUGhXBf9SeiFv0a3YltFVcyNZcJTngc5iffE2XV
hJrviKQ+VP3MaTErlD9cxZnpmoG52kSGpEwezR30TAMY2npVbMLy2ZATLcBikddG1OMN6+3rchSz
P5+5dIjutn1K2ri1td2sXD5plSJ4JEj1wZTjFjBqAr+Qq6MXn9O0L3N0tFPCs5mrOEluOFf3s0Jo
YjqccawC/M9FIiZ95UR+tyY8qzYICyMnYgrZIHpJm5xsKqCn0bspfR9Q/YCMroEsWM3c7fpNMvmj
UAFkuzfm0exao/dImklVgUp01lg8NxpKpluwlK69y7s89t4Bjf3pwS4y035KdR6Qx0aNhX7vCQZ8
nueUULKvJLTHy4JGs+qBuAjIWDxzI2xn8I5zMy3JqUgLzznp1pq1d6IZyc8s5ZLOUVn2ZQstL0Qs
wqJuxv6oMk/lZ9dAfnIX2828fFJjk+bwv70FxT1WHoxyP5BOUNnCnR7XEnNYeBFw26c0tVbx5ukX
v8oeqL5wIfhj1SHqKDV0Xp4xNvvWzGxra1DMO3/1+9nKoab82Dq2cTEh+mjM3p6nA1KVxGcRdoQd
BwPNTzrQKaR0F3ZNnyxhVzIAA+Ct6MmuEF5Y41lRulUnNzVWk+LU293oPbcd4EtgLZWSUTsOwxyR
UVrXUV0ocUIPIe7zMkUk43cIvzaZri2fK21Ab7TMoO9RPTMxxdqaPJgw7hSEqQqu2M/utYS1BgTW
MGYYnFpnGEQ7WB8vGMnBAi5TZMaOVrGbuc/bYBwwMF6BhJnlURkesM0wtaYEUo2NYeOoGXHhYjQa
gHiZ2DZbBODYbWeQrXPtA/v7t00FPjGFVk9hRHLDAOV21YlkSUdRHdYItYqQgjFHezLmZPnalNxn
TpgO6OyuNXgGtDTrVMoN+qg5DjQ3Y54yLvdpGU7UbJ08ma7MFyWDPUXDuUCC4lC9EAqfz8hoUTtv
U+kn4g6o00q3JYKuT35JEMdNAv0smW/9Zt6g3qjR+nWKoyJdUYYB/xgbSEACiVu4Yam0M531q1xm
97Nvp8X6BG0H9tsrTGCW8ufpMdHN5jPNmfLWT3zeE1ONO1/nq1t7exMfX3aNqtQtwqnm7exWkx19
V+Rua58Kh88TMCL3zn1a65oK4mrtxd5ih4Efy3rmmaSc55dGs+LyXLSx/qkrGTbDJO+1NsiNeDRu
dAar8tR2qVXfSmG6+Y7Uig4pRoVW4Tr2UzMOuz6TzVtBIwlA8kKw1162WYH7um2ZgeCam3LnDont
3GoL4tLQbt0ZZRPckmw20qapJRwquyJahgM8i3BhOw9W44pXKP4qB55pnDgo52IkhU7DBhSMdaJn
m85uYyYMZ1UPlidbGa6uuRZhDOrnBIq7VByUH9ufctci8C21NCBPDWeAtrVZzMltbfXppXZ7EKe0
QWzkBk6v0qII+iq3jd0oFzk/FOR8JgGTJ2H3Fvumtk0xyrt3du2l2o4DKs9rtuTxFK2ZmX1d12Vp
IlDtWAQ24QpiX5dDs35j2crj0LH4xFE3pKAEhPbqRpQUlHKfY9nz/zXVVq+OGvoiim2em1JUSCOQ
HQukkLCRaBXTflxDARfjR2wbi7uhUGP87sTtYJ25agWDR56nb1ap0+GBdjBpw9yxCyOcu0nVIctb
DCBSgfqFDNhdfqV8e3S/L3NrHEcnddlX6gzGBCm2cu68idVw01qzkW486JjpaC/Okmx6CdwUSZVZ
R4sGKKjVQq7sjm1/OXObwpHoYoyi9cKyXquZNwyCf3D10lkCl3mqf2TjMfJN2jmlddN06JDCklMR
fHfFDwgEM735uPZMUmFlVHOyt6Umvnql7F/ZC0x9a5VoNUNCwsciMoekOY4Lut+NHLSlDKFu/BsE
dJUWzPqav4+NK6ugSBvl365IGd+o/2PscZ2e+N5wsCWqWVF5NBGlvkvbgJx6gYwOxEfcmxURBQCz
dovmVu8E5bzlTOLbaTQcJXAmsPxF1hpPl/P6oFubLPP7z+w4eb4FQbYQ1jma8ZYuFDYiCZ17J9+N
A1B8SMCXXx472l0IO5qxNmySZNSMqJrntaM9Q3VH0nUmedATTX3taotjgFItsxgj+JresMaXyZXU
U7a2WTcqd4NKIR85WEHQc7+49XKjoRX0wkor0MnRLzydfUYmp9p0ad6tn1O3sO5IP0/fnWQBaAta
jHxVqGPgGr6McKXeJVfSHoOFxjX8oeOEYo0KoKR7nApfOFcxwDt02VppYZf37oQSxjOdB7yfUJDS
VGlNmWPrrc3yqi3sS4Hmy7hXQeJkfXxamr5tnpcWf6jHadn050ivQJMXhlZYX/juAag7D2w2Yyh7
K+YgXAdoyUd8mbMYZetH9WI56WtvjwofltSlnrXEsLE8g60kCN5iqh7dSdM3nZkWk9r8O6H4PtS1
6+1QyJchW8SKGNZw0a8kdHe3Q/tYm9QE2Woc7waliahKMyjrXrMjWnLQ13PUQY+kNbezaj6LxRu2
EDPjvSgc/wiuO73OseHflrPQi0CsEyhOIYooaRx927aG2iMEqu/WkpTcqUf7LlxdBLnm22HuKUDd
AZoDrZp2GhGo3DndYIdaj1gmyytoe9mMJi0czQW/ldYeMKp5xoXePExTNW3SZHSPLScbMyhRTYD0
An6U8zKDhWfdM/KqkRahuadP0Kn25tTET9aaJFtP6DVyYEsFE1NLMHQ2aIe00qvV5bChJ418LoXf
fkq0YglaK9Eb+DWpkOua4KTSLMJy0rVw8cDVXDt1wj4uOjTRy3nFVBMwEq+bGMDv1hqX5bFFzUnm
Yxbv/71bvbKJa7PcI2GzaEJO4sQM2q61UXf6OSvLz20uv2fH/pnx5GID+oMPyuHgXcm6L6Nhm+xx
9e39rfEsIsMJrcjYcUgPrABD5q7YTGF8NI7eHltfZH1rQpYkgrd/8T7+wjD1MTfaLs1pgRMpozh5
ER53bHqc0PH9/EP+lYHR/OAjk7R7+HHmuludhTFyEJxSESozNJ6UGwcppNwntK76wdPbMeKYVwRN
jdd4JrJSBi5y5P1QIPligvr1e7oYif7si/9gQKMnggZ1hRPQnzuj35aDZ6W3kh0d3NVg5goApFd7
TzQ8ecLTkLhjiKQh9UNIYDn+4pv5C5fTx1zqZFmHJdM6d8tMSXd0ljrL2Y0Re3OAsvYoSx3v8PNr
8FcX+INlrWt71Vum6WxXQD33gRjNvNroFTKFfZFJ6NOfv8xfOOPMD+41SPbWr2bD3kIoGCiF9Dpq
YTb/xQ/xwYDadPbUk0hpbye3QrGgAwUkVeA2vyoZ+Ksv6YPpbGiTtmqSmPwiMIkAh8wh9vNrAmd/
lRf3F1/Px5TqAfMnUkfH3npWG+EBRVuNrfoXN9Nf/fIPS0m8wK3aDPvbBKFA4HUTK2QKZPsvXdmP
4dRG0ZjodvlujLVyAncAHu1X+fDzX/4XhnDjwwLhdHo14/rntklBbd/6OrsczhxFBCusAd6XZsQ0
DmY12M31z1/yr76tD89/6iWAZfRCbQGM7U9W2/XXuQ7l+vPfrl+eqz9ZXozLy/5hXXdzZTqTSqzt
mMetG/Wi9WVID5ZdvDlVzckobr1kQPzY9MYNxN2av+r9KuKNY+RmckytvEkeLd5WtoGNnLXkH5fx
P74t/5m8y9t/vIX+v/+LP3+TjeqyBDb3xz/+96Os+O+/Lj/zf/7Nh3+ye5fXX6r3/uM/+uFn+L3/
fN3Nl+HLD3+I6iEb1N343qn7934sh99/P+/w8i//X//y395//y2Pqnn/+29f3qqs3oBbdNm34bd/
/tXh7e+/ub4wjcuC8x9/fI1//oPLh/j7b7sx/9J9+fOfev/SD/wS62/oWJCOAm65Hskp3Inz++Vv
HO9vus8hzxO2LzxDXHJ3a8lE9PffDOtvrk7Kke+A0l9+hjfRy/H3vxJ/Q2xPnJVuGVCIPlvi/353
P1yj/7lm/1aP1S0GnaH/+28/rkuuJXgFzxckYfk6nJX7YX3yjWxy+nJxo8FO0SCtq1KffNUYGyLd
880fvpl/vvYfX+vHLenyWp5jGa7h+K5j8OE+vFbvCCefE9L91NzKr1q7yG2DdhewfqCUNqmaX2WB
/B5M/T+Pyj9e0eG7R3AvfFP/mCLnV2vhjUXsQKQuPt6tChd3iMWvmoPaNevN6E7upzzxq11q5rYe
IGEyk6BWpr4DhM8OaDWTo95ORlTWibjWilkWSEaL5heRYB+e6X+8US64ZdvcCi4S0x+fbZTyhZoX
BKaxq/lnB0Zl54HgGYgbXfIYECGWWMSmZeeKrv88dSut8hqX8z4Zx+KpBrjmpLz+qgHp9yXl4/fn
mibncjZy7kTuwh+WHL8VFDWDeY4MSudhLpEFzYZMvzvzkB1nA9+BWRfTURT5/FTBem/mxPX26WK5
n3BRVjdqSY/UmB3w7tzleiKvYj8ujvFE0npgZX7xpllsiaaRt/tSGvLrmFyMWqpt7n9+6+m/hxF/
/Ciey3NjmKaFFOPDVuZl6wxfb9pRM5bpqbv4hDUa+65KPY2fpardO0eUbQXcMnb3aFnmt9qZJVBM
VdPuhiv9oZzTk+ixZTVuCQnI4AHV+EXzywxBsL5PRH4ju+SAqbGLRG0uWyBLQSKQm53Xbq1CM8UL
aCG9T6un3LL1x8LM90Od7VHsD0HeMxPCTlNhnbdXuSHCoYnbsEckFGiOd+zWbDsCSvh3U+t9oqcw
DfACVIFUxsPYOUc11VeeVz3kK5bLsdrFWC5HwjrQmESZNSIXnq+zMXmss3t8eeWVgFOI2/hY1qUT
1PNwM2TipcfYHFqZUQW++obIH+txP4tAVRJrDBctSMz1mbnsmPrOVmAmcF3rK5q8N3iHzbSmj3nb
H/umDxFFnEyZbXFBMTWN6bYRfR+Wwnxq5+XNmV0cj6adblq9OK1rfI93qwrSqnZQq7suqjAPFBHw
4WyOow+S2GdFigjDbI62067nAUEuMhLTEEed3W0JiovmOaiTxf5VQeHv58sPN45L7zbyGVTaxNV8
OEg0btUXdq/sSMcmfiOhUZCizeLkGd7OrJYuRJOlPfgS6Vh0gVn6aOzK+TtalO7r0lbTE3Oy9gb1
VuDqtJIImsBG0zFU1UaLzeZWprLfT9MsXxIMdCYu4Eq9+eOsP4xNLI9+CZeqU8x6Eis97aNVmfCE
a2pHrpV4R7gmMPTREb96YC4rzv/1sd3L9ofT0mYB+PHRx8PUTBj6HTREvjrbBZGFYW5o1qFhC7vV
FDbiVr9o/PVyvTOyrjtV/ro0AUeghtJey3sqpx6VDyrsrz9/lv9kG/Eue4nBtXDQ7X44ZqHuqKbS
nu1oJicwNDv5neTYQyuApeYl+cXK/Cdfg2f5huEToufp7Fw/fg0yNZzZUwO5bqp3X5Kuc6NLhu/+
X/hIf3iVD4tT6eUQamZnR4WZZe8ChPTU9ygauC9BkkhzUNufv6D+44z6+4bj+T6ILWcIGCLjw5fI
HZo3jdHaUW2bxnHxirIJ7H7MrzrYh2dPWg02kdlDImxU4gWOqL6lErjb/P+/Dd9yLZ+DkW3jmv/4
9Wqz3bSpbUdaEoO3Lc6zYQ8uGnS/Clcf+SHGhmRTOuMUgI0+FcP0q3dwGfD+eJ/jcOIsZVOghMxK
eB8zCAHwdU+VuROVq63yIAU3OrcDKW5spx6nIFhAHzAJ8m8y7ygAJHyCUql4649e/auitY+HMWSN
tmVxALB0ZFHCvJz8/3DCXy18+qPDLZYmZRE5eOmIbGHoTfXG/Mdh/Yez+s/OYhwznMuuzvLo+NjX
Plx/BAEG/kQNiVnpINIvc/eAlHA+w6lQOOsS+feLK80e++Gbhq3jZMO5j1UUCfnHb3o2Btuo9DmO
StyEJGFac+jHy/yi4R/vUXPGCXgwTgqWUoVppxuPyTB0m0JRxKOrxd1xtigjYZCejFhoBsDpxE2f
+n1IOcN6RHKOitn3L0ZVKhro3VNiQjrkO6HSyuyb0ZT1JyxbHkJ5bYj0Vbeu4sRXzwptVyA0Hf7a
88zK2Ehjbc/zMKdvfEPp9UBM3Xs1mNYrjfDOts3s92ES6puv2TT3GnEVlqtT7ZpLuDnONmlxOEA6
gJRn2uUYYSNCmqqwTc3yerWtmkibFGfc4sQjxGHLO8mtNcgmL30kjq/H/4SvoaqQdUE+6Zuhqawi
HIByD8PaotYCBjYkwgPlPsk+LbSgKPRsCi7C+SRY3Dy/EuXcnRrTWb67mYoWbN6L77cHtfQbQT8w
NAkHURzjstjOllInYacS4/QwnWOj1Z/bPDfvpkzREI2mfvxmEaR28D0TXWYvjBMHhpEwRQQ6U9HA
WGV63G98aXvXuVdle50s5duBHOS3ul/7GyBACKpGFMV1ssb9nn5oUG74QcQanv5SQ5d9qo1+sbfz
YKn7tiymW624JI0tiUhtKJGWIJBuEk8Zpu47M1bjU2NAotW6Wz+qFdlJI7XiWmvaZI8FV0Mh3mXX
Y05qGi43saEl2t2hNWyuoSHHqJiJaBsxt33RYr072CSZn8sVIrbUSzvAZmd+XsYqCUnK6V/yRCux
i6/jK0R9DWdVxFdT7hYcqgr5rUPu8WjgePhO0kT7XHpys9TTDBc7aJ9GZ27PaxMXD8j4SBwBbf+2
qFESJoPqxUfoaAEIWgkGaE0gN5t1973GIHikehp3fzIbwTz0KHTQPxRkxVTemXrr8amjwoEKqYnc
Ekw2oYVX9YSfK950fufsxdR7B7eXOaIxpVN2nS6vfmteeN16DVzHXCOhp0T1Mm6c7MSrD2U3s9zY
yEcLrI4hoD4K8lysc6hZTbw1tCR9mODjo2mZtG1B8PhN3DcFaQwaSyRSwfNQphmZ1gMyIUkxR92Y
600nreSql2kPeYH84tj6afHMdEzW3Grrka8P6Tb15zmcYF6u5ZJkEdwLftffXxh05pNs00tFljeE
CgPiFlOM2iiNEBqPkKEnVFbJlZOq7DZb4/KOcIlyOzv9cjKS4aUrc3Wflll6kCb0bDwVHo4NNPsI
Lxa40sX4RuIVJ2KvzTcD9ivUg/1wbWjkUdDljIVvKxPHusL0liZB20NPBl0Vi+0lV2GHu2e5NsWi
h6XKjLcCT9yd8mLRBWXXJseKFVdFiDbdQ54nCPIKZYcQNvlmRbUUDhh1olYYFNVljX/dp8t0niqc
3hepSX+T6kuDhLeECXmcGq3n5YbU2OPOq68TNOu7wZiJx53N1QjHwpkPCyOtES6tpkViGu03aWo8
PzBDCM7t4URLjxHJzvrSomt8pc1mvKE3rUMzrbuvqS+6PRkL2XOCOG83xixxaKPmaTMaWnY0bX3Y
+ou3oqtu0i++ruVXZYluCHYvvlrIs9jBe1snQ8iL6EzXyiPtuBqGBKTReIJJQ3U01T96g1uHjqZj
DiOvBlVXYt47SeEdG2QcR0WHzBfEY+Sz1EtxlTV2+7K4I+4To9Tvp4VdQCtsMyrgUFEhDtlnmPeV
O7SjtIkO4Id+bfxDVVrxda978my40/SpHurkxaYChJQbu39Fh0i6j0lCFPJmQ95WiTmfFkqFIjYU
Bjadoa6jA/bstfOu9/SFhX5akQnLczaJZodvIDvS0Yv8DzN3fJx0T9v55DEwFzYcDWs5kciCawOc
v0Q/lSez9Q3+QzsVViejS2LVadWRFLHKz1o0j8J4dFNkZWmNdk9bsLP5bWHuqkqgA56krK/cXoC1
aq5ZLgdg9UvbSFLUr/Ww1nz2cn3jYq04vzR9qHDsWs05T6b1UHtEXdWeAbNdTJ+0RhtCAHrzvJiJ
i82n7OoH+jJ05DBpgcwjc79P5iQeW6MaDippyDOdPRfJbC7ZC4tcPMkCPecw9MkTc4KjB1Dt1BTz
CCHI7KcOB5ofP7udq993cKMnQgPdKy2u4/OCj+aNamCB0b5N08e5XpNbTVj2O446/5uXpfWVsWhp
JGlzOeqxp206FJZs7bazXvfFvL5iL1RfTGS6d56gYyAYHG0+Y0B38DguK/YDe4oWrtYJ1s8Zg9zU
GsKKvGln1dbwnZJA55D5Xr+3tAv56a4mfR5JnZzRm3bbWuBNYnSJz3FlzWVgGbM48iyJIJ41qw7t
3kDj2LrJTrUmMri64HwCL0BlCuK57jU3s/p58nDSEmIgW+gtW+PaohC0H+aRDoZCZNo10qtpK6q5
ihoVd3RLxJr9atW13KJkli8qrosrvNDWI5E30+3aJf7OrgYXGalX8aL+mpsR6wB5OyV9SjcLdKe1
WZFgXDGPGVsyJUrURMl8GIwMh89cTfkhcYdx65g2zWnCcHEnW+OMXJR8mOxUeOWyzWySyyRn2Cur
nkuFMVpr75elqL5RIEGTszam3wenGp/dGHA+iFMNP3aJVAifdoG/RuLv+d6hf5G7Ak/ayS0N9lrP
rs9D16QP5EsQgUHS9lWZp4Ak6YSKCY5/JC7V8ry8AlIBDfFmY7zltQjdAPkq7pdVcEN3szD3pEvM
70W79l8wl9SEho1Y4pvG3Wdei46nL9qcAdlYkGXWcm/1MxfJjv0uKjM1P+ucmCOz4Roi2EW5aLgx
WYa4Sz43wmhuhGHxOVCD3VblVER02eXd1vlf5J3HkuNImnVfaNAGOPSWADUZZGixgYXIhBYOOOTT
z2Fm/zNlYzaLfz2bsLLqzqjIIOD+iXvPrZfxZ9KZO6/wh6e/4XH0mwWuzsdiNeyLWdS74AbKfhxW
uVv5D7FImmBeSNLECjNguWlnuYSWaS17Py3UJvNZm8OgQ+zhAxHoV9rkstA30tJ6QzHWvhTKBbZQ
28PtJS7Sp5rKFx3twP46pRT+rdiOfKCKk9clktb25qsE4te39d5GCXyebRtovY5/7UkstfpdI8Ta
+pi8QddZ9kNWet4nyBu11XGuPlrCnNYjuthfBR7jEBKAe5VdXv6mzRJ3PUo2zk09QlRQxN/9pGkf
ZVwnj/1YSpsL0xCHRSIGQeHoP7uLUk+N1uomh/oksYJoVljAVtwlwzg9j6A7wOJklrXxUp3DYBzy
cJwruTerhOzg2FtOhUrjO2OJ5X3t33Rvrr7ASad+OaM27t4b0tBf2Z5732hESMlxh6kGphV56DoG
C6SINVd7yT61W+l9kl4GoPovOdS1nwlbz4GtpH71epFcZx0lJb7lOeyc2Yv3nIn+kXGm/rvxbiCg
JYOxafJk3ScaHkX0FuM8xGGLvthb4aurSHnXeEWw9pXtu8ws3VibOhLrFdg/3Q+p3rLn3rBRrFPf
YhSD2AvEoqR4NaQ5XPiw/ddReHyGeoxRwMvxCR29RRfnkbEdx0l0czQXZuKdRydfPvQkLsvDaGF9
XieGysaNjZMefb7Kpk3pmuUr1uO5X9VTWSOASOV3UZZRtYZqWOlbT9LqhuTyUcd5Jn64tTeYTCDN
BAF/QSSkHmrL3MvjgJEdgIMXyQdGA/8Qj2r+3C4Hf04BfC6R4c5hMeODvUVRadrln5pS/lz+kmop
WsdyqJW3WhyZ1YEW4TmBBYPXAJCRsVNylE2IGojC66/oVHMbY534EsQH9j43v/6Vnzqp7bCCiN1Q
ItV+jqJb8refzU+FPqkr0uZ+PWq6sxql668y9OdM6em84P451XRq66h9GPikQHdVAHhgNC94pcbB
PJVuubyKG/qBJa9zVkOfooAbDBuvsGGivjJwLbddUbSrf4pcbS+e72Q+T1SEel0fBnvQT60ble6O
mxSNGmzO5qKlVnIZfFO+e3pHJe8iAPrKshZSJx7e6hUfE24wN6m8vaqH+BGJ23RZcLetumnJybME
mfncscajw0nj57jniWOMhdnYSevHSWUs8BNztj8J0DPCChqIOXbw5Yd0WlOi+BvdqN9duSAht9S0
HaF5Qe/x/eRi+oP/i3B4/ML0sIfeU/EVLymOUOw1drMS7VTsZpz7ewBdYt3OHeqwng/q1Cdd/YyP
Zdjh/DGfa5kpyl+utd9VYX26oIoOmSXtL0e4zbrz8A2MY612oG/y3Uyk2BVxENYIC0CSjzmsSB8w
gnF1UvYZ3cpql6Fck0/CYTkNy9kn/OWLhK3xU4dusCvkMqxZO6K8mccyKLs2PojZRXPNiHZT6FEU
+CS90fjO8uT5jX8SwEl+ycVM45UjjGmXmn28cTXVbKpS97OVonD/VkVTH+ZOlICc6vKLSXuEkX7p
Bk57uKZfRZZyyFssNfwHfUzJqV74FZvIy3QU25OtQ960EI/ncgJnKiALeUlUvno+Co7cHPvNTNjM
CgBeRUPlqOrB6w1kwdCzB4BYdQyArFIDanZNoQgr5BBD6avj366VJYHojeKqS9d886jDDh1ioZVn
pLxGhZatvXG+WHH9M/j2rncsL9TnHIPyiENypWMwCfTOlYe49GmUcIGsErehjogsBHbKh7Vn42DU
Ov5vlTd/mN5cr2gg2zVXmbbFzzgE2gS0RRXAclYjVzfPe5+bdxXIi99l6y2A5oD88MyLJzXBzsYT
RDVvektgupHaQsdiB41rnHzJEo8UQ3vTRHQy+FTUg+xD7Fcu1RdW8LXgYw/mRmpPpsedHsjIa89p
emPxeqYJCRa1Me457VJhOd8gHcKlkzfJK5Q4u1wZNlshQhYq73Fw3GQvrCzjRpozOFQebKjRyPk4
2RaEExLMQLnarV8ou2f2Fg5dI3Ffg+Fkx27S3SM4dfY4/sxGA0sECAXfBB2w6g3tBiH0dCgyrjn5
W9pmFTRF1AZ6Iea70YzE71bpEMrjfnnQtNh9YWFad0EbLf28qr3C2nuxXgdq4i+78wfD+FkEUchG
6iA4Jg/kUuAfebbxUn5kdRajd8saPG819//KKGv+NilAi4CeJ0pCQL4xyINSPY8z/dYGFiokHVEu
8461H5/BjKqwJP1uHO76yhXHIolgBtt0tiTFT4KXwrdH7T4t5uwOPW90AEG6PMLYjK+GK90DOnxh
U6aISLJkEsbzbcWCXBr2rKznGBKpyqyrRV3Ojui/ZPMNtV8gK8AENfLMx66pK5zt/J0uiWiubmtZ
T3+F9BWWtm7FEEl8/bea3lnKcssu3tmwGPnyYns53gzy24HlzemPwJ4suOnaKMzQftnqAKvUb00z
HKAfnTUfF9BPgUjA++qiLtAPNskVJJJzu0iz4aEqZ5iKtljIovwvPb7Xo/ODn+OpuyUyrR3Qg+Tc
z3AAnNTP7ouxbl5bMdMujWZ+2yPU3qzRMs76AZxBtDXrwQZNiG8b4k1+5ueNeXyRxGdaOwdWYxoX
0pfH7eCy86IXdRC1Zv4UZMp2nibDyEMF4Xs1xyJ9hxxl/ebx8OjYM59SIZWOgg+Tjo+2oYPpmJja
bkavSuEGDaKLAQpWzR5xR7cZe+0G48SgFtNabKxllncpe5cP29DMU1onDP9cZNZhkdpfkCysx5Ih
8hdDgpuBoEW4GH/ODlk+z8Xsi7O3sElBSr5kbUeGc0ppIfPCE5igy/GF5s0PuixZ1K/elbeYKiBg
kfyOc8cY313B2PQOLnTjrqmMusMsBoBuEGyG24nJSWXFpVttJmm1Pykn0vvIduuMD3AOc5fNYmv5
Pd5Tn7ZoUFOMUNPCIhJikEuMzZA55rtW647ctDXTvp6dS9jQWb70GBIePDD+02rxVPLka6Z7Jk+m
erPjMf5qLdFTcdQSK8akmWGflxbscmauPEd6fShtiTOhE4Qkk3fZwV42qqCzUEGvUX459b1CjcGI
eFiWvWfB5frrjsiEzRwn7htCylJTXpWKu0tU1eWxwMz3UvUzK1ZGD1XN9VWPoR336XWoTfUBbANi
YYtZ7TgboIPAGnQ4YPwhe+szTUeGe0NyTKrBstl3yQPGj/pNjj6675HBScpgOuAs+pWJIjB9jicm
BUPIYGU6p7Xd8ksBIsxVk4hn1E4E/oms078anetYFnPM3535w6asbztmWdiUOY6WH+t+bJzjX/9G
dTsqyy6OLqiYu+8U4dSRzpNoxH9YOsCDusu9hlDRBk5tMdMFNzTne6cftYeZDSnro4HiYJXlhjok
5VB+QKJbXgB3MjARU/Yd1WNZrjsn0iB5pukhcrhbOQzjS0p2y5ag4r7YMGRp8EyoekpDOxPyJ4t5
gsMSwiHVhPJgk/wxjVglRa6E5hdQSrgnl375WUxO126zBDXZ6o+TJMUWEeRpnN//tZNkNtBAmH4F
7bBF3txDHln5cfGwPIaC9JMd6mXM7sjpYsTSWfY2umCh8RQWT3YSTUDPlXygjaLxHNoBZPg/zCiw
l6ohFDc066zhPmAVza2euxAMpgUHKwzvgjT5pajRmyqa0LCPxjILaLvTTxt8ExXS6FlQ627mFW5S
aEkj7IpLnUPrnLwS1lul/GBcRPrAkmHZVi14omSZBuwpk7j0xgyeX5ndWrcFbv5GtC9YiM21x54i
hNWdIZU1efySaMbDwPySl78KzNLxHweVMdBiJECbpfvrEpsb/iYpzrlNmMpct7TufywzJTE3B8CI
7oZBOdEQTcmhNVTamXpbe8EHMUBELSfe6LTF/+Q6lrlWMXyYsE0T+3FRaLRvzKHToFLvwNLeOs7M
fbe949ScIsq+QcPEYVIG9vUG9sS21Yr5Caxk1Qd/HTlkBLjAsPXMBrj0x5cz3ea4stesB7yKtIOt
ImOPWXOsr+qhEScNXDAHTS29T5TdrBl73So+/zfvTkOJ3W+jRIdTp+GkxvxndFfzT9U8ll6yNzJK
dVfqkE0LpjZ6WOO/nLAwuu7VmBb/VA1GhPEIV+84q/qhFq72UEBB0wLjBl7oW9e8/rftR5kjPPHB
zUKo/22oL452oJZxjw6xZQH9A3rlYhySG0w2e9Bcu31Nx5rsJA8YH9EzhofhVSt3yumNRz++0UKw
eq7/OIWABdg0vEUTigX4nzJ9FTLgKzb2PI2riAoxW0UAAw4qN+IjsMwh9DVBrnYGLZW1U7HroVsd
NYWNAJsc/i4t7bS1hnnybgJDCrw31z7zOHZe9Lxsd6rT/UvcLj8tGzh7BfOtvfy1Ik2yv4lZ4sXd
zDeLuxDJ/OosVvteLZrxO2vHx6XTx4e/DqVsEuUcusD9YVqnzItHdxDqmM+1fo2R7Y8oJ0h3ZP6l
N0c1G5QfAPTs1xa125d+s91hh/TdCxcx0hT7pv72qEuPepNDKs1sa4dthzYeXr29BWmivw4Q5rbC
7aY1me/vRU3OoFGH3djitknmNkzrbHJWAMAJ+fH4/vu5j90nkB3DQ5518wPVaP+W1053tWOH4ssA
5SPDotanJjBzSzA+7vQtprnyWlbxuNWlbL4GnI0bCfowgK6Vbli0N4exW6JwAk23wYZGU4qDcMBn
JEc6AwaRx9xxtGvPO1yxIFu6jQZM6QUiO+oXa0bQzgs8YxZTcxgD6bg3jVgcLR8EcFXG3abTu37v
+LHzpfx8BJWY3AZQGZ7MG7KhMllBZSku0G4m0UDNWwbd5AKwR943g55cQAQQc+DeDouizWnyXNv7
1GatWndGb71PYznd64wfQ6v10etg+MM7lqfWb2BT/qvr++mvZtQ13NFydnYuZ/3Wkn6xnYHZ33om
a9d5U7axDCVOg59pT3YZe1ttQCTFqUww0AKv6p4gt+7VrqCojblYVoXlOOv/WGodUBO5nmu/99MP
HyfTHSUqNbO7oBqfHOfjz0L7/7DaFWWmheLgf9e6PnxmKFqTz+qfGtl//6l/a129fwnXcX0LuaDt
my6qgn9LXf1/WTeFxQ2IYdGm3uJz/i11NW96VgEU23eEpQvz9j/9P6mr+S8dWrPvE1KsewYqjf8f
qauFsON/SBDIYmJS4Hg8aq7pes7/UKDWesNAjyZ8E0+SHMXfcCPgvUgjPk+k6CYAbZ9KXHa9Sdx6
nhHrZhZWepeNj6quiseWFIRKNDvDmsVuMNtPMxXLoSRrYMUMv1n3g8MwW0X92ovzA9ZneCmNaa7j
2n8sacbukX8E/cRI3v7pYwV8yZcW4MzcDieZYFm1/C8bF9KPDoIDyPYlVSXbXeq7HdoksMODsxx4
62kss/jckhqzji1dO3D5rsGJe+HNRh9awrDDvpocgLNTuvUG2zziedtLr5DHmJ4d6SK+4UXKTZRn
QBHBjbATwQgdIe28pLRKK9jVLRY7dAkJsI6HsRghcyfaUwVeChlo/eV1sb+J4KBuKu9GLOmX9l27
S5ytP1j22YbyC2fL4bA1q/ZUJFl/wYuVB7pViS/Db7Y1PJE1JuQpqFtqMnx8UdhB5g2VnaJ0jbPh
kntI1wdP3uHbca+2Zn7oXmqHik45VISdnnTwY2g5hNphqF6pqVp+MsN7cG5DOlzfBt0pP78n3wdg
AB9myYq2JXP3xaD0n3r7VPYVR7xtw0bJxHiwhlvRM1rHPNW/dDWM67Rx0ms0qvfYymRYMs7AwTSZ
IcqgUMAj3POcFyvTFBF1a59cGreLAA/RiSYD/7EGRuNrFGP18g721AC18Z1462AmO4CF/2os/Qcu
DmMcaYqgnIIGVkFhjv6nljp8zA0tN+WaCVQ7qoJlrBj6+144i/ED/Yo45qI7uThpq8ocUWmB1krt
FeuVp1m7G0qLkJq6urfbBbm1sesZnB/d/s2IJQCRImFiccE+KsIU1+wEcmybp/IwJ+NbsrjuTlnk
rkfaxiuKnTcCsKUaooFqnPfR0eIDlNgs8Ozh5OsQHMvWfJRwdUI0i2o/EUh0qfwW378nYcGZc7EB
tt+HCxCiDQKLcof9FJf7h3KYENqlMI+FPw3Bws94/POlXWi2AZcHXXoztzrTVc/AcKzGAaRZPFTZ
US7uWzdoNfKeIj6ZEXNNFaNsLWHB2I326kKffklvfYBnN2ctTreOLEl40n+o/ZLXpbMFEz0tPdQO
Myoqnc9cCf8r9dS3dCk60BPggFWyCoDRYvGzmyEwOtd66GRlP5R99GzSTZ48lGsnOHMjH/hcnQrG
EWnsJg+Qlq/JUCUnZ/4oav+uhYpK+6s3d2m+b+YkNN16/oU26Fl19XxPZtOzWtLm2Y29wFqmGSyT
IHqgmocdMNMrA4PuVDdKZ4OQvKVVXFxMGvILKxS28R160LnlU2TNdJ8yrnKT9B4qh7Hx9VLbdKnC
uCzVcS7stzxeajrWpj4avcHsdJ43iR65QaPb432hMsG2Z83QVvsGt1IHNgzQsO8VQsQ+S9hZdmze
q6E6VZ08ULfnV9FH2fXPP3mdwk5XlHLz598l8KHvRBHTThGAfBt6lys2AssRhzBiF7/5nHrLCC1X
vHpCPYMItTDjFcZZ70ciO/1I2zfoYQPQ/z9u60cBjnjQrov1yCZoPioqlyCC3XqXv9as0Zkrtt1t
nYSC3JL0+8z/S6h/oefEazMtgZTy5t5PjWufjOZhWaje7bqfSdCIZQi/wA9SWTiHNAta5ux3XtIa
d8ju93bZzk+c8z9mp+1bZTKYRLoTiEFY28Wqh0DkhH1YUWRsoqIx7v58YZVp3NVeYobGCCxcB3xV
FC5dUe6YGxAaZEU2h3ax+PY66nGGQcXaymEdWY4uwoXERYyoCwEvwMLbg0rzcpd/wUnfjp43Xfph
sjZVW2thkqOLCLMc6DM0rWY7ZArtHrrkPrKBnCdawnghwlVVZ+rQGktNZS858rDlO4R4LY5SW8k6
7QgymBVzrPptU+Y1m/bIvda38QxzTg9lu7GiDyE2PZuMRy2b6dyKjsmztpG6X++iGXeyQPuCygkJ
u5utVT9WFzcm56msvqY0kYG5GBG0M1bbbqqpe8l/AsHMwN548u+GG8U2Y4W9Spbh3VPqpbUmdw/h
dw5AUUWh6VCs0kdtPKeyw4FxzY7ZewX9xc92oCTWAJ/1N4cd+Cb5pAnEQ5BUrF5nkNSykKBS8KIG
i3wEUiaevKhFF8Gybk0eRhs4tBXHmikSHBRotZ5ZbXHtbnKyc4gjYo5TJPAWzGRipDqZ3yaqUNGd
rTaOt9E432TrzSnX5Kto7ebg1hWz0o45TWpF5sGQ4iSlrHYWxLijNU3lweCsU/BIzn++9I2lzlEs
ipPt/5S5n518HNyKMcneWyjbO6TktTVGzJ7c5Gs05JqGsNvLsk1okMiT6rM02g8ReW5WZ50KURbr
FjlMUExDcadJM8CLAVk06+0tiIvqcYrKFgBZO/7EfPsMJyoIovKK8Ni+L3kNtDZjCRTZ5dYqE97J
UgPTZnc8z8aoBaCbQwpz7XSDZp5Ns9h6DKV2I1S5IOH4vO3wirNdmtmmBi3JpvJ2x062Bs9HrwiS
gOXHaVaeB1AE7Hfkl9NJkD8JKDBXRJAS++nMOuacVG0B+FlQymTyzlGjs64YcwSMcAquPlYbbGQC
IkXoT5ruMwXFdYjpYE6kVHDUATDQGSrjQWjWQ+K/9KxvrvVM/pLXd4+2BgGi4QfQ0uqG9an6kz2z
RQNCe8i7xX+gDSHwauy2WimOmimK5yjN5mO8sCWJehDqsxa/1KA7Dgk8F5wu7XFuFqR83vTU5EP9
VNwPoi3Wdsx43RscbrgRQejYvqR1sVcOyj/3O0+zfptkdrfJ6YpWnA0fs0vWxaiDf1iSX0bb3PHh
Sua/sbGO9bDHN7zJtXKrz+zlhQCS4ZVFvE4FCVx9b+1zDaVFZM/pY2aXBP+0djAU7LGm1JoOA+jm
zJ6OnjVid0r9mrOqewLbra3ITBhfReIea6ih2yoHJtLazp7tg/1lCEwxkuH+3kPzH0btAiMhIm/e
8KV9b9mPbjN+FmqWl7iGy8edXAnrlcCnm3R7ujgROXKJ9orBJt94WrKPWrJyh2JcL+a87+CnrZM6
5+3SlmAsBpB6PpPQiZAhKKfwOwxPB7XtkU3UVMYvk4gfRFT1K9zMXTZoHVkrxY7SN9+BlN84CKgP
8BbQGDkPHnTQtw5sGaoGfhYMVJ0+6bs86tSZrUsOw2L4mBfnkwuFKAbslMBXprVl46HUMra5Unc5
8ZGVWBQrjT+y5PanVzWpFjTwRN02j9txsbYdJzk0nxTOd1eHuF6IHW4Z2uHj2Flw/XJwsX++awnp
mslk/EMNCwsGu5urzKfMg1ph3PJO6j5bVQNfbtvnDYOh52myrSvOtR/BTmdbuJV28ms9OpUIRup2
ORH/IddWq80bGNVluGg1QfdOWmzKVt3PY9ySTgdwMVV9y6ABJAxFjLHmKe0v3O3PyNbKbbro164g
BAVyFntpy9y7iLcI2XvQUxOMb6Wz68hQKII20EIbnMvBhMx0AJo8BpiNWH9Nn514Twx0psZQM/vW
IsoYXFCKteFDlDjuXs+Le+joXjApauS28MWu4cnbWB1mllvhh02foGsfUgSXgrDz4aAXBJFQfBR4
A0jKhHHun8v2FwP86YBAMKy53w6EmDwVywRr0hursG0deSYD86WOdZ46uYDOrJ32mLnJidG9v2Je
M4AqaaMzxIUnjzkKJ7SvH0S1Hvzp1wC/GBuLLYJKopgZkAQfOjDpgu34xrCli0q4FYGf6miLaErg
5p30yn1qlpZavCkWUpkWQSviPusMqeypkyyU+o0a1VMdYeQCD6IdCq/Tgl6lSWh1EKumFNTtVPGW
elpM8eUOR4XaAG3i0gW1F+hu3z7O2KPIEm6OZcVesKhmTBH+vFzgHa9EOk57azbPALCGMzg7ONg0
Ooz0uwXsqa7t3egXAJCLzeTqKW63HezrHXEe1RFtMQxKFjU7P7UesltzEIuheMyLnGgas5SEdml1
qLlQjUl/ADSSEjRi+iSS4iwxYZzM3eMbczp/TcJKE8Q3bRJrgV20dG/j2LbnpS0/IHcTPWYRMWlH
3V1ei+luqIHUIQcNOr3Sn9ss5RFLQj0y+ker9gijqaaCggp6kRwQl2VQU/iFL6sWRP19Y3CmuePc
nXqPIomCeDgnPFbQXiUieTR8eeY0WwhZZDa4UIwic+IHcAnunNPCv6NM80YWEkSiPfRxm69TRrqg
lAx+x4J1S8uI8Cxjcx/1E/BRA3OVSPx9VuaPpEhbLwX3wDqqZ4yMCWuuxkrvYxlzTEH1OzJYgDfM
+4J2WpsPCIdnXkK6yTZCQmUa2bDve3t+kizhGPCV66WBkjc6MfknxFAEvGD5sbLHz8Hq8yDtU8bG
crTO2gAeFyFxHML7UxvTsabtgmT+WI4abw68tS2zA+xlCghm4nJGaL1xGMwe7U8OuzbWiBYsJnK9
/zwlhCagh9f3OrjncSme5FLl34394BfV1bBzJrFQBELRzhFrKSBJi+Pq2z7tTOicPCUt0XpoxT8z
v+zClPUb4gGHbVUS4ZMrJMlxLUtILSESMCqPcwRAszTygkAg8ctuxRsCnmLXzk71mjGczajzMB0P
Bx+JdGyD07uN7NduD8pvmPKN6tL7viIMNRbGUyeM/KCV5Xl2+t+yzwijxZYTGDykK/g1p07LNksF
ilPhgNmnLl0g4UdkvFRsi+Kt0OG6IFrzcZx0lCA8tcPYv7AwlIfBPwqNqMW89b6ByT66rLZDTf9u
lFaudQCT0aBPG47F/ZiBP5I1T8zkGsmOTKDn3qtVSA4OySwNYntVOt9OXVCeeNwKAEjNLSRF/LyZ
CImlMQ/4Ao6LCgZjwPOBct+6i8efOmOM7ovxIdJYPTE0NTrjGdXbwOzYu2rWpNA9JbvWNOxjil3C
nZaDykwGO1bzPCZ4EwtlvAPNXVAoLUag9T3fjuixSKLFRwp8GVJ9N2dmCW/YvxfoHHfEa4TxYu46
q68CfewUiGPdO86lK+if0+HRsTB+2Xm1Tg2ZvrGmWeGzS/exYCUJPXI62Y47napaMDXIntkaU5OL
vqTTaYGY9uYumxAr+j45NXLwdxkV9qE72BiPtvTUzbpoRBXaNy+JD5A5QO+zIwvtBXS1iYoHFQhH
EOCUb5hTgAqL+hHSobfhpC1p+wLMbc3WSONvd54/x1nqa515O5A66MrOoodRdZW2ZF6RdMkV6S44
hFYL/RTCvMEWgPBRiNoe22uiEjoE8ObDRETT2SRAHEGkN5LRmWp7ZFSrRkobYB+0YhYX6r5ykMmN
Lb1IxKhx1TtAHnvDSdCDN+ZjQZpRwBxcbPuhKbdGrO/oR81vzQIT6VfIrXLNMbc3RFtgTb52EjV5
UROlsd2SwNoscjqKXlFRzUvHH+1PKRCuzYRUbe2iYN+IrpTB4GrGTouoG6SPKcPnsNE89KhALfZI
sJhiigmpTtLmK7uPb017tfUdB5VZZT8OmkZQq86oMp5/OreXu9FGf8XupVmLgkjMYu4x5aVJcs1g
f8AaQyCuLe4l8i1GQoR2BZ6q2mMKlBycL3PDiL36mpVZUn5GsYNmz8i7zTLbl6aTO+JVT5nWCzZi
8BNtnL0rlu00iwnbZBOy0qaw819ZlfcHwa/rIfGmK0O75pIw0nkySrhS8fwMg7JGlBQna2usST5k
wIXCaVD7pPcvYvTsnc0oBaRT+kRUGTit5NfgojFwEAE+Jkm2bNxmCWc7z9a8HNO1ep0KsiTI0Hhc
iPtTtffY3ChxTDL2XoKiG4bASti05A2JPWtVGJQ81SD2hA3SY+SYIkxGiAWk0D1ZibDdcCPJgmwI
KNmPjSDogQux40XJZvRM83TuZnPc+b2jYaDK3oD0AYzPSjbg+ndX5/dEOm4pVur9gnAKZEISQuir
yOQYLlPVj0C0WNZonKar1reHDTt6LxgWJiTG9EPvuMWg/F2PgGExNFNE5BFzknhck0e+kHctN8zS
ln1K0FVBbBLdDJFflHDXJpkOUzmxRqrZp7jaszUb90t5M3SgzliR+EqQWStqh1CqSO2BBn4klWRg
h4mdpvcewRW5LKPF4To7E4k76kneNIULQXRtak5IUstHu69h/HEYqAkFiGYAwKrQiqxjMz3aJSfn
hAGibjHvdXDdemd41IErg+xn/XvzcJ3zxQ5aQYVT9CXzD1vhq5PxafBcKq0Xy3f6vU6+CbFvcq07
DJC1ZdwvSny2WS43hFlt5pyqmGirdrtgp4Md5+1YrvlrL40+eUQQ1uCuI1Fv2wqsNikmawBWERzc
qrvFAqCGap0EBJ+ncPr7WxiPYhc35lpvu37TsjzFt0YB0BF9NegQ5vTUuJIUGrRtgi8xSdi5uW8j
doAVA+U1APzooFz5jAGZVDuB6zZCCUaNpG7X6k7PuzzAp/PSgG73O/LsHPd338Sv9UKKo0JetKr2
aUPDRpCetgZW6LBzwPLYm0TbTMZvC9IoUlE3dGrBAbGYbCDQB81MM1CGl6tSt77NordRZtMHps4Q
Vrj1Z691CKAxEtaGdrtGug0YwWTZ5nrFpoeWfT8a5v4WD2za084r2anX2XuHzmMlTeejLst2G+HC
vSHYNXrdxAhKCXkwzciGNoX71k7xV+RFaiM1PVprqHJXENreY494j1TpkHk7U5JtgA2p1OTWjOun
nBSYHSXBT1FIshlMlI196pEhnf5IEMS0a9HGEtZP/uVY6j7nPtVJiQ004f9SsfEQIaQJrdx7n+sU
246BV5KzcB5q91JX0Wfbk0LL0iiMO0OFRtdlvGO0OhCJT5FRjPxUhUvzxbytas8Tfi7XGpDsxKS0
4cSD6T4VA9N0VkVzzaiU+Vj30nXSwKQQcdQQYBOnbE9HnXTIQhuPWBu8XT6qB2Jjo8YtQUyiEjEY
pyozy8mnZ/oGUfJNj0knIeB+l8hh4/KUce98jqaJrg6IJfWzzkFBHp8e+fd94/3uxxE9bwYXl5Ke
oEID8ewTITzVgY4EmwkR9b5/HuMxwChwE66OWNyKc5265lZbpl+M7vZ5l7U8GfYvYcO/r+x+xIba
bdMRy67T8yVj6RSnL5KYc2YDJcnA6PMIjEB+k35qzLVnwy6Obp39J3Xn0Vu5EibZX8QGk0y67SWv
N5Luld8QZenJpDe/fg6rG42ZAWYxwGxmI1Q9vCqpJDLNFxEnnkHWF37lSTxZg/zJz//aLtdkllAC
U8HcFBSC3TUg80Lni1vve8+Ft7V50kCaYPfssRvpsADHlheiuBkdT8XgZH1AorXxWxhG45rCDWl0
4i8DMZg2zOsX0V8Fl0EMvHz90cT7YJhfbUfDku18hhFxMMMs4M5AiPI5GB/6jgcoTBlYioneXlsa
TCyz6aAp3fEtlKxNZUNbNQ1WNEyNb3hj/noL7konPKCmcbioFVuMtLayF/vKDEfkjqjzNbO4lqIc
wLDfh5TCTRI6E3p7HxLy0+wg0ooymM30lLQeyrm103VV7fQV5z+amtxUJXMPnX0AzOO8s4csC5qC
SeY0qgNgfYD8JmEbLM4ZU8jhEEqwrrK1AjoKYcfWVPwROvF0K2A3Rj3ADzqa7h6cMQfrjn86FfZj
hwapKudl0bjQhT2P59j13G/Tez4RvknT3wbjznplofTdGEi5fjlAKzYlRt3h3o7G38IikAPmlBsQ
gNixxqNodT8tL99oQ+zwAHHDcTT5zVE5OrstrXGEVnxs4fCAXf4VaVfvsll78yICyuHvfi6/LESM
ztN/0y2LOXKhIKQqOIxIhFifB4zdOCcKTX57Z3rcnS2tq/ykeqabSPpNVuMUIJK3OMkJaPELTW04
reLpqTSYjA4ZBRXS0N4H23v1pvoqFd+CSHnHhDbGYE6hAtNS/I18cncT7zAsQ/bi6BTRVa2wDrlI
r6qaYOC2zAHzqt71LX+9qXkPrs7ccef5l2yat2b0PmL6yDelSl5tyNqbOJn9xHLOU0TOzTBw7U0S
zrABNYdC6NrKTwCgGW/xDZbdSp9swzfEnHY7dLDLwDoHnOjGazXtO9KjLJj1sG0bb+e4hFe9V2Tv
w5TfZDUF9dweqXNVm0TDxCs9kt/eOL9lWvLSKPNWa+1nLESHc3u4RC23aVi9FKZJ864NQtHPyjSI
Iu1tvA5e7Ki5DBRjXGPcNh79XZHb1FfLIRzTatdKa8ubNZXpTZ1xY6P7urS1WaQb07Rga0wAddNS
Lq620+6BJCcv9jFnOnL2hmg5J9h59rmb/VFuPD7zyv8SkmaL3JbgdwQOS08eijkfA8AC+anvLO42
Lmbwhgg1HmsVaIVjfcXqdylWbL5SCxdlc4u9tzliPB9OjW79Rtj5aI3W3KERq498ZMnz8M8kBYdF
lUorSDgp+C6mpzP+8VelOM/BiBtYU1MKcCI4NYVoo9MycalfamPjSO7vJkJAhi8V7S9zD9pLhnuX
W73chlQjbJtRc3eDsoyrxwxbs1euqkv3RRLj+2VmH5DF5ajD2C2Ga35tevfYwwGP898DPXN7VCz7
eqW9utjWcy2veROqAPTrH74P6gkDQudDkSanUDajrzoAGm4FhJvJCKOUlmreIA5hnyKIeEeHYz4F
0DxuRI7afE2kmDDgjMIT1FurjHoaOgAz2R8xtf6xRbjTSuPHiOkno7bHqMLjmIdX/W8LblyU2pOT
dfALmu4zoU1qCt+tkIMP8Bu8rdx4aJjw8n7b4B/fuLR24drsz1aLHpe24hRX5k+4e+QRWO4njSKT
HuQPBWbVaNy6hdGrOeo/7cxbNlybAbVOMULMlUaLN61BEW+AuW9yBy0poTUr1yI4O81VXxlMHX0p
+P8/xWg2myTp6w36M9tTS89eHp8jYb+zOJjozMhWXnmFPGbvZ87mQclaDfiDRLnQ/3rmm7bUf+WU
4f0Ni/WrvGKM9DLryhjpgz41gMyY9RY6fJKu3KYi9TbYl+jOaHYaJm/m79lWbwEiTS2zQHIasUYi
fHj0P6AweNsFzNAu9BT/dm8cDgqBGu8LGXkVk/pyW3cDJigL6lF7lX1cHwY13hvdjU69UX9yKY8B
AbgVqWV1iccu9kdO9nidC+NF7+pDuljpN6Qqdoa/s8MALI+leLg9KQv8uDY4O6gPDlvOJqZA6dJS
OOJnqIpbnV80Sg33LkSlTdvp0TIcvCya/BI6K0mKqAQvTXIk5PRzmYZi3lhc/HemlXV0BdKjBwwY
za6ub6aNIw/caLKzRdVuR6S9FUu4vBqh/JYYC85YAMIdgHmTNTVvaRaw5kBV2amQiXaV40kbONTz
fJ27cqEhzsTF5ohl75QVrQJQnF80piaUCakdbxv7vCdgOVNIf5fNt+ehUnZWmfuUbLwLsxzPad1V
uyT1HIZCmn0SsLkx9xu3MMFGbOQQF1YX35bgEWN7x45PFfMQZYzYAOP+m/wHTA8beL4xJ+zMU7HW
GcxT4FFxcZ4Kr9/XVonfJpy42fR/VKKZN/gcgb6+v0xUUDW4+SGoMTylckHs4k6oTbOEzhE6w+Ar
MeLOZYDkJ8kyHCmqNAKxck2qdaid59Zer7Ir/U3Yksf+lnpV9zw6SMste+y2EuGjHHIMdc4kEYs4
geTGpxVW3EWyySck3FGEA+VYudqFscd3k+UUVicu9NkLPpb6rWg/F95Ulwm1Qoe+lXr2M8wY8loW
r2jhHSlBIz4LRnZfeWbL7SweX2G9HwCqbetGfyt169cSujO3p/TdINaMLAi8nZm8RZ1q2+3Zjnkf
pyp7KuFpvJA3YkoQ2epMhCH2w8UYdlQVOjt3Jd6r0opuqfTOZaq6wzKm9Z6CvYThqTGTiY7GV0gw
l9gef2u0hhx08s0bMUnvlFpKX1kZzTbpOL5tMppIAjNkc1Wc74O8YJbcOewmEAFcXk3k6jxG8l47
LLM8emXDUi8DPecLvRmvZMzHzvutxXm+i5bIpt1okselMRBFZncI6kJqH7inntq+tA4yQe004XuY
3dwStyR1Stteycjf2dv/epfMqKYLYZ657dazjw0SVLVXP6AHCK6SXLSXrvjOohKfQEsnCOWYBPHD
Y9Zn5AXrJT9oQn8mUhpd65A2w5Q8SlDN2pPZZtGb5uFWs3uo5H1FR6Fe32YeR+CnueevhIbNHFN7
kvRMe5S0zm0SA5ljldzoeCOPQKawubJYeo12dp3QOnq9dq/mUVymniSF3hTHFRSJtiPp7xUSJ0HW
vjuTE27aMa+ePJ1GLOFU7w2877K+6bbKkYkueOCWH0mKLu5RpaiIqVMoQcaWPhHA/7LQOLEkH6m9
MB/HPoOGjLjDe7zDSjrfyWtxBo4wwxFO2g9WJEjUEJnh8N5QnisPmOn5SrMcIgC39oX/HVr3utfY
qrIphSjMjcdl425n+mtkecN+rL5hs149Z5WS5bW3uiNozvqGvgkkXNGFZ3jIo/kq63c21qI4/hzm
PHyqk/XiVRmbFlbKDnQl18XaiPYWiBcf6jOQ6dLm+1obO6sluaNp3GQpLQhJJFZU24s0P8aO4NpX
Mu61pH0Z83QLqL32HQpgz3GB7ufQenK29Q9AkM4lVybPi6zlQaj8THFcfnMn8ht9PWdPnVYHs5Tp
kbfLxD6MBcLqsSt0xnzsKDQ4JF083NpQviW9+cBof1rKpflLazSnxVr70M3xqS/mgtaW7HdOx3FQ
6/YZRU2nJ5ByVvqk+vO/D/GSPCrJztJiU2A3x9H4GY5DdELCiRjvhkcO59FLVSx/wMgd9KSMv+K6
+BgoDLss1XyZGBpfTGl+O/QDfnbA23jzxTFakC6jJbF3EC51n02MurMubhF7vVeG0Grt2SEZsHCI
tBqu2kmvmpvL5e9Jy8ezSFEnVDk+JaX7M1vrgXL7WxEr2Ixgv5lAkvXpY8Y5ynBxLVTh8zC4F9sY
NUhx9ZOCv0CyFyfR0KZBQ6YkMBxej6LZZS5ysMyWkBrDjgzepKc7reNJcjDaMIuriHSiyd1K8iOO
bb45uNrsqGbpqvWnOs/fKH1eTovRvtb21AJwGVp8ch8uehXIGJ4gybjsChRaMGuW7kfBThWYyvYV
vWXPdHN1vvOzqevlEc5wP/Klf8fM7+xR8EDdMxA6u6l9s5oqOvSeFUR6nj1J186e/v2KKk79Roy0
Sy2gSOk4IqUNztbs8h3GNsefhdOdSPYVAWsLYSI6nveO1ncXxLCFGLKLlX6kZdMYlRnE9GRjuxiW
F/Nsju42xdX99u9DaWMhiKcd/C7z2i+fmoqXLyyRYDynMN71wrU2eL68be9lzotB4nwLLZADxPpb
s0j7ix3Gv5FrqEGYjO+BIhE6wiP8gjSU+6adlb5hNw+BF8IXJOuo5EB5WSrvxNSyfCTx8po3bvVw
aHSDrj294nAt97Yohj2Gy+JJdTTjhfuCDfpSjT20EB0zX8pXXNFycVq7Hw5/FvTmB2Wx2ZU6k+8h
rcY9Bh30ButAmsK6OEYbX5OQjX5ykmccVxSN97R36AVCkm4NT17dPIUuP764L4d7v1TPTVPbB7EJ
PJpod3xynElr7bWtnLUmFpeH4zahj59ovvToyZjX68ZPhhJeD6+jH+ZiOOEgDZ+0ntJRSjfC4SGd
sL3EbsoTWIXdZUizZlOr5mdlM1xvclvb531Hv6RzMh22M09Lw61pL+a9nMej0pufBBW/ZUEPWbWg
K4uYdjMWW5JNo9qltuNgkiudfdzRUoDq4U/MTNh4u4/IKJpL5VKEkXBhZf4W7ercECxTzEpq/R30
K7xHim6PWscgSDQ4J7NICpyLUxBrAi2fMcDQLrZvdkyvoJt9z3OEuov11s9qgk7SHpxzgTnqaOfm
kW6sJNA6mnWmVP5c4ta4thq52o/MX3RbbEE1dOd/DA4XK2fMVZuJvOnQ5lmPuhmwn5HbrZnqUteS
nrn5nwk8mJe202uIJKzWg2iYHngfUJnzS2TCPgGIcF5eQCtQkDhVN9uFNbKMK1MztPAh5mJ6ng3x
yyzd6Wi2bBr4TC6a3T3TCI0rz0X6x5WJaoUYtvVkIZ7ApZz0zn5UoQO2ZOxniLP6B31w89Gx8RGu
BxXIdHyQ2I1asiqFY3eMmkbADqTOTgNwClrYK4gZtbcTZqvvEC/I+sSF8IVyomNr09DhhDTVNJZW
BvBEHQgAOatKXxw7ZrXKdaqH4Ub4GKvxkExchozRyq7yyx2HZk/hOI0cXM0v3X9/iKgO3jKHMElD
foFiMu5MAsoTS2q5IWzX3aL6LNAXTolhfJD8NC0OAVED8Hbkj6z1YNkcZtuhtXcYxKgfABu6ZdC1
h1k+UQxUekFs59axWR8agvzpexNRFtpRsNwnHecXh1Zofn7UM+HmCK181xSszLVwL8rMjoRNvU1D
Im7bIjSd45q8pZ7T/NeSaiOszIl2AgB1a0j1YnqSbcA5Xu7RE00/WrN63CkDWoArnrZEbtBnnPtY
jRy/lordskz+WG3IvGMeyEZiwRhI2nLpaRlokH7rA3otGQYjpJwaGvwwHWDQ9udxcX1nfZYcN8kv
cyUIQMaLF+887tkcqexmlw7zrygepxPBh+nU8Gqc/v32368sY/rqW9clNMr/8e8/wYn4U84ttqjC
Hk+J2Tzbw1eE8em4wCnamlVzaLWBcQMNxyCgEF/DNtnaUaIwUg27dFwzN5WzC9u0fMrjjrPQKIsH
kBdu/OCAIW3sGRovnB/F3k6ZVOT6hSQs3XV186a8NDwQIyCSOpAlaJxPJ0QPQLi8FOGQnqxkvBV4
5UALoatjA0PFyAFfuISqNrGl+3VTvual67IWN/kx7aufWCNqrMoCXAZPuNLTNDBGzB5NmPAkU5+z
SfS54ADgGnt9snBheUZ4nAyoj2UbmYFbyeqexpm6D03914mij1Ro3c62poIDIsAJU/0azTVS0HL8
YM3g8E+gc1Hq3RTrgc6iot1r1bTpOMU0eEs1+7pw1juDIjPWEYwXoFI/ue2oP2tFrj8nCBqXuWWG
HCbnyiOZIdmbdoyG1WbpIUlanJBgTnzSQbiXNBNfmfXuCr0/4SKL8Cbwd9QOIEt2GS6zSx00oPG2
GU6PFzcBPK2HeU8inJNbWlA2pDfi6nZT/tEXKy6r6LCmmTuUXdM3YCGAibGt22CxxNKu5SPUbWGh
DLjVluZUz5o64lc4RiHNvD2G4XtWt698+0A71KY891XusgLh9I2WD90qiq/checINoYTlqZYAvTy
UVtrSQggiFbp3WXphvJdIdkNpQPb2kDeWTpdZ+poGJyV4uh5QK1nFZnCMxr/b8YsFjQFfOiRYIGF
4Q28BVQZiTbGrjQk4aLPH66jtG3qesfJjfMXKlnEG4a8k0EAf++NORWTJDXqeXmtouJXSqlfwFmG
IGPbvSdh8WOhL83nfHee7aELSJ/Nd+YZa4fXH31YK+3dLDpMAuxTAhXyLhgnJwwoL8ye+wMefRb4
CfyDCJ+7yftZk3578epfyYB/pWeb2tW19tLM33GrK0zndn1wvFvX4Kx2GgTgcHQ1kHTe8MHozAqQ
MKkWD/sf87NWY2McsVuPKMVHfor5Bhbm92QjxTJ8XenQ+c32jE+8NH4aPmrSm9vW7G0/bzGzz2N4
UYPASMDnl3qXPDcZlxKt4c3ScDJNRV1FvrJbXE/kvAdtuY2tWtCutW9l6gneC8W8t460Z8slQC2E
0q61yDP2poQyCLzjgUVQ+SXlAgHzRHA4K5OB3GCsniUeiEJoABklP9m651krOX0c5smKice0r824
2C8WM+4jE2h6c5KG0uWy/MFt5sAIFmYKnjBC+vMtQjeY9L5/wrVa7IrMbQOa6uM7LefRltBVukc/
KHq5fDC2Rn+XjObGJNSxoI3Z1nJrsIYiv0ba1DBbQ30DuoyMqiDMUwkcw/igHd0Rjv0TV9hBh5vn
9U1zjyPP3Q/GFyFdZwdGynqfTXntvApbPMrE08gGRNv6dCBN2R1Hl2NvhfO1WMYOaJPzN7ed5REn
1nIwJPC/oRxogGd9ZRPkbzDangk/oEtz5oI1R+ByLMu5JfGYXrE4Z9eYDtirrEq+ETUraK9Ff2LN
oEjcDB8Rt0+fxYN+OI2Y2BTNXzXQp/tiymTfKJ7mf79159ncR5zHfEIEqA98tzdYPwfGE6537919
1tAbJwMdpBpZk3vjuAVBVn7jMI26OEMPYUZnLmFZhLlmyMIbmpjzQJuQqXFm4KxnwCwDEXK6Zq9g
floIrttGjEfdHPERGnN7ZiwNjLZ3z5PSpuuwfoitaNlExfTKpYBRFO7UvUHXO16DI3ETcW8tp3/k
6p0devYX+k73bFLZq0AoPyZRUvjc2dXF7uRfhVbzKFB4w3J40Dvi3nGothq+BVOObEJFXT/iVJ+v
9ljeU8srL+agflTUld8ZX3Ux5gcjQuCdoHeOBuMUm7ZRi15yL8NQ6xXqV5r29TlJt+EE4dQUHJD7
1RRVjd4fp0uZGkSNB5WG4F1v3mchxLnnZ76lFOKsj4g3FMXkgSiYfxlT/dC0gUttk+xaZf8VbsMc
rvgRm67jt0057aSjDh1pRU4HpXHED1rlKdwqYlz+bLeMs4t0CaQQ44k1gB68mPpuLSaiN5mPdUn7
Zvbr12NnX7wQt5KjKO/wlvlLVj+ihD/Qakn3qoC0bRO38ja4gtlWtd65DzFeqcbKzm6/TZeG7oWa
sZ7hRfpW1XQke1bNYY/oxLa0TULFox7t5hDGTRZmgVOq+lLF2GjMZsr2iwcBR5ExOQ2humumex7m
nlQEtdZo/iZV3tLKA5lqH6HprpbgFh2ZCfQmzlBTRVG4n4DsY3/WWcD4ZnGlrpg04UfgQvHDxFr0
oZkjLYzLN1766l2n33EDf3XvNoX7TFCbXC8NuHs5D/LNy6fnyQUJpI0u8ykrtp4tCfZar4p75v7S
Ssd7uGZUUqY3Tud/vy0Wul2HDBujnag6SNbLIKcN9YArQ+cNyqiMStz55mszcAFrIuTH2I6vddJ4
r9lo9yeBGMmePF21Bec7bdgmA0Jbw4GtRYGN3oVjTCufp21TNuHvbuDUWJOUvkQLXfGT4/pkSU6i
MsV9ZEql8u65ab3oLWzZmjvaICGunYZsoNq+cYzAWtL2Ug+9c8PKPfg4F9znjjHjxqzVzunK9uEO
PL95pJG24FAdodHtIpI1yJVNF2g5klOXgTwCMaQ+M4OAQ+21DZvI8pORf8QYCyiQlSCbJP0xl1xo
coevqZ/PyL77OnFo7mVVdyScGYVRZqMG/GOZIOSyWiSZJVl4Ppf6YEATRi7PRaDWeWKvRkkmxZKX
tod7P/bOs110LQMY4FBycX5NLTkMI3TOYmupqbm1Y9/f8Kp9Fk4+78eEKwETMyt1AJXifbnmlnir
Iis5VhG265SZUlOjQJpMu/pFFy8JcKiNS+/kEbfigqiGl7zDJwQzY1OO8482duivLYzWL2mVq3U4
YTBToEbmS/5YBm45iVO/dij1kmVjH9dcs1uZYMzX27ulNSd2bJw2ZvroDJ2LPv7SqquyYzXyxodp
Q1nmUGIwilDxKtccdlnvEhGtqdjKQQHB3HrKK8iKbWLek5o7Bqein1bdIXZ4Ubkz2/zL6ApOsQ5T
PW/QyIClB2PO/hYiba7OUC3bThVEg8OsO9eRZPlY5bolJUoKZhVozo6y7rtuGQkG5PwNDxYewrXT
K2uqg5bW4aub9/t21uSOKvE/0KNpmXS7Q1bUyDgcVDbptMoUWZJgCR4g55eEPCWeJiTTQ9gPLeBZ
Y/CJNPd8y41tOOdLkECBvEzfLmxVlgIt3rT9MGzpfnwqpYJFkkp9Y9cDlDw732Xl+GbyjX3KZ5Ee
Y1d8qxC4l253aHDwH/so/QxLlyYsfkxJyt2DewUCCcbiJ1ydWtBn2lruTXzJEgEBHfnWaiZ55xa+
xkg0DQ/xEiyg1S4c6wNjGKrvcORHWnDNWuoiOnCnSOCC+qVtRITh2k1P4us6el2+6UgrQHDWSdcp
oJiu056wd/zAEEVbipU06DT2j6TQ4ZUOvLwckQ4cLl0/8sL0p8tCnRaws/NGapsJk2kwl4bnzyRt
3vNYICrUpv49iek1FasO2nJSS8umOxB5+wz758rol7d+Lv5WecIjyHB3jxkWC73lPaeQxbkdY71z
+xIKkuVuyczu9FYnh5C5L1qm20d6WPBWILw8u4z40lJzD1QYHTEhFHvXme42gtBGDOKNzRipErpR
MvQ6P81O8/OJGfoAPiLg3j8fjGK6kATHWmAvh2gcSeLmAGm4oaogJES8E8usNlo8HToDyLyKrHer
by66YAvWm/zeMaPiVRyMjT3wnupa9Gw3Vr0ziacUMyYT3OJfUyfqYEhzFo0SUtP0JmVR7XNIyJtq
neKSMDpxPTcujuYu5Bt4z6NEsw6hCn0rTLg0FfXJ0JR7KDt7uZDqjf2BhoDAc7T5PCZqOU9tGWFQ
Ky+LbWk7JsjvuRPd82jIftjD3x5E9kdprSRNmBS2mNYpggaO3MzU1vQoGkWe4jM72Q2sIhMi3ZxO
Nu52wtDfRg7a09IkLgndjq4G5teNBmHCB6ZHaAOScGBzSXsxkYK4ZU/pJq9idYgIgu/Kok/wA8Mt
T8xu8bkBd7RTX8HqrUnJVw+XyKEyOVSUOsNJ6D0eyXgkRZf7FI7HvdE9mjEdnr3E8ZhojM+G2Ykb
yM3ntDZKDt9e8cqRclfUIjlYfeqsmCdsuGARj1IV13RJit+MoX6UKeDVOmXSBX/+InPs8Gs9UZ06
JNEggzi27WzYe6A/cpHj6WOwaNnAp1oXEuFsto9ZucwPqPeFE9/44FvDQCIiGp1+DXP6zwbzPZpk
EfSop2N7ycwnKdTPNDE8pC7UI92hX9kik/GaJQ7zSDzisZZVOy/Oh5sUdn+zB6hekM6v2KVzJspC
H5jqCHy1BK7G5zDvttVQCiLtL81YOWcOFtIv2CvxRONKM9zlNY0t975Wp5syw8cfqSdYWPOdVOkX
9iuHpZlzGBRCe5OMZXSRa0F2S61YUNSKRc1pmx1FEfROxR//vi47pjCijHWMzlHbHgiNZbR+GAfs
0PY+TLj2lW6Jj1YjpL7xRisMoBAkvhd10WmMFCcda3qbOu/S6Mbd6HC+ZYq8SNV+2mtcXRHmx9ev
/67XOG232DAnp7o7hrI/l0qIvWc04jDCbzcGT4K475+jKUmv/z4QUV85ME77MM5VLRp2ijDf9+CQ
MKyH3Qv8WC0gr1M8gYEifSHm+Og1UBuWQV5nFzZgIUwA1G75Sx/UfNYdqqG8ISdrU5wcyfMwMdfc
DhmfhbZOPLAT/Fsax66Fl9Ow3iSwVJV4snmQrrPpPfTw3JMkOBX84x0mc0VYuSetmYwXKFK5kXt8
3Y6Llwp7PMTTJphysaCoa4aPoEd0ZRxQMLERAjtbUGmkBW1qLO0AriOTfbfwe1EsO2HbbtBmaq/s
8Q1AkIZKiShkoRpfCb3v2oiTfq0e2pQU9wqL+FvsXZD0qm3lFdCIHRjwjNe3DhwwH0xBRSSB15WE
46q351ziZBO0Je5HS7j0B2PKtWpcTEv3BqGjZ9rBdTrrvOkwGQPrAb7JsLtNZdl/VVnFmlFmz/E0
Vzuhee07/4FGD9gaefnZcLrZ0h0xM4fu44NG0zdUMSSQISP8CZ9ZvrQgjRizpWJbJXO80+KY430T
GsgA2B7qTNsZOLcORldzMKnTrRTxfFFhnh7q2X0uUnM6F+D9NlO6Xh7ASexYEC8cdwSn4Lg/mLL5
o+qW4d1qg4vndSxMqvowdAeOMyRGqvkAP924RPVzaCu5NznhriDhvRGW0XkNuNmA487D8CGnPL24
yqOmr4muhONIqdoaJ4d5tTXqVbzNoO8x9JrxeENqXHiEX2psffhfYnFoTSso1uD/vw/zzIytRA0/
Vh1ARwabnEdSt6Z3xqmJ7vWw76GLx27JTB/h35fl81Jh7lXZim6q4G2ERVSc03x51fQacSGslkAZ
BrmkwnvxZmGiI+FMm2vHeZC2+zUy/tyM2tS+pFPBB4gTJCHHV935tZhQiqZK+sDN5EkpDjeOnRNW
VHD5vK5x96ILoz1Bnb0H9e69MrXfZYSipmdWtNGIrwJWygJa4ONLbZfGdsi717nSxNlTuHKzMFy+
zAFWgZXV7DXNeJcGbzHuV/x/W8tLot+G3XLT1FPBQpry902YvDG727eKHRTYuPMjTJfwkYcYzNNu
jyoqjyhnX33DI14lnnync9raDpwrJrYpoqKxeiQsnkUpbkurLWeTLL1HE71PntC86fKPJy31iL30
wzIZ5MUD1h8AC1TSiFj9LKB2pNFHAz9hhcbYmyXJ0gBaQflKws3mWay3XuGqF61Wl1mG3RlUg286
C5uRB0N2TrsMoQJ46VIyrWLhHQIdYOBhycoz+RW5tRZt2LWLoOAwLZx9V65LLS4h0mQcNcOuB6lq
+CLqfnpmZ7GKCAJ/ZhoQ/FO/jb78dO33FjfrTqvUz7ocl6CUNlsq+9jYgM4Tqj1FvIGHIjxbfez9
aUvnDaWh2mMBSbB/ePo5WeRzVPcgKHLvqUwrEn26/dXNenlwMicmf6ENG20Y7XNvY+BK6yfbCIrI
M5laOt3WIlu/S+hW93UL9zhqWHp0lpmUoCuQa4oe2E2EU6MZf9R2T7Ig18g6FT9S2mUuzCVvlhtW
l5IQXEvOOJhH75FqWUAqiTnsAIg8nLZY5sNDZPAdRx3nfaSCM52jPflHm4O7Uhf0QhcfSo73P5zx
3kiEjraDs1JWJkGHIbaOBDIemYRlQUqiAAS8qCJ6yqaa+DVlN4GRSSoJYK9LcPjblPMV/9zsS881
FOKweo2ZBR+nlnZzFdVb7IHzFe7LmlrBtSeTyj0YGBvXKvmkqNub62CD5uzaHUjgHsblXYmDWk/4
nRs/hRpSozHLdG/WruerwTrHabhwTInIeGukBdApwVLG1kebaL9Crt/nztm6pnEaOp0xgwI86PU9
iAvUm5yKsFPUOjh3SgytUWpUxxmmxehwIJYt75Cra+Pes+acfSc3WcZ7ABjNdK9Sqisc2dwI9JYX
vqAjkFKaPATQFGTRgTk5lMOxeo9SL5gb47kckVKW0dlUBeIbKAb4xMtckD/lnqts9e02WoKDPU72
yVSevMgkWgGjHC4sPOylfvuH2fp/zRq7Jr8aquH+dv8fVOtKDLQU+/2fYWPXHzHFukSRmx//M27s
v/7cf+LGXP0/PCFM2GFSAAizPNBh/8kbc4z/sCXcMItuOYu6XOH9N2/MMP5DN0B2u5xyTCBgHo1w
/8UbE9Z/2MKCN2abhmGbwv2/qtaVlstn+V/K5f6RzuiNxAtsAz5z/rfuSKOf3akztGlrz5QkUeHp
0SrEhxEJ6T8/tGma+YIpwoKcf8xU9xK5RXGxkw75IqpOmmTU5yJYshDfGbuLoDUIpEeOuBocelyg
oTc7rag3/h8kncdy40gWRb8IEUi4TGzpQE/KS7VBlKpK8EDCm6+fw56NomNiZloigcxn7j3XxZs7
CmutGOTd+QAEui8U+JCWsw0TYnddVbF5zd3a2T7ANkWa/f3v7daSHF5rxOcUI8HpJjf/5c7DE4oz
99jhIQxiXZ9KRbhKjdoOa9Dy7T4GQDrFMlN7qyF2iuOimOILCTy0yyHz+jHi47gZ3mHGt7dG42Z3
22souuWYmtPIfNd/F9miDh6F6x1R2arKEHP3MC/3Mi0+FgT0B6vvy1XuI5ieMB3sZTGpnXZYNfVd
AyKpcIeLbY84FVDgpBhA9hnbiMPs6xs0CgNhj0NvyT0FnbO4Oq2Yt7n/Wpuy3buMxWEv3KPeMZ8T
7D37KVzX0tO4JpT3MqZMinrjby5QEhiwg7Td6VNZb5iJ9jjacU1UmKz+/6OvMtavIVehkSCCiwmF
wseY/yuIIg10HvXnNE3yjetOSJQHvtEit5ksor70EnUKvdYNwC+ScTan0SY1Sm+PmNk9L7E3IM/v
w2tvsgckJu0tnYvs/B8iZorTt9wXcOeNHvwIqS0PIyjJNmBKOe+r+lcJY014Y/4xdsY/i6RjS3TJ
y+QMt9gv/HrlqfIrTPtnEFflJ2LzoMnpbGy6v93EQAkB3KiYo5r6SVsP20prLifl5mrNc/XeUQTu
ezlW97Cc86Mwu3+V83vUyfwrdVAWKS7vouoXjHN2w0Udw4UChOEDiR9L9wkKbXWhugb7htUtL8xA
j+1PAjph1zgYb0srWnd0pofqwmCq2rqGKy+Va8r9L2WyTeKp1menm788VRCAmjIsZlh64N9anEo7
L0+UZx+sTNfYDusbvnGOe5yeQeyr8RkqjYOKx9R/R1SxddP/K7RmhFL11ipuZHpir44qNDf6ANTx
FQ16DxtQjLtpTnENZYJh6IgaGc0nck+CSNg4H0cnNtjm5PV5DiV75pqrgGyQ+iiZZ3XcdTgi5cl8
/GhIPoBjKplcSQg+zpRe3bL0A+nB1bertjnOUj7FVcNzC+mOZBpkCbkZ77Nau9fOK/7UpPKceZB4
Z0JiGmvo60FfVc6hzee71xZ35j/FOzioDR5RfKezyH5JLmNsZUYwaQY+6BkzgDfewEAzuzWM5zdq
kvIwFpm38URebIVZGGdbXCGUpmy15g7diPxJKfxCUmW2OK0JDPwurA4insrmU2829tbtEDo26Yw/
2JoOLokwaPzGT5ujY5W1A0cHqqId66ydZ4/is10KPH3ReJ08JIFVRRlRavU9J+HFAgk1K/FFU1sH
fW8OJ3wV6E5hqm1QrQsgCWl/GUzztvgj/znL3DWagBqm25w/cVnEmwTQVSNwTXeuj9lmYXPR+SRq
LTI6xlNP4GjJdNoj6nvVmXCZVqCAxt3yYMZRYzEZy/DUJWaUBXabGhh0YPz1Og7csab/qVzj3Lrd
ba62LMspxnCh7Ei4wljSIB2th2Y+jAL5ReKw1MK+xiwIgH6LV6OI/zHlA9NhJWtTQX7PsbhZevhE
ExbkEwJPvOzWegnNv7PbMuwc+G8Y8dELqXtmtbaUTyNXU1tHHuYhvORdnwQ+KGsIZs8mMNyg9Ion
yxvPHuMNHm4QUIjy14lJmW805ylp061r8pnHC3bTSF9NJgqo54kdmBQZlqhHFVGgJxuPl1ja1475
DL6l+c1rcB3lrSdQQR7SRjKYTQirsFsXCeD0i00+jeRUhSjISDHC9TQmU2Dbabuy+hOW/XanPes6
2+6wss3xiwStb2GAnEIm8E9iE7YiiC/DsPzMQC9ULIwNK2xJH5CBaUD+RpwCOnzTveVt/qdObuPC
ai9qhnE/MKufPSgOFnC/PMMPgIAQgYkNiyH5NTDgxJlFOZySVuEpD7tq/rcZEAv7IQ0mgoUdPgXO
3DQ9p4Xxjm2dUV6ORZTgWnaq03EU1zqBro9V6SKdGtXH45GJWQ9mkQZ9D6D2ZZgQ3xfI+TIGfJEy
d2p+DO1jU/KbO6QcNC4RH1W/lolyYHXGR1DS+WpGpLmGsxETNLH8DAsRHElhNdux/q4VEAg3T9Su
50OMSS5fWYW61pGed7oQNf8zQrbM++gPr5P0nnH/HidSFdYpji2hufmY/ocoX8aw0S8FBgYC6Sh1
Q2vNM/gka+g7CyKHdRGJ175a7jaoeNvXsNxTNOkq+s0G82npokBHFOBRh60je9hsZHGwC8s9IYqi
ER7yo9eQ/TFj9NtUvBu7vkpYhg5msntEfWz0qJ3nKMxMxj7gEtI8f2idnPdicjbU5sO7B33UdiJ/
G+Obhl2NoQWENK6i9BfDDVJWndrYAcTJwNMk5XXI0WwC7Yj8Qpy72O4Zb3XHHKeGXdW3DDUpM1V7
i/OSVHIU63sPfxxznGZTEQ4aJKC5NqyLmGjJ8VeJiTXwY4FsEEATyu22t/CuWTDjEKyyfe6voRqZ
tJtZ4Ew2C8LG7p5LhGFh3/6pXb95dm0r5uZnTFGHQDOyutwNBjI8xDsL4+o0gX0A+CyHFhozabqO
Ej4a2peiF/q9d+/TzJYgL+shMEM07so2eGcfezdtF9/WoL7wpA+7UEztK6l11RST/BHX0xWVDGmR
TbFsxtGG5GQe4pwt8iLhWJdYpY+pLX+bfeFdsC8FGEyoI4mpu5uFB5mjtT8ZtqtghoebmZhLdNtx
edISreJRd5QlJDpZXlnssuyhAzLxVWXESwVRMnZbz+WxZUF9dRgmbvxKdUfZTWrFLtSLve4pSbT5
xIOBjMvQg/GJ9fjZlOOVQQlu4mkCBYUlUoVkY4xC14Fn1r8egQZHC7jICte32mZOx1w8yi6kYsGR
zGdFg9VfcfUkt8mDIiApmo5dYa4pleer50Z4MuzmphRiNjAAJ4uv/OSHu8gv1bFTE+SM3H+cMx1Z
DvaQIBrqjEAMEiOYoT9IC2UPbSE7wWt2V5iLuFIZs7RaQl1B9NvKqXm0jNPKwir/IcLQXJnRk/Co
mFz51+u0OEVwEM6m3Q4H36kYgKTJI1bw1ehVdhDYfHeFiDZF1mDOa8Gjjw4uBkAUz6yaBp58ZP2Z
CNCM431zBrUrSdRYM1fXLyFK4YwS1Ury6XV2O4UpaMI9DPnBMSLzzUclmekiPFdDe3VHdB4w1k3e
sZ5tBBkzVWEbp8jEX4xi4FhJdtSMmwDBRmDdsLx5ZE3jqyWBpTk6j0IEiS+5R6HdgC7qUS5jruP9
NPC7KlAHS6MAuRqnpShZMoziw515vBiAt88RqT2rJC4i4jPLFHs6W5OGzwUof0Rqg1k/z2aBFM/w
VDAlR0QDOHpGfutyIgDA55QQI/xJ720oSn30H2Zfi0TF3FJ/RoJljsDz+wPwlPtoQvoHueLulgjN
hO8T0srWMVu7/fQhl05jbKmqe6lR16DarndYZthVJda5I4XO5sljxXTrTQqeKDb3Zjxhz6uNg8rE
eC9dd97JliwIWUcXYia856nbe32qbzbhCuu2+td0ZLZOBcko0Tvtkn3FGkZgTCYvc0Qljj66X6EZ
ZXvctMN6cEi4NmGYvEblS1MP5m6em3zvYD/azm5vnNEXpidkeMWGVmKXujxVWIWrTdHQzIEMBr2B
pYFAQfVmW0RK+7nr78e0wuYb8QZNEsDUwAKlVrfBMNGIZbsUy+c4x0EcMx4qfswWaEm9aP5wORwE
LKL1VLo/hvNDQh2Ouymbb62q/kbxp2lm713Ih+HG88zwaZLQl+yPQfivD/xwkPL5PIcXZVbI7GtJ
ae4uQcIGn7cne+mM8SMj0WkdhjU859Q3t6ns9loUJx11E/z4gA9yHRWZeMIg8i/1SBQDOLmZE/ml
bU5fnp8ZtCfmDxziW1/U59gHu5VG6TWxyuE6z0xuCrIACMvKi31P2OF2XFznandqRnTjGRurHp+8
fFHvIP2XDygm6V10s7cZ3BKbX8omBjEF1lvz4gOPuZegVFYG3+OG15xft2BGWmRvbjcWl1ANR7y1
qN5I8N0RcxeSrAjQQiv/vcQq8VSHaYDOrNgOvU8xigPmALxPIWrzfpt0/zcPPuHiTCGcnwe3x6lS
oGFJwtZwC9zSPluwIrZjW10f2e/nvMbz0Dyeyb7zD02LzQ3qxu+EueChEvV8TAnb+W/hYqW2fzYA
ULjkNu5LOjJQbOMQKKe3do6TXLooPerMzk/ANAOP4Nctbv/63pZLYEx6YUk+BAUGmaDwil3OLuiK
d6AE6JHkge17rGrgtgzYCXIX0QlHjbfOxtq/Te4g1rZCYKdRdl6r1jilJLjumXIifGhSnvosyraF
K/OTOciHFrEt9uQEX2sM98ccy9h+mKSLp4WTJIJAposrDfPACUtfOGtYE+MDoTpL2K9Wn28z2Owr
+UCx+YSxiwHZbCni/k4KyZY7GSW6q06VfiyEYu/TleVy5LZbs5vpMxxoFilzvhrUurPCfG/O1Qd/
LfppUxG6pLt7GWFscGNp3ghLIiJP07K0zoJcvlU5ecEepiUG3ftyLIO0R3QdJk75MkYc9RBCUTcR
v3QRqnb3tej+wV2iS6XZ8IipdcPROnkyqQ+Mu4MBOv1x8MpzrFux6qVw135nHDx+30rps3CTYmM3
MaapMg6KmSGOmDMspjjNYqh0QBvPuv/2Q/XC1v1s8sGteuLDM233TGPGp4XOkqCZBmteSpxwjEAi
bDziifZzzuS5HkDahjXZY554Q+9F2+F4V8/GO1VWywtQDHnvQZMomvMaHw/RQeEqNlPadSQ/MKrx
/nsEK4jqQXU51vnQbml0SZGD3Ut45Mq1lz1Kv6hwjx71e+5ztIwl5BULTYCOo78EngZdVoSMAxjd
wkc9TBTZ2MyjU4fX2iC579DjGo2tiZCHin1kkhLJa83/hEKoCJEKZQVBVWt42GrrsWdp0fMEjVdC
fR6Ta0J1uVnIfFqXibeRqflLRkKtRTK9p+kcmN6SbHuNhtamULebl7AAA4tw7ltN+D+7zbDoz1rY
hFEh+hiG4c2a98z3rAdtiv4oN04sQn5aY9xFaWZvWgBDG6rIizDjIghL+8eIuxvId+il8FyHPvL3
DD9+cJksbNpMY1WoJdrKqM5PluuQoqujg2O0F/CUah8W5nfVTeF1MGR4zYhGBn3qJVuH7Q1sJXLQ
H2fC2hnchA6Dw6bvZXdxu+LAnDD/KvNMrYyUbHgyDqA55Ut79Kt1SNdz9LCK2V11Fb5qL6lr3qD4
Y2VO42rrIfLZCDSXV6IVm4Odp1eW3w9FqWVFp6wHxyQWdzhJJPo7Z6BRe9Dm6Dfrf56Jx93IwvFm
1qGzNb5sWSiW48lZjNNL3VaKrSW7Exhick26jr/TXc47jPhxnXUOy8J0AFvuWs6uMCZxl4B2I4Ok
chr3HigDczbUFR3LoW2RzQ6bPmJsnBaQbtUnz0xHf9tZXp670MyxmrchlvIsp++H0YOD8MEF8l/h
KN6pcU9sroevSUXo6EbDg4qX67VJbtrzQjA7RhzdvXKRsIDGnKhIcg9QwFAOTQTj9DBIACCy3qX+
wl+8Y18oMbDEz1ZjPMcWrTiJmc2+8VCFiBLcXyi+0lwip2XFZXmcgGy5FaiSYVxlpHMtzY7fDxcH
Muh1qaeFXZUHu5yUP3rORlEAIk5vOszCA8bEVX+EAPqFyYVb3gTd5cewGyG+gnMOmetZ2t1Y+K1w
gtzJmpYXL+UlWv6SqKIp3tm/5H36Idr4z4BQY6NC+yuDV6kjhUzZiuAhxvmpbPtkqyZHwyVgzlxL
xH3g3dHazQ75paHxWYT9ulOAy9zBfa6xfiLKS8u9sm8uPpNr03ZADnu2fegfuRnaB/1nMZ7Hdu1F
sIp5knYD0o1dU1ZPhXa9G470aYNFrDJHZ6Ns7yk2UWGSBaLXPKb1yfbQpjbU9yquDxTPCBu7JoLq
DLRSUWAt4DT2RvtteaQAIEmFETEkr33LjKfM2IyPiXOTs8TWEbf7pujiQM581914yOmKTpnRiTWB
fqy3oblz4i5BrbyTus1N730kYLm4WRd7t+AQX7tNG38ZrruTtn0WjfmbV6/chgtTG0bO/rVnd+qg
bjC6Jb3F8aHkXEKuDKbdbltKOFAvzZxzt9heta5oX1eVL4IEYx1qgVf2w9GFoHGSfcrxPNQUdm6V
l3sebw5VqkCYDYa77hox7cbeh2+oCEQTrvdjM3bbdV3+C1eSOmRzSTAfrIGqUv6+Wq6ykdcmaqAB
Vpm5QUmij7AOMZyD4cL7OM+bGW3LXHXXQi/OyvXlZ9eQV+o52QfVe4Zd0EDAAdc4Mf9IMEnbzmEu
aPO5RtTBCUTLOPQCUfPIYB/m2xuzo8sSbZ0hiAO6AZRNMOcJ3SPwvTMAHrRA+MNwIRTIv6jh8rk5
5S2OTSDSj8J5F7r6bTJqAzcHJvVqVKgPh+ElHkJ3V1tP5YD3nZEdslE3xZRTq7VOHixHUrZQVh+K
fgAebMptO6Icxx3ATlu2q0VEDLPj+nWemcowqXjnTmCXKxKyQWL3GdvgOfIWJtO+BhfnQrrqe14c
HO+YdddzhcAsLLrvJkztk+H2bzTgaBNcMvH6utoTXUTU9dbiDWz04O0bogUTeCvsJPpgbtActDwj
BJMdZyPnuOnUuLtwsE1b3jbFvcdB4OfySDzpDxmnZHJGy7BKMXitawsPn5cYDYuC4YP+CBb+4Pxz
KlzFber/LeYGjdB89ABZAHHIGRYurbdGcVVvRJzgj5nugPABgi9QmAdtpbt+gSwGi3xX+AyuUrUT
DsYSwZhu7r1fjvfwint/J8fdz4t+bxyBYIB1VNHrUzIgy+A2GFS0lyaOhVlLEy1pUqERdbNVMXWM
FeBAFXkAwf4cdvxW0Wj+bh5uqhj4AgqpCnZXjhY7FBvPiPfJomCUUFetQCg3IqwQeud/GkGVj8tg
6RF0iAyDm+PGewi1Qcoq6DmOzbUL/Rxd1l36AP7KBF9ndJfANM4WpQyPRPVTJ0sJsIA5BffJpzml
R6/go6+bHTE80Q3kDEFbrbggsEURayRs5f0UK9DwiPlh5VYJnoRGMSrMHrk1MJLOtdTJWsZ5h9cT
2wrjJsav9UDrkFDfkRBueM/AvuaDDr+nGbQhh49UbLzMBP18NpLxV4QMrHPPOjVxe6WL21SMvNp7
ZLQScA/scy3BEIuK0b3TUHOl1R6aPrg592EJw0mZWDiK+IJ3kOVx1GAAdnzrEjbxJ1h8Re53Zgel
7a0EfJmNjIz3Morhtk85MYRmvW8t9yPU+VdX6R8BKGoHXrYlFaPcoCKErzweqmz5w/apYXoBgtWO
5D2ujPDuv9ht9/OYB7wm0AxGgIvnBHeJsXQEshDUlpJ1rVFeXhvksdS2GZeE1aP/Hphx9wIOuS39
wHaXksYKWIjh1eXGLvKvGj5yMLHsCuJ2+SRJoTjGQ/XcUhGiLShWpEH6B9745xFwy0UN/VYQw3pf
yKnZoQDV29AmUki0U3amDTvWC1jN6oHdJczCWddO2hIUzxKr2vh1VLyPug2PXPrNJrLxrsYl6XlA
EbJzZyyP//c6KEL6yA7LNPpp2W+1587bpoi3lKnDLiHkEH5v+YzewTnVcrgYiT+vG2M0NhXAtBWC
KXCHoZmgA5nvDD3CQJpGttd9emI4v7zVhPrWSFADZUzRzu7C5oNkuxKFsiH3iUbOGMtwK3HMrZST
NYfCa5cTjxFZmI+oiDYrN/0EyqGwZ31JE7DDkzP6aDwGpJpV+a8q7WRjth7Uvbz73fn0vkWLK/aB
lSfLUN7spnmCaj9wVRL703idAC7iwe/ujLfZvJR2G3/nyNriAoyjndevU2Ovu05+eo0+GhQ/zN8z
zvqwyE68EeahJWyy5wTdqQmjd6ZdZlpLusd8Roq4IlGQtQ9bwscioyHwu/YVmTPQiqOHGNqo+fZ8
3Atp/suIrEvEpCOjNdtB7mn3hVefIVleegus0Qx9PjCXaMPaFO1J3x6GXmC4ePxotf+xeGLYu4mb
3LRgF8AFku5mK01vNq1xwxrWSQFuZlnrbKmyjr1fxjSoqX5y/HgLJrvZ6iyG+zWi53MVH0FnsOLK
Hsf0DLiXC6/GC5nUP6QlAGYeINiN2QzqGF3bQeSR2McYIqFPJmQEWPYNzsIzgUgEDGun2CeZjYiG
sR5vIyVDJwaHhsh4UksFWhWDeAF0YYUMsQqEn0cbJETiXNXRB2qC5N880VYz1SWvwqpJakjFXWOy
2S79dOSoBldgiikoFrTrqUbvruviIoVILjott5Of1GfOgHFD/MO0pl5Iz0R/KAsnm9V5/6yO0HiV
637jRQCWofcvFwfzrV56Zu2PHKfSXOUqTxBFWkygPeOMQ1xgTn6e8y7QPUuw5tEQWZoAKbfu5cVv
qA2IwX1aKis5dpb+5hS1TwpNeIPiZi1Gxt8ZoaYbEvvenCIxnxrmDrmSAbFA6tQauYkNBrU/4Yfq
HCdZ/+I53Pphc/OVR3udMW1ASjRd/vsROg9GB+Hag2Gb29wyx1vpNGiNzP4yWplxLDioIxx4x6hO
+Qj6yUVERLteyemzRua4j21JreS0XJnJRtp5dcFReEwwTQKqBI1V2yzMHqPdzkn8AE3p1deFyaPG
a6LNytk4UB+Ok8HUlhcbDEVs7HuGJDwr/SsS+qNDa0FfK25WPA6Xpmq+Tfh07tx0L0Wn541yUn8L
PPqeJMiwvYbpfpUIE3nsbH0ijliDxQoQXQwfMrUTXGGCKbmROqcUdzrO1AlDaa7iXRvnsOl6Foo2
T+bJIfV7FcXO79lfDoa2ftlsfVA5J3+y0H602gwxDB5Fy8/XMlp2OHSuQE7kthx55wYpv8iLfVI9
rDDmR58dNFHoP9hH5S0h8ncVDsxeKg6fYVpo7FnPN0P7m4YXheUT7LCPKNlXbMtXwkFuTBm+rHE3
3VyFwQc55m2w7fcZyOIqyjBBFCPy8sHo2Y+K7Byl1Z08H67WiQuk9EZ40Oz1hhi6z5QGSQ6wggNI
Uo9FNZ43J95JkVHb+x5LnT471j2jyLQk2atG4rBZUr9HI/tjZMLCDQnzL2JNaWFvQ3APzKEE+qqq
5C+j4LRzXp1Bv/sEuK69uPsry/DFYZwbGKH4rHJXQTvL1mUMFqUTv2FnYPenl0RQbQJvYXM7EZuq
WvfvFJM2RayC1OZnPY3fJF2cQlwvW2UgD5++lfcGnK3dDR6GpaJEVDBTbkTNlnPbgFi/EDW26K+a
QCB2YisT7+nKBEi/mjw6+dpg8V2KEwwWxnau3Ei0JI957L5zu/MMGrAYeQAeTAT86euFj5R7fpN3
XDbYc8ZinLZSLq+PBCrEmOaFsTWktEqyRbSr/JKl5ltlwStnCDPUcXihFjaA+t5lwhIWNBgJF3hh
ESTiaRP9B2uOZFuX5vNCMKKZpR0s0ugoXP2hiF8Gclg4Dy0zU3HiuMTsSsal/QF0zj2xNT6MNn9H
+4FrM35l3/WSdfLJqZnKR20PRGl+sSJyBoHwURgk4pdo5etoxsSdPi+0FDWaPyJH8FosjnmNqXcN
tBlR8YWBmLi4CqAYYJAI3A3WltHCIsXpsjPxsK6WeknWy9B1iBQflaNm+YnQ9Vr0nFomnCyrpPRC
CPva2n/ytO+284MpGnOKR614S+HPKzf2d93gfoelB7rDduEuN9Zr/+DIqzkSKyF0FHQO23d6znUH
axR7GKBgvjJ2u26+0hnp1SDHIAoqeW8WTrxJYJ7JJ2831zxDUCBfS996T9FBE7bOLp8EWb53u5l3
iZN/44iin+JJWvnAsbaWbR952fxdGuEE5y/g7/Sd34l5ih9dc91klyxbmEOzgNad94hg2DC8AUAM
rRYvMN2ngIDtAofPpojB2dj/kjiTY3qnOJ1whrJcWhtlnQRRPydbf4or+kr9KVGLrccY440z/WhC
w5i8lPy7pb3CwXNXZjRuJHIWEHZ/4Jpf2xiplJ2Zt773LhlovuG3bos3BGkfrpl5Zx4aY/6DR4Xd
uEeEA47Ybwdz/1o3fZAZzW3Jl2ivvOK6+HQD3kdYIxMDBDUzPm0/k5n1j5hR9IREqZguQPwlep8L
91qi1lrX0URAORFPrhe7G0cz5Oz9CvlFPm00YSorc3jtRLWWz0tBQ1mrYz+DlVMlFWDEzQFNDTHG
GYjBy4y9CksntPUFWolWrtpRXR/zxFcU/k20Qx6NTBylbwvpajCzbodMgZg1qXHVoE6tUN/EC7J0
0VT/0gEWwTJeCQ9ivWzx+Lpj3G6mAViyO2L76bBGF7HVHesaaQ/Nz8hu2ENUpZbk4NRPeeiwYnPq
5bEKXOcPi0yORGhrLXQjAxiQUxpDcUwcDO8wAhKSxhD1IRhwPmJkfiMhlYgwX9BzXZYHfI2Ec0K/
8GsHfo3GXYzvtZcl7HQ6BeR54mmNHuXW8tAbif1ErWS63cP9BaHw9N8Ps42t///TI9J+jOi0u9K9
hd2AVXjGaK+pvgTsjY3fje1F2eMzOYT23rL75JDk9svEHObuEDZ1d1tWUOybaj+NLxnrrSA3udvb
yrbOxHhuh8USz8RQALddgOn2FWXX4LmP4He8s4n3Tc4tpuElvZh8hOtxrGjJgIXi6dDCeqJP22oH
840ROte0Xp4SOZ5l06SrRJXAdXpvPz6y3pe525LZ5YFNfSgPIayOCxFzpH+cIZfcFrojYmoGMlFD
ltRFAb0ktOctUVfu2Q2IiD+im9pKEc2BHBm7D83Sg+GwrH05N/YG6Y+rOcpaSep2bx1br9pDH0AW
iNNwvIUkO0wqrD9ENqLp6KMD9LA/hSgv0iSJUfgE4GCS3rMWyq5uTAgIFEtjUyeKww/6wx0yK177
sNs3rdMcMBBsZVkk7CoK6zEm5fKuSrhKk3mECTFcw0wVPFl1Bm8VeoJCMw8GzT76g+1fbZOAvsEy
B17Q0xwvE0qBdNxgXTYx5mA4N3yTKDFs9ZvJmSQAJQTtjoCjWSGCxNZmb9vJALk1A/h2lbXsp6EK
SjPNDmS/rStX4nrxYMtBAjcpoVHOG2b/27MA5KAWvIneemDcxIW8dXM3uCIYVMOg2p0TdhxIlkpB
vpfnUxunxs7I2n6PmdQ68pQRJUd0RDvpcxYxenGHu80G5UYokrlumRxsGANbe5ossn3dMiIpKbHP
/iKfvbbVV810ZEOK6nnmr34Dm7gn3bjFsCb99eJBP3ILBDAm5V3yQWipf/V4hznpvXxbhxbLPERB
GpPgfbDFV1m2AoZQDyChm6+aqKatIHVw29lYiL1yZHsOVVDM3TGuRQFs3ldXUrFxgZJr6UIW5DVV
9rGZCM9GXzMqIJuF0/JG2elCjZjshiQsb7MHojUaDHFQ1ShPvopRB4VPOPfUS9XJD5VP+mh55aVK
dftamaY4Yf/4cOaeUwOF47YXgLCasEuugMiBMMa63/VUl6d6ApC1eP5+sv0/pmvab4W/3Pwhab6T
lmUhhGUlbRI1QX5dOrQoeN3HdJOMOgJFWH7N3GQ2TBWfqfjiFp8snD8zG2uhCWckLmeCwHpST+aJ
bQ/1z4/EUgnJNAKjX3LCJv29BeDMaH80A+QXxAyXrFacpj4SDCc3AIazgyl6eiwZ4koq1apdWM1n
U/FOceMeUKj3YDwgCnRQd54xQxUMn2RvFOthYKtfKQaEuLnODmmqgU3kUv4w1xP9lJUdiUXdNO8d
Wqy8je5Jm6C8sp2dNoY9MDvmztSHY2JvaiMYPHGP5ro/N07S4ZYaLpU/vI9O6qxHazNUGYdbnvxw
+Jiroc1/xzAeTtYhnnXKr9whSEBFWjOoUnqedkVO5IX7p2kntffjR4jvOzQkEkMXZ6+d1Lso45HL
FJdf29aJ0g9eXW+V/87dPvulxno3ESLB7me0XtxUOlt8cDZSUryKGEbCu2Gyt2ssTtNSkNre8fr2
oR1TgZAeQAUBbNPKkK30+bkJC/ec4guixcpbrCxRuJox0D1n+adI3g1GnjG7lWcLUB1hChAKF9vj
0XfwURDgMnmOt6WASAOndJBRe4C/y6KFVDTH9m563FrW4yGMO+pEGMWaJqrU576X9O1V62zINHHW
NiKgbPStq4tm3o57crmiJSAkbVx31SzwnG+Sro6ObtWPT6Wr72aWxSc2YkbW36Klj5/dooXJjJWG
Ya5C8Zewl1iImGDjdf3vn1TDQUCPCvGIrYpwlIDk6fxCbJkE9szYo8P8j7S4WNSfek6HF6XtFyX6
l8LW8Znx1FeLsf3YhCpZh03dBaEBom4Mr12bb7EEwO/XcrihoKTVncr+3lnfse7Ua5hJPPbo+djR
MohuAeXcytyS23ii+42KcKclnllWRvrOhIYuAUXFpnGwPnYy7G5FbLyxY3c3MVbo/YjdaKkM4pqS
7KHPm86YzzA5ooEMgZstuMwvuWG+tD1ss9CaiZom/NKOQ2NLkELG4iopLw4JH7g/zQPYiI94LP/H
3Jn1xo1kWfivDPqdRnAnBzP9kMxFmZJSqcW2pBdCJdlcgltwDfLXz0dVP1T3dBUKg8ag/WDAkCxl
MsmIG/ee8x116A0errkK3rJVfRO26ntSz/21P7Q/Yz2rQwtk92ynSJycKiYgQwLRARvgE0ooi0OZ
WI9L5aozfLz2DP760I0O8vSh2ZuTZexZj3aTa+1CYlEvZhrrk+PG3/IQTHJoZRxw5yW7As/EHSG/
2rRhNuXMOSVYa7qC8I5oJABuMymV7s2sh1oH69Ly2ncXu/YkKoJRqvTVW5HTHdQ3QZkeKJgeSRY8
d7MDpIni3+dHy0YyAmoQniNiyhBTMlThZGul8rosaQ0MHkegOKy3jDYz5gfLY089g9nWpV/Rgm+N
g6NOYYBB7IsaaQ70En3a6ix6BP7FBbD5SvDqs3FmXtrtuK8MyWrrlAnxElH6ZmoGaUyCC8c4E+RL
oBYpmNsRwDkKB3UQht1esa5f6S57RvG+HKf+oHM3+97Z9FIl4K6INo8AFhyPzyw5UaAWPgNvMa/M
7pGDlnwKdHcz2AHSqL51Ycv3KGG6/o0YF3HJcVIMhguzOcUZS9dsvHBWf2Qgkz84gb5mAeiOsXR8
WmpCPC/NalwLCoZBk/mzFhUZJbH1bCA6WGlE+PaSXOCOy4Tcx4r9rtUKJIf1biQc5201T0/UrxmJ
E8QvIMPaoqtg3fc5RrpyvjA6R5VvLsFO9dg7Zlu/JFV9ETWiWFf4GSAc6YMzpIM90U6vmRE5ZIvu
LFHjLAbrEHOp9guG8l1uBO2W4KkwIo6QHD2rDI4uARNGOtjbJskG0iwVjy1gn2a2zQvzbTjAmgiy
apLtTaa4U5McxLak5K834fWYg8du/PcC1x+e5lnd0lbgnqHU23jLKhAqnW+zis9LasUnGgos/hat
TahCTN97C62+VUUsZJe66fzbAjHqqoyqGnmT9Wn+2DcQosHZnNgJ3ydHHkFfl3sI4HsFNW0X9M9D
2RdHrwuoW4v5aE14f2c1zowmQXOH88JAsAu2oaFfENKxJEiD1BG7gd7WfO9CA9nAcAiF8Wot/evY
KLiMGhdLkhB5lNkfDiSfE2zyCbp8VTPjXlUs0prvhxTrQJZ/S8vyrMZbs2CIypwv35BQgkNQVgyP
2rSFdsbJpPC8aot66p6ViVQam7lQ/9ZS5W0sA1aWLpOM3Hdz7w6IGXWCvHaibogkfLNJivwBpGRg
if7JXaaWKGtnvOa+7J+AM3Q7AENqTwTm5IBvz5Xx6toMRmzptyeB02INv3Y7j4NHOKwDKHLmqpGU
Wa++rkcA0DDFJ5ruOI413KAMiicrLTJHSzGoxNjKkZizmyxepevx+E7Lxh6nNdji4qC8K2cS6IY2
ikV/bKmtrQoMk/vNdfST0iOa6oEma04FAb2tCuwzY9unNi4QWIwfsgCJVmILzhISla3AvqWFyK+L
jdeMrHcdizvZYkcoS+RjxMv50WIVT9PAgI+5PXmTi9KR1QTeXVs1+5Sh1U4g6KRFhjR9ncZdqRgN
DBQLdIVBiW3NJHy7Te3xCAwtezZ89zBVhGU3HpJsQRb4TMyBSvZa24DrPJrHYbKXseItW+HOH6b0
KxYYNWcX7RNhpPCAFfV9kY9I5Q34OjhGgB/1pxrx9NHvpq0xuqAsgk5tHbHMW07P7rnBI5Y5QfOg
nI6+XJImv1gdHrrccQ4pVtjDIkkTxdbkRO4qnrWcdoDPeyQ0uoFhjkdfjtOpg75/9hHuMG9AyxTY
ZnLWCZPgWZnX6eTztmxkej1n9sCaOVpo8WRPrJNse+XVuDLeTTVtIBwZRKinV0g/OwSthTh5tnMs
YeOcPYvAa8+OiTE3NylcbVu7iGCM+gmo2XYx5jDyQxITakZIt8vQdrdVyMBFzuYvSIwoNbvR2A32
+BLi6N8oYpZOgdm8xl3YbbFJwx9B7ooZZSqMEwTGXTk+CY6QQCJQeNZe+ZYMJf3nZnpB/0RHvSHx
UCEJJsvQfclQbt2EKm83UNiZySXJ/edffP68LOl+hPyBfScHyPH9sclb71yFoAAHBgewqba5ahbM
yZR7KL12HBrm7/lSv7AN7HVZ62+u655CqrLrqUg5CgrnJOKaFDy0IKkmz4URokTYekYTb5GqV9vE
o9AgDxbQyMikUJVN+WkokvLOoAWxZ2++mvtxbTPIElEn6EXDSRKUnW5NFWEFOzi4LkQEx2noKSVY
M5BAmjRf0UkuQasPukuewkE4W4ayxqMF3mbr6rGFSxUwJdbcmCZQ5U3pWvWV20ksbeuo3lpIGJMs
EEj6XszOnVBymJAKalBLJGf7N5r0phvd07mTSz5sjKkfbrwFJ9Cos3AfTqS62JEfTP1dUdgfI3Dz
20KQFkp3r9oaqYRdiyt6gQwY1YN8KVXb3Xecuz17KS9WwXSmHHvyE0N5N3+3U++I58x/g61HchE5
fB6F29HTbvZQVgC1hMbgHcBxIi6gkMQkjQSv3FSdTxvWXd0cRuGzhtAdCONVcDelw26cXX1tVlQP
FmJNRswL+SsGnEI7e4RORHyuid1eeIXY6gxGwojD+sos0IrYrX1oYaqCku2Pybgx1xXYzEzSPWr/
YK2IFEAO/d4q0h/MeS5BlRD5Y/pgZJsF837OLS/WyammpTrabMZE8FqWcRxp26LVz60bBEUjlrSn
hUM1nwa5A6uyrGu4jKHvodDxW3ETiNBk1ugeTZxnl8+/0Na9eJLIw8VK9bbFVkInmX9m7uRdKUPS
R8+XU+Vm6V02dXfIg+Zrzuy0qMJ3a2mQQtgd1Rc82uvcQS1Uk9ozF869bhgyL2Z/LMbgvRx640TP
9Vvv4ynlgHbn2KW/WZxRo0pyikOWh69TTOhgMfySOmpnDnHxvcf9hpqfx8cyw/pZI69JHXt+NQus
i6JyttJNGQY71LXdWNxIeHtQM7BkMuh2K5rukNqyXeqV+lwEyoEerU9LmxdnI7HrXVauXIKiBwiZ
gudy+KghpAD5bZ0DMGgfSnF2C1WYRLi2vYqFSa9uuEBDpGoJuLv9F4BqOAOT4TbVoLWHBa1olXEm
qI69U4BDomTEfwY2xrnWXnZXQZmge1QQxGPYW1um/cHIaGk5vrFaC/sDTrQy0vJnn5oHqyJlh5qp
2zWsgTVqdptDddPVJCDE8s1RfhUtpfjZzOPBmJ7SKbnEExomb/XQjDN7U5MnlwEi1x34yPRWuzFC
QgIOXV4wUZCkBRHS1tzl4so1vNdWOAaWRGu9rulhCJrXzy4NQi9yoqW6oDKYr6YJEVjLmhTCP7kZ
m++G6JCphsExr93+JV4jG1PWb54CuNijwuKW4kiQ+c3s6eDei42XoKSlvGA1x/4csFubEOpAe+CG
kfOwt2nn39LqfrLjNjkxkqP0LVx63nYcnB1y62lhbQkFZ7rl5KSfZGTg9qA912l9G7diW+ITg2Pm
VLdJTdB9ZpVHVWLw7ttWXyAc4UexWPhBHdxOuVcQgCShp2myFmntESIQV8WxUYyklBTJrmim2y5Q
ceQZqF5RoV2aJmdJ8/vHphxVZKj4eYmRnKnEbTZ481Zj6G40GNRbFf6XuPvmy+yj7clFkqlzIgiB
bqLmexnYushbyNtQ0txJmCkYxOwHGgPdLg8BeU7xz9Genof2aJjB46zxiWT2/JjYiHc4rb27aHd9
TYeFTmazFZKvV+F4O3ULqZbjtYnmOiHxwgEC6PEwT8GMNGR5rO9Q7U+HMGM6jDqDnSChDBts8ZI0
vMWGLFNaKVAiY8Iua9BLXBeTl4wmNFsJNMoy8FGF+aM5MfBwg20/hi64II0waXUAlhOdyrbr7gnn
GQf9kIXtL8Xg/Sjz6Xvio0OA/uANIEiaGiEa53PIrHeZ8OgOBJYZVVWxGTLznDlc9MVcProUkkdT
/IQxqBE41d8FOrfayM+iG0mI8E1Wn+xhjBe5U1M1HaYYz0OQ8cDUdki07gYHBWkhisLSwTZ1WK+B
GHlbtT+hJvb8BllQTbwgubDk2vw0G6b1QCoP7TRO10m1Bn0h8wyL+DyRu7Hre+qkqc4JnJoNwFnt
RiT8dx/lPYT+CYJgBYTemCEdk6bqZ4MR2dCf4Jj6H5N0OV80y8lYIDfHmfR2XetdV07+NSQCjA42
U6HAKKpTb5ZHYKy0sh0ltjaZkJvWT8qjtCaXGboiCjRqRKeiPleQggkWiLS5PNf0ImKxnunytNmy
RnaBY+194b81+jG3rnWIXcqeU1ibZA4xLzYovyifStDcsMKH247s0wqPLWojAdq1VRvWkLtSJh+e
A+CySMmTrn30KwE2UA8MN54MGvEhqrspnR9FkrvcbvZj31YIlNkFrRqsHieJFOO+x1IZ1nd18FS2
xTcA4zjC1qdg8LKPyQQcb1oIiWmVaJ4fuox0o0j6zlkfQQd/OHP2hIwW+4vGbjvoClmsumMi90vp
8mI7QMzRzCNF3ymaO+cRRXB5jNeQ86YqCPcyHwJ4Nleye6H7Ad4eUfMm68g7QpLQbDMBnYa26r5I
qzuLKKxUGuLKJowIjDE+PhSn3wFk4IBeOFAlVXcxaOpusedi7g3MfGMldGAC17hLxXRuGDFsfaqj
3WzQXrYYaoecRGAaw19FkrTTAlaVWUVz8jzj943CeO3fjJrpVeof/GyBL1r2hyFN+CzBjXLYrm9o
DO4aQC0bRULdzmXjiGhvMaCCUOx8DfL8XauKh6xSpwA+L0DLGphM/27E1ZO/fnw1mOhOD91d7/2M
sX7slA7KXYDOMXUXFVUmlqEy5uenoCGXmJXMIYi5sd3bJWZcKXx5MLtKbH11n+iueXIm73Yp8oh4
N/81D4+jH78YlidulKL5jDogPExtemuUHpxTumOlrfz7ujyNZZ1TtGELLGV+VzQJdjXQV8Kse6JW
imbHwQhzCjFlNreHKxxxhVKO9Dvmt7ghOtA/KOZJdjguFEUgUgcyFqJycA+KgJed60PvGyBPVBK3
L7Z70Bqxs2x1kn3QSWOI83PwLM6nWu37IUAS0ngPFe6CyKchsnF6fw9rp985a+h905bgz5h78ZxU
BMyOG0XZS9YCw4dhDfgYvG6jpwZpupU9I99No3rhnC8S734izWzkp0RSN2tzAsKiznnTWY5itaFP
ULXMxjKe8CFEFBZ3/XXSMC2Zu0BcmR5Xmtqa40/f3eR2epXOPqx8HmybdC+oQijrLeFeYU5sI2FB
24tBliOvRMxRkWBAvmi91wHJ9HZvfBsUaz1jR3lwA9fcsxGqk1c9ZMyJ4DPl6LtE/pXZ9yoSwdpT
zbneKJM0S0B3DiJH72EMqyvkPbTxfXY+O0QZBgQah+dHCgqSVllymXT6zqUQW8kCGOEDF5skb3Av
xnRQG5LrPx+athx+MYmNGZcorBASm/m8yvZjqM9tek8sMXeUMln24KVoKwC7PA1QuGsbKgRd194k
8S+8JubPuxfcvAi2Q7KfiX5xPWOm5lLtNiDJh9k3cRDqlVQa+0K5up9rdw2xAj+64CtuvAZVN9b0
Q1B3Bz80nvCFMKHW2U0BG92gNX4YKUo3MtTbALcXqcdH9CSPJGFOWCx4YOaYeJyCT8gM7eAkhfNt
yPtXoyHSsMhGbh31FqTxVzAy9tE27bfBDS+6HEnNXB/3z9t5va+VZBTuENe0H+BPpk4yb5htd7ua
YGCOUuvhlnYnRjWyWt3vlKAvaQbUSOQfi2ZnL/F7bvOvSzjcrp1MiikPa9EgGdwv7KHuwF9buSgo
o1WHlJFeE/V1QSXJVYfIjKeA+Bo1PWszQNKVxiRVTQQElYmLelE8ch4dyCioSBMi2Cgc+PBJ/DvR
m3oBKm3uoWtKAp90gMZoqfYVioNw7F/qWD+TzIlGool/WPGA4cJm2pA0vGTF/G0zKHXgNgm36CGa
OZ3BasVQlWPKCxJVgH1O0AMcqt4BOEJiUUG5Gbd1r9DwF7JkVI73EM4PtjuC5S4T9lxizTe9RlXc
Dhn3G/9FE6gVCSWePmsCprQF51GOrm3ItsKZmqLN5UcVLs+f36/gTzQ8YMohujHaI/ThShrGgzYp
e0Mk4CDY9IHmfR3ZLbrRxYvJEBUe28IaQpswmNvYBdaD3fgjbTWo0MFJkGnMh89duU5ntZlbyBgE
qS5LtabXL3kEDvvJCOpb9ECUli5RSlS+DUOdz90xKUd63B7FPk1ud2da7WsXpHyuLA8lhR4gjtOs
c7xUCHQy2KZZnLINUiqOGYuR2YlXiAgHE91FONiY/BiFfF4MO44/OJR+7stG3vo85NsQMAxJtRaD
bUq0OoCAwbTwKM3skMpVhqwBnRqufraM6VYMZvCQi2I7uKNxKwmRGJYOe+9a6xosH6makVGxLrW5
ePY0m/yQWsweOKE3V9pboZZeYuw/T+TW2Mc3fWHeff4LKRE8AArdAEyL54FRrBsqi3zn94XY21ar
eML7aJjVKVaDjAyT3xm709Psr3nza503Swuo2dIcadmiyvRRJLr1PlANHwqR11DShge5VJepTj5Q
XQNbKY3jkNJRgQnEpsNIGlu8xFUNcZcB0LnHBEeWjnlaK8x8Xp6XVjBMaOvriSJy6yZ0O7LqqAJc
35nNI9HVSb0f3GPOzswEglUeuRkHf8CcnsflIdEMaxpoE9pKkj0ElNpG+MadrIsPw2RxgjpMN9Rk
2GzgHsPOiQvIVz7aS9a46LPEkwSZ9zFLn43Ym7R6dCI2wYdTi17PrspTQNIdBQcpCVCZRhwOMAK2
VR0ZDkQ8s0ChRBICSWDPssFvgtt+Nzo8qb1zH4QamA9iUc6rxrYTnB56TgRVm3QgK/oDgpAPB/Zl
FH71kuU5SSlDCLuh9krCB+yudynskWGoiedCkact6uzBXsv+mLmqBWxT+d9WMLwkIGDFjruB8Wgr
6nbDpXRxU66NK4NrE5tkP1HjwnxKI3TatBHtB56OM4l37s7CjMTOfJwbmvko7rYd4AjkVoj9KQr3
og7qrZGXDPhC/4GsaICxbOYsjHl4ccmYqLyCyGf5mpjDiaHzcw19GI0WGJ/aTfeJkUVy1P3n6hgQ
Wsgp8gJ+VZOVxFGztV9aI0iZaG3GmRh6/OqcCIP8w0iwPPs8BTFF7efzZbEw0Om4LmEhMfSiIOiS
3fpIkC68JjLor12OrtwJDmnZ3+Bl4z4JBz7knus2WmymWTatckJ6Eu14VabeeyeprEnkuIhpbSel
3LRFk3187rDK4CoweYcq4a51tVZwUsbl3W+cSLOGIiqkPMQiR6rTY1iO1OkNlxcdIce9ikUR7tYH
jRoQAljhm5HtsuoYV481gpjZYTsLuBsiXbPSjB2EP3zuBkOtiH2X6ycowtDt7b1sxNFWBuwR60mz
lQAFCMxC223CWU59tBa2W7FZQn+S2blWYEKnvvxZ0mdF8Nmg4qzA2lshTpAAAN2GGUbpzM9N6F/H
jnNWFuV568Ow7pkcLS2PmOTL4+K0OzvInjIXom4yPIOhuImhiK8Itx9VWJzbhv/ojgwPy0QTgAqz
J11WZjLFFaiWbueUQDMh4m4QWwGOo428qyElOQ4k7MljOiAmQg58HHXzuHzV2VjAz7+VZfnm9oKO
ecUoE2UeOGv3nBFCtJ9YCHdTkr75IXdjZoIzUxiorlwpd9xE79VCkmUrO47z+MyqmacpnFxyXqDz
O9xWYwYPqutz79cjq+QoSR8GlL89ybPSy9cSstxmUWzOTTzjKoY5EbFXACqBGRpjHbMlyGEgIxLc
rui2SD+sO6zY7JqciHlYv5duTXN3BYOmjjsSvjEK4svSiWbtt8C1wm3LlAs7JMdp0aTXPFW/1h9E
Y1Ko5ogbi5+tfc3qJ5HeIv/PN9rlzRIaRSFhgYOs9qnXLkdNDktkLjWKxC41toVo+afwu8NMji/G
mOAbGoMVGT8/uu06/539/bLk4175T2JaydRBxTXsejhGUNaJa/mpgkRComBtyqxfAPTxcGHjo3t2
zDKTRO1meMKAEj7EFFgOD8/nJkXjgI90mCuarj6DYtpSDjKAFjyaP713gS+uNEHzCJ/9Hwi9bnmc
hz2wkY20B1phmRHSwm63yPuoIhyOTFmXMKapWwJ/QSAQaGyyjljWruPQFWV+oI8ZcVubsmnQfZqO
CXGUmQQC0QsesZozKOG1PftSO5QEfRjlcD3Y81F0YXuXmKxkqLQOum0zUqdgkXsWm77vO2SnT/gB
AONCm5vY5oueutzgft/3La2eyW0ZiecYK7UGZo6d0twx7pVnixNhXIvD/y92813/53vdzG2Greqv
hx/1+a380f0L2Zx/44du3/q3XdVnPdPTH+388KPDjd399b/49cmPev3qhQYUsPr/2zf98Q/6jx+f
v/lpbn7891/e66Hq11eQZHX1W2qnadr/wPr8fEmfr/ePfkLxxtsaPvjRUDttFya3ZbM6fv75y38U
dQXW5fPLfvjF9nACA38Tn3/c337Uf3QN/vjt/Xox//h7/u4NvH2UNGp5Ytvsvf/tJUA/6vzJi/AP
P+M3F8H74gaObaGJ/KcXwf4SwF/krvf/TS/CP6O+/s6d8LsXwQy/kKsnAtcJf32X1t/fCd4X/Iyh
w3X4d7sF/FDw2f36sv7h4fzfT8Lvvn+eBOLifE6w4p/eBOYX/NnCFh4wXPC6v1kkfm8Z+OPb+1/3
CNiO5wR/bh34/XfvfQlZAzzzb8+5gN77m3UAIrDreawUAVTg9c+vj9yfugh/4ptYVdfvei9+vLV/
/R8AAAD//w==</cx:binary>
              </cx:geoCache>
            </cx:geography>
          </cx:layoutPr>
          <cx:valueColors>
            <cx:minColor>
              <a:schemeClr val="accent2">
                <a:lumMod val="20000"/>
                <a:lumOff val="80000"/>
              </a:schemeClr>
            </cx:minColor>
            <cx:maxColor>
              <a:schemeClr val="accent2">
                <a:lumMod val="50000"/>
              </a:schemeClr>
            </cx:maxColor>
          </cx:valueColors>
        </cx:series>
      </cx:plotAreaRegion>
    </cx:plotArea>
    <cx:legend pos="b" align="ctr" overlay="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legend>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_xlchart.v5.10</cx:f>
        <cx:nf dir="row">_xlchart.v5.8</cx:nf>
      </cx:strDim>
      <cx:numDim type="colorVal">
        <cx:f dir="row">_xlchart.v5.11</cx:f>
      </cx:numDim>
    </cx:data>
  </cx:chartData>
  <cx:chart>
    <cx:plotArea>
      <cx:plotAreaRegion>
        <cx:series layoutId="regionMap" uniqueId="{756615F0-64C7-44C2-A0C7-D2FFB25C81B4}">
          <cx:tx>
            <cx:txData>
              <cx:f>_xlchart.v5.9</cx:f>
              <cx:v>Sum of Revenue</cx:v>
            </cx:txData>
          </cx:tx>
          <cx:dataId val="0"/>
          <cx:layoutPr>
            <cx:regionLabelLayout val="bestFitOnly"/>
            <cx:geography projectionType="mercator" viewedRegionType="dataOnly" cultureLanguage="en-US" cultureRegion="IN" attribution="Powered by Bing">
              <cx:geoCache provider="{E9337A44-BEBE-4D9F-B70C-5C5E7DAFC167}">
                <cx:binary>1HrZjt04tuWvJPzccpISxaFQeR8o6cwnZo8vQjgc1kBJFElRlPT1dztdVZ2Zlbe6GrgN9A3AYZxD
URw299prLcZfX5a/vHSvz/anpe8G95eX5Zc39TSNf/n5Z/dSv/bP7m3fvFjt9Lfp7Yvuf9bfvjUv
rz9/tc+hGaqfY4TJzy/1s51elzf/8Vd4W/WqL/rleWr0cO9f7frw6nw3uX/R9qdNPz1/7Zshb9xk
m5cJ//Jm79tn+zy9+el1mJppfVrH11/e/O6hNz/9/MdX/dOwP3Uws8l/hb5x/JaKmGGeIvHj581P
nR6qvzUz/DYVDCWIkr+PefPcQ79/YyK/TuP561f76hws5Nf/f9Pxd7OG709vfnrRfpi+b1YF+/bL
m+PwtXl+81PjdPajIdPfp3y8+XWNP/9+m//jr3/4Alb9h29+E4k/btH/qemfAnF9hnA/u3qyMMP/
rmBg8ZakMeIpEejXn/j3waBvMeKCIAzf/xjzRzD+zcn8eUB+1/kPQbke/kcF5eG5fXZT/Tz8fXv+
G/KDvk05SeKEsz/Nj+QtZA6OOWY/Ipb+fegfkfm3ZvTncflN1z9E5eF/Vqq8myZA1jv7/PXV1X/f
nv+WyIg4SSnGP3Ye4d8lC0dvU0qTNObJj8Alfx/6R2T+7Vn9eXT+0P0PEXp39/913vw5zv4WxX73
xP99SYFtTzEE509TRrxNaEI5RO5PU+ZvqP9fz+bPA/K3br+b+P/jEvJfl5d/VNz8eXoufi3Vv6kw
/7r11+UBf/hD139VZH7s1fHrL28SQgn/Tby+v+R3peIP5/afer4CgP7yhpO3HFANIU4pFSLG4s1P
4fV7C2NvkUhinAoCmAi4B6Vo0HaqYWz0luCUxgCXSRyzNIFOTvvvTTHAJCEIegpBMEE0/gdNutPd
WunhH3vyt88/Db6/080wOXgxjDH+eOz7GhnBAo4XYYhSFLMY/9r+8vwAVAyexv9rGiZBrU/nvWno
KnvSX+qyld6935YdG5Z9x6rbObx6or7hNbmfO/H0/V+54tMYogwrdiSe3dRjdNcs6dWNKZdUC1Rg
v1a3KyG3bMbdO1ahG6wOjTLXwWxqRzzN0hI1z1HlR1kmtdv9JhR/srCUIEClPyyNEIA0njLYWkiS
70v/zdK8o2pe0nnew6hbTmJ3CmMTirkZsOxNmffJchvmpNk5n94P/bKP/NCeU+STAvP4K2bzeBJt
bU71NH72a4133eTHMzYfY9qMF0TzoULkzhpHzn5Yq0wteTlE/aMaq6Nl63qavv9SLnI5vJBkM8Hr
2bMxU0Qskhla369d1Z7ZakzhLFLHmYQgmz64OxvqV126G4RTfF1HHhVlmvR7JZpzQ3RRklVf6hFX
Mhbjqab98livar1dsKhl1ZXF0lJxWFY1nVBYKknGYdqtOpZ+mMqbciNOVix91v3UHTpUH4MV/DJT
duWl9580Orgh7NU264/lEOdc18mnYYp2UZ+i3UCY369mdPnMbXNfr6neVY5s161svLRxEu+XZtzO
ZT+pzNSCSafX91WN7wzVo1RjPd8GbXNvSHcetaWHLdBsRhM7LagsM0q6h7FJDilizc3WCXTtkhwF
iNhk+ziv24rlI+lpRuoWncbUyrHH5DFdXoOwNzSqN9nbROVrT+NsHlQkuVpd1i0TzhBumtNYmRwn
/Ikz1xwEmqPMusbvtFNx5mv02cxYvZsob/ZpZ965JghJ1rnPyRL0ifClOqz0A0LHENU449Uc71sf
D7t5HlwWD0Xs82E0w5H2G85nihq5ou2LhgyUAa27pNz2yo1n5s0iDYgH2df6gExzkyxVFqf97VKh
J9YEmfYSYRWyZBmuEWJTJtpFyZaUMq28ObUTeTckTbxDNPmiGlEeyRYKrfl2Wi1932G35hNqHsSi
5iM23F5K282nIcRFU81tHtuK73EbhicT0vNKnD1Xcfl5HJm9JKR2cuFVeqZL2t70IXzuprKUbjO3
y8T3NiJ11lpTJLQ+xvEm/dylGXHCSsVLJRe93bNtOka4viTTqOQ09vckVEUbdTpTIt3pVr3zrblr
2vlWtVHGU84k93QXB3K0W9zIhaGD2uJcdXUWIP4ynW2Txyi++uCkSFyf8WDrjJmWZOIlYjZkqObv
mR4GaVJd7aY5rmQqcLYWwqgy16K8aKU/0QYrKVx3xBQgbJorOCFNJMs2qeSc9LrQQ3LdunQ/0HWU
Y9QNUkTDMdmWi6b2RpH1QNOkQJA5WZXYvcNLZsvbbm1vRmsvqu+vLn6ocfKS4PJEqXUZ3bZrRObC
tGzf+PLQ1tHR1TpkpCdVkcy0kq1q3q1IwQ521BV8uWzO39jStXB+lqwK7ZettFZW7Xwc2m0t0lys
aJbV5s66UgEaSA7zzak60MHJSLWffeVwVicmt5iHPB66XpY9+TBF9pNybMzTiPYyblgrsTuRsby2
ZnuIorNG3ma6GrKUN7LW5Tke+AeIJ4BffCSIUelDGmeLbvZzXT01DYLAzNtJj4LteippxS7UvG/6
6b2PAE7pgqSZqiPM84SMbTLUTTnkzEFbdYpG4+Rm7TWthxZa6HWaupw0apS43256LtESjjFBnYxZ
n6fDeMcSdBjc7cBDIlm8fg6CpIBG5RmOGMlooEKmUXD54KGYxQI+tqT+0K3haje71/D6lcQXWoaL
JWyf0qKP8JitiG2Fi6r9qnDhB6hJKeGf1VBNsmOfbVO/x429LYX4tq7iNRKbkKpOjmNTX5oyMRmU
vI90u61d90mtGbcf9NCrLJl1L31TpVK0/orQtK9RF+VJ4vXBD9FNu8Ice9Ux2dTjImPSfEHxx8Wy
j9HSH3ggd6xyNsOokpS6qvDbqjNg6rdoHh7jwG70GqtiLmsEMBZ/5fMCgNd8KCPtj93cw9EtdSOT
RqBsjRKy1xXbHpFTvZxZyHTdCtnjqC22oX7dNCYF5Rlra3TAafMh1K3KfTQ/DgRHMjXRvd+ml35C
7KB08glp+3kxlmWaRaiYE7b3FuAl5pWSXGwor2yjcsrnEw2xkXHn+d5vUPyog49DO9VyE2VSiKnf
rUO/Fb7dHjYtsGwjUtRVHLJ6TLu8m9urmsqcG8hq5Jb7dWiNdFZnZe9UZms1SbEZv0vdIuTQQXE/
px1yO0TCLBvz4saW5qNydD+bXkuQqPvK1BXARCoeg75BtehlQ2YZajftKdaAvHN6iiJ7WoINBYPS
AIDj5VbZsdA87JxYb+vKUTnPn2CR/qqEIjtlQ1c4HG0SJerLsnCclyP/sOJ0Z4ZByXnwH8fFppll
9iai5alNyvFL6j7jzl5xYxrZWNNm89R+XigvuKOJ5LyZiihMx7p384nY9J50SS/JBCF0o4WU8em4
n+PSXX79xRErGoXavavrIxUskcLDPHAfKilsp6SuySYJxm2x8MRlponCfnLRKK0rUtJtu2a1btdz
X0tjCZbOLTbruu8HTNyaedug6A0vcdUCCjf+blhIL+tFbEUKJ7NhpsmxhfCKNNnDkiSOXJVTZrIe
sHDwAl5qcueJAHJAmFRBvEdlJVG3bBmJm+/4d0PjtNwRFkFBpGuSrT1Ks7Ch29CvwyGw6IOOMcTK
dA/VpJ+jaAQuRk8ED263MjZnjs3lrbLNRTByqLc0zZSP9AUNxGdpl3QXHCuVV8uIi5b3UVb78l7P
DctrNnrZpZPLfD8/pit/qoPfhSnp9lSvWtJUfKsDXoAito9mPvJkG8+jSJ5s1cT5Nm1DPpRDJbdQ
lrvouRNQcbcxHPotGqSnuD2UZX9do8Htm6AeFPIf43VtAYNCKruqv3F+LXgYtjs91iPgggXyFsh8
UNiHvRD+3dzim7giVWbGJNmb5cnMkc1p4qJsms71OGTNOLOiCluSBzTf00T7HVqIAO7Xvm/CsUWa
3QC30L4K+9gD/+YqZkeqvVTC1ntrp2wcE1REvc7mZD2Vc1ceaRLt1sCB9TQrzmhUQuqagqdj/85C
kVHt+jJyCmV1U92uCih3af+Rj+GxW0sG2VDVxdTXMWCAKeYUtpwuqpNJH/X7Bn1uO+CtylenVIUv
XKU0B9T2meFQHHUi4kfBzT0n85WYUd3P0ZzcVNX2Doee3nnRAiPqxHAcu3jcdSvZdVEnreprGZrx
ho7JdSppUXYLcBo8FzPrXFbT9LCVpc162u57zuu8TZcdL9N4zwOoBOR3fgti12L2ZaqBPA0MXbw2
8W2rpuvq2upChii+FfGBk1Dfpr2Dlbi5PjQ0laRe0L6eqT6WIXRy5G28X1fQVA7bsEMhjrOKbzwr
u4CKJOna29pyflYan5Jp/iBsRWUzKCBARMZ9zlgU72xaLA2brr2tnpK2LfzYHIIl8wOKq/mhqqHC
jN62RzEtVC5mqHeijOdzO37qGU32qGLmJnG43lWwq/d9y5Cc27nfGw6p0y7x62jri4oDz32SwAkx
C8+0wnHeaLtcl6FerhtM7NDz+XOz9t0q/3dDhACBQiuOeI3ckQNKb73ebWsaPSRzBNRt0ZOkwmxn
tQxzIdopylqMh4NQ27tmXQuntvQJADG9aedlkGws701T2ocusXUu4sEcKj2dPOdqkMrdGcLIk6tB
2aTjlrd4XD6lPD7NmH3uydwfe2SSSyweEtvVN0u4LLMN+dytRmoeQyJO4bPZ6geg6M9sY1/iNC54
XVlZNvyL5cD20hnQsAtyQfFpcwxs9hUojBnl4iuA5fqcelZmooNNnNr+uLahzkrhd1WM854lnzea
3tttCFKs3GckApqFQUl7YDMNfWwoYfkUD5cVG12wAUnq9c00lqEohTUZSOYMTdW7+pO7luEQoaXg
SRxkvd56ArUx+jiEtjv0JImyeXVPSy0jUg4StQIwgwqcq8lmtFoKM0RKVkNZdLWuD2Ehq7SQBpq1
HyqWHLaEzYDH7Qsr9e2SlHuRthDwtVGgZPpTUJbCxpAPaeT3gqNPaRVd62YSd07R3M+ly92wTtI4
fBsYHWVlljYzwMKOU+h2ahhzZ8fmsQ0USzNwsW+60RaJS3A2j7O+UR7lU1Sawow6Bc+hf2hVra9z
hUA1RhNQeEjCPCZDk1Vi+5aMutp3aiNZj5N2FyH1ZfAfTFu7SwsrE9hEx2aTfDT9XjDTF1Am1C42
voBoddkKoqZfPTwz+1s4p8H6pkijFngUFAczIC2tQcsFKtb8rjMYAZVYUuAp1ORVQ/mja2e6S1qf
5LFvyV3F4sI1ZXMTRvcuxWvts0ByCP0dMnN1ULPX55WW+iToJ4xiEi5bgoJM2o3nTQjJgemVZJy3
sHFV/ezjIjB+6lx9ZUOdSptsIBT0lm1bQftZSKBVtziqC9RO/R6QPp+Gme7b1xBL1g7LuaxH2Lat
i3M6RSBNIicHM+dsKL+qNNkyz+LD5rfXDU3vRkGeEVul518SMr1guzWZ89Nj0gO32IYIy07zUyPA
YjBtVYJuaG942+ViSy4mIbuW10+lqdosiaf7VISbmXdWhqq0+yqOViD09H5N510Q25ytIyikMdj7
zU5bNvZTI9u1m7PBLJuMS9Xf8BqUHi1XXSjRgy7ez1yvO1Z3Nl9FMu2NePVjXF91p5csmSKeoYjS
AxrVgVdjXrLRFIDkk0xRz/LSYbBjuqyfdACeq6YX0Hbdbo2ndQfDVdK3sdgvGohL21Anabx80MT0
p+o+stOck3nGcq3csBtiABzuXTZMwZ8iOoqzGdMqj7ZyzOa+sueWAp70Q3rlnGSwjaW0WH2ZLT62
MTn0ak2PypCPfaSyDgQppF981KaSTZokt8RcmnWx+1IPi5zHfJ63g+iaOefW34pyBANlwzsTzAcf
sZNw35nWiq7+O4hN5fRxQhORQz2iLMLV+1J8MywqxAoCx0dUZa6pG2Dt9FPD18e1XJtsUdbIQFMl
wWHIZ0jvGBw06VajcjIhyex2tusMElFd/ZjufA9Fmgwk537c4ICUuaiGK4nsLrQVCDq6JHKAjK4G
k6/Rsk8X/lSRzl9al8iqJuWuWXwjVRJHF8we26ERUg+gf0CaXIDW4j4uGEltFum7ilN9SkS/K5W1
t6gKTPZVO2R2wRNU1GZXVcpmrGpFMWvQG4zEfba14h64lc382BEQw1suQkMLFrkrXpvriqcVnEdz
lyY4uUDl5+A+QPVFTTOdJx01csBdecv6BWXJ+mCqEd+bjgLdKvVDvfRPXPQvC7C3i7ARzzHZnrYJ
2Z2dAv5oGP00RnF1iuNBSyLqQW5dMmaDymDD8QHB8cwtMOrCKHQc3CKryfCM43rYx4M9fj/qmaPt
wZawzX3tYikYbs8D24h0wTw65r8BW+4gr4x9LKsyp4OxeYLJcJPSE5REdo5G/j4Nq9uvVj+4oUt3
ggHp1HHY8m0W95AadQEe83Z22CVH06IdtfxqjYGTOm5ftmgpMzWWVQHD40S/610J52RyJo9YlQ0l
kLqBKAFVpPf7IXyDrO+Og0nKvCJGdvF2IzAJZ76yx21QL3WClDQIDAo2qK9Cje4hjtdn5BF6p2ik
d2VwIARMu90QWGze2E0VtaUkh2L63MEfE1wwIgeo6eZovPOyFig6gm1zp5pyva3Ih06o9jukgIoI
qgSijtdDy4wtemSnjzYxD0BR7qwTy6Fr+Xyfhi2SdnVzvmwxIK1Vh0S0N92y8qJqtiTr2gA4ONyv
FhQ6b5rHEJoL2ZpBDr6rZR3FKousas8qPPXtXe36+pA09lHr5Tq4utu39bZLFWPgocwd2KvDuxme
Kbama+XsyScXkeEVfMTCLoKfsYI675b2XVjrCYCggOGAyfg0yVQcJ8ehAwa+qcXk4PBKCwYiwpMo
4KY73dmh2XLexe9xTXYILK+Cdp0Ei6+GaujYrYoCl0HpFWyrcZNjrGUfJSIDR/CpAks70z2m1wXr
bKHjLpiu3wc3goviV71vWLOvRH/hHTlrj8c82TqTI/D25NJX71fbt7Kz0JcrW+5mnOGxPGm9tmch
zHVW7KNwft+QGFZOd2M13E7VeLbYP2Agggpk11JdZtEdFhz7zJu7CgqLi+ZdtKEvmi1jRogA4DYL
OFr9SwSWfZTaWfZxe9CmTqTX6ryu7sHOd9xDWkAXYCz9KxAkuaQikiv442qDYgW2KkogKAiOlZ7u
xrhpMkL7Z9WoJ9DRFtAT2IG21wZqu9a0z/lGRhjA5Fsaj9lY0j00s4yC953N6YGq4RMkZx6Bi7Zv
hpBF8QrIpy4UgJ1jcksc6zIgzWsWNaqUVSKqYqGA04KXuxj0Xgu72KR9Ni3g94ijQmkskwUK0vcr
gYX5d7DHtyBpObwAKHO81lBPI35d4bJhWclTEvlML00ideCzpDODm4DhfdSjJ6wxlmw6x/14SmIx
5KmYgOdh/4mh6Gvr01dq7XnhE2DQJ8IBgpULHx1F+y0tBSCQr/ajJV9C/N5RfCxn2J+tP03ruIvq
p6ljkWw5LtIJcHjuydWruJN7AaK/jWXN/UO87PGEdxWZbKF6ft/PPQirSmdwxwVOHDif3xxaLZi8
LOP6PcHzRyP4h3mk5wT+YCBjoAgzM6F7QLcn1037iYxn+EueO0oSDoTWGdAa8yyhnoA672oQEFB1
DdZfy433uQ/xaQLKWDTTLBUQVO/ydQi3sWtvhB7sgYyh6BC6KevmvTFg/nK415LTELsiMlYSBBb/
3C2PipOXdsSgeMRlmsYPLRizcCYuzIqzj+0rw+or4fOQazPez6L8wGoiazPfRXV4NcZcofR8m5lq
shbMkzBcxo0Pu02gXQpqbg+nEPyToQBxrWQipjFHdbhNOw0u5+IPXaTfoyqFwxdFDZCVjoI92bSy
ZJ9FWsZ5j7YHq1R1Li3NyrFiWaRoUyy+tFJvOpGlBz84SfFHr8rXboqBDKaz2GHN0hwkudTTZHcI
SKleuDsoFuTgfAKm1LVJ4TglZia5me05Yp/c5MPZMnwAk8XkgpVbPo91V3Q9/ewD0JeUt0fH42IZ
p+U0mO8wOUY70UamWF0UH8t6BVOjcQVdpw8NwsDKO5fmcasKA8d0AwX5Xa589JMlRUQZmA8c9YUR
y7zjfPOynHhbKDqWBamjh7Y3RzeoD3oCaxWvfV8soDtwlOBT7VYiSafQrvIoAy9szEI70YvogXLE
LM6MAJoV+YqcxnFEe+xVdAwpQAZz6sRRBFmlu6wjJcqXriI7PSf+FLbtaErswJ9alyuuy3xx+pxE
rv80qO1xFU9ti8r9gPoaHJ952kUkMrkSEVDFPk1k8hxh1oDNUIKVlMylxCycALM+iuQ4lQ0uqjGU
ckTqNUnT89SDMEw/rEaLrARZLT1azl7j98RGYLtpSEg9usMicvA/TJaUTb5hO+VrGcaMoV7k2Dfq
DNbOzYZJchjLBWwGSj2YPulnXUGVsTo8B/CEGQEcTZdZerw0+Rq+xCZIS9cvw7LNexKpU0yjOGvs
COqh3PoiROQ1nfmh4vm2CnRjTbzk48pKQFgWg4QbHxtRfdUuhhKt0W29ECBZi4oBQzq8G8fvcDrw
fj/E4IzUU20yv3rJmarez4R8m/vlDLKeXoe23tGVgGuouM7LGSY6AgHYqXUEelH2y7FS3YlPbXvH
dfPM+n7vx2SSUQIKvI6bx22K0R4uWc0pgD2YBm6hKNVrgaPyEs/6idoS7TTias8dlrSsejAwyy6v
6+Fj+V3pJIQLWdr1FSrEDRhJPZwk4fLNmz4Hv7DRQBZwFMBfhNOZzQ4VQ+RVEZG+3UfVyE8bAuOz
iXiBlqjJHbNobwLwUryZZt+37nZSPtnHVa5QN96Eyn6p4lqCoKxvp/C1pYq/V+EebFQUwKIGYy0U
47wdacMuk7XDiSYLPhlDnju42ZEtkI9DuthTY8J4R1D7rS7xx6FraQGKDMOtLzAg5E02qUTtXkAs
mMskwD8e0a7rVQ0FfwWYmvBysGY4OTxuR50M5ORYnS9kcDcJnf3O4F1TA89fWLPecIBhBhfOn4B6
01O3OvM0zwy0VDdA0V448ODSwt6U7toN1Xx1oPOzbe5F0XQoV/0w3dRlc1i3oXsstYZClsy+WOoR
zOZt2M8KiZzV/BudAHlj/l40ozh6II5HP9o7EJx3SuGwM2QxeyDkIzglLpDbGG567hgDBWM8XOVB
snRAWEkjo7Z/EX5sz70W426OxIkBywNzbXpQ5TLlXZQAX6CFh1vLlE8vjevoeStnLRsvAGpKgrIO
41QmBizTUs25WEpbrFv9Ph11XKz9+nVo4SJQA5afRpDWQLjqphC6fkxMgMehsGQtD6+ohqsKGic0
r0oQASnwlxJ8qYwTuLxLbQt04T+JOLPmSHF2Cf8iIhBILLcstVfZ5aW93BD2dFsSqwQCgX79SX83
52J6Jjp63GWjJd/MJ9HlUBO67x2GTt+KuHTYx7m2vyHwbx6mjcNB1ffLSY5rlBOwFNCGjbsnvYW0
NyxvJYxbU8umnPx+2/cD0nNe0dJZgYgOnpExXZW1tA8zhowl7+KhBFrh8HDHcU8WrcqeTgwrija7
qEqjzP9yFDt27rFMk/Aa8tkhGhpcqQzkpvBvNBTygFEMbmaYymImflp23UvrN3ndcnOp0himMoCE
rEEsuKzQpn2z3NO6M0+1ijtkIf7L0g3+cR470BoCB7IIyGsokFbS+CdeZ3Zbe+++DAsSbeL/SaMm
3Vf4gknc2lPl1nxptMm7dnyvnbpOXNavq8MtH6r5eZR1dSKtQarSamj52ftT91Dhpkf8ZXBTvkdD
iwSY1ncClGPveVQ/RQFPzpSx1yFi0OPurYr7S5xEN7qqv+3qY1ux+7bMRTxX8C7ZjUEi5D4N7/j3
1RdeIbYEvkBv6swbk2IIvNwP8EMfhmEqAri6a1o9MZ0+2mrvLfTdq7d9rfs0X1L9TqmBFA2Tv6Ib
66yP7Gn0NpItLD4mONmz1Ute6mZ6l/JvNQ9fkv9wY/s9howLHeObt23vti9JlfaZ5OA08PDfApY+
1SltcIY3IpMYMkNyTxZyGoU++/0M9GFM1qwZ1Fn6LhOh/Emcek+RgmPC+Rmd+AlxwFTIcrN+qz+m
CbI4fid1tP+RPixbhj/tSz8p6tH/IfV69NfmFEfbV6qiYxNqUEUkuWEAerG+voxpcAxke5nM+rx+
TkOncHO7LbPjY6CivWtkRof2I0RGnm2BHQqR4D7B76aT/I8m9tE1fiZTEBNLcoRS3kpbpTu69cHZ
S2uS88qN18HvxWM6wmPybkiqgm+kvFekEPRPtdU/mwEHktbQRotm5tpapnOm1pv0amADetvbliPz
BOPzvAjv2gas/lwwF+dVxaPC1xRTch+PDzWJyIWsruxJ1OO3pNthHp4e4FCYdIth4Cbu3Ln2uEr9
XTe1/iM89mjdB5u0X7p6G4pZgndQdjDHlfTFHFH5rCipkPoFU9EGDYOnqtorl7Y/8JR8+227lSNv
6tvEl0sMb+kSEHLpWDy9EJw8GaFS5EbJqahXHZZuGDHmpVsWeI1XNLPxS8agdCKefPFAeTkn0WmN
EL03lAsMg/AYVmbzpJ1FvoKd2OFzs5NYEPp4TbDXfNyZEQZkQ9XBACLYkwrB+zas6hSJpcv4kjw4
S/l+jqzLO+zeQk/tPkCMyuGMFGOUuEM76JsnU4XQESpUbdNuqoL15JtPL/D/G0XHCr8z9XlYNJwg
WRUUxuHTUtM/3F7jeR5PqgF9ERg8rlSJYxdP+Fg4v4swZlW2+NUOy9W/ytRWJeH6pGORexgpvjQp
ItF3Wbyk037htYAL7CD1OgQ+tLPRrgoxmeoWuVuHkyuPYnY1Ude8sFCf2rWtD1HX5rxe5XukfmDT
2gzxKJAaF2PLqRkB0O+UYvm77Ag/cNb4iFLYQ1LjGKn5AF8Bc/ISZ1Ul14+gWsEIbYk4Nz6ddl5w
SX9Jl9VJ9yiV/4y7BgBN73n7OgErEHVjfLSxjYvZxRTb1u6X1JDTHGOYrCL6COTCnJeNjju9yoPu
YdWnxJFSYJA7Bk5p2GoDQ/5ncNiPpCuCjdWIotLqBk6BXNdsQo0iF1PqPoIeSoqSxNwgJvrjGmAW
ZD2H6wmp0qbRdglEgjR5C+M/SYVwVmhV5SN2VsMG/3M1sMHnxf1b6u1ulubUIH24zKkRL1OyCKjM
uNlHElFRPatCiw0YiZTFYpnMNY++Z4v/fxx/xZoE//D7i4tWxI3tXW7JayraJwg/eB/JdrBA5XLE
V6+WiS3b2vZE5qTYZggyyGVWt6poNZ9zwdMg61z8EHE3ZMEAHVKtEEqNhvUAM26ZvfUDbgLmDXzB
NI4taJ90ft40u4SsL2r4nB/RLymx0Z8Wg2scjAAwyGe1htEfG4XIBMOjxya3i1LxDxdsOINCGHX8
M1SszesFAgW5b0qjp1qkQIeW4W8/TbBsdIp9b/tsSRR8g+Z5iCVMNXesgNvs3BiSA6tslSdivONG
m66rWjALA6k6ImC9LogZT3Q2752iDoYVgMI4US+KinanEzAklHo1ToV/PNRHr4947gQkd2CWx8ZL
ggfhyXPQAo+YpVnLYd3CfRNc6JL88xCljt5S49ZCLt8l4u4DvEJ4CQapHmZcb903X+P76tdLtsEu
u6ztiXlbkfQ1uyRiuS9qOpOoeg+Wtcu7XhywYpJM4N7KcF0hrWX0bpP0RCExkYxUmaXTUKh263Oz
8bDoTHrTMj6TbltzQZAh4kJoM0cQQ4FXiwMExSvr+G/sa3Iv7h7YTBGS1DGCh+2ES2CoMyH+9cLs
VcgQwggsIWQmPgKcnMicieZ7avsqo84bCqe8tSDTQIHveBiVonbNvDmSe9/XeQLLGINKE+wSD4ND
XQ254pjYZ7U8+FOlcLuOcqcs9pAalq+V7lat3oQKQDCycNf6dMs3OO644lOaj2OIkydCOsXapmjx
sfOW9XfXJv/pevlj1sxa4/ZIr9O9szhfsPwgATZAFCNZPjWpt7LiK+bnAEE77wFw1bi3vGDAUTTq
e9pZaPKYIw1x9CcUcAQBMkIfjh4oJ2gs2we3Xr4voruM5Lxq/azs5iAdYT3UGAm72dsp1z56J7Z1
ZTVjJiZYQRn1yFfsD2+h+moH7Neoq3dj2Fb5oKc8Di1Cq+W9ZoufsxoIha+inRh5ERj+Qa4WrGSl
Rjxi0j/b0EdKM4RgLc14tBt5Zj5/BxlnC6Z+5qZfMjNOU4ns7j6CZMxIP7alZLhZJMel1sTPyq8/
TJ02eboHQINUSo0/xqqfKh55voLpMFs4FARA535e6R87MZelwaxKH0ZQt0E092Go9u3m70iLLGY0
I6zp6BOB3E+IYCKra2QMPI6/edwhKfNvrVtOM6M9ZlTP5CuSZlgWGBicex5rOC/LsOUIW76dgLeh
xQSNj0yujxDgehxKSytLysBPz1NN/vNc+j5h3nVTMmYpB1y5zM1Ty+j74MMLnAegGNslFf5z7JII
pmTq9lp4b8FWv7A2M2GAvzm2AHkj/mUVds28bMeoeWmG9R14bbDDeiuaysBSdCMO4IUUPmAMCSf6
sI4QirOLwlxG0TtS3hr+8AM+aOHxFBLXkX3K1X8bT5oyybao2UpgbLjkox4s8zq9dWG/a8y8nNNl
K2uJJG4L9l1l6MWI6cOC192Yu2F7DJkoN76CqwMViDBG77vYvE0CSzk4Txtx33iWrx6T5jZP7LuD
p3qU9QDRatIcuXNYLMC6C8Q9RcMpUiUDHdPGNxjTmM71kj5MQHAbxOFBN2z3vkIqmXQZCJjquDlu
dphSL1PVXrs2YvkS9diR693zk7XgfUbGcb0k3vzURM2UjzUr+2Xjj7HtEBeNL4gyfmDEh5mFHXAB
zcv0aDPlSJc3g9G7ZDVlw8EINZW8ziz5WcWUW5HePbshrlTto4MkBnc9gANLguZElvYzjimceghk
Q0Q+NS1iL/fLeIaPjXWvli9ZFQQvYTLUxQz73y21K7DlyS/HcAolK0OvZdli2mXXqOA/C5qn5RG/
r64qGjWqLODzvfajx9Z0ALuANTS13Tu14IaU+tarkMJrak8TnRQ2WVMDISXYUSyvID4vXTHW449Q
GKYaHuhSgNaD4hCHbl7yxtXuJCTGcynv4L6+VrY80O6cIHjLA3gOWWA6sAa867IVRwvynZI24Bhj
kBjZIq787xIOfyc91Q+REH9jo87g8ZZsos1HMiYvdsTJ723Ng5Z2O3PYaVIR+JY1MOn+0ISE7ZHP
PBGH9I2t8sIXNmcQnRs0PkAkxnMggmEW+ekA2RkWCWaXkYGPpEPSHPvRva3V9C3qRy8lL1vAXcYq
nFTbL6XN2ksLG3Pm3n91Ov9v5qmzCZdj1IllN3M9FNhJ/wQoQhjlD3xbPATl/sF68lNHI0KMeN1R
GLXL1jwONpYZOM1dTWuNH40FIgujvmzCP5VZ93YGsTNFGlbWVA+ZsUifl9m/+EF19OP+XXA6YkWH
CoKiK1yVShCe62lZ0velKR3ufVQomNur9RQ6jidHw6JtRFQY0bxRGbWIXK9OpmGeqA2byU5luFVT
ZhAvJn0T7zY97WoEMHmfdqdpIkGOP62hTj+B7EyALYpkpQ+edjzbzPCQsqIbo0fKcfrha1yVBuq5
xA6TgzEvzQxMYFTBSzu+ppMpkrTKUsP/hE26nro2jAs+AQLn3dg/VLZ+hM6l2ejW8I1OSO8Q2I9q
lHuwXCAW/N4/jVo9ybDargkz5dxN01c/+6B+ohFwJI6anUzGbddp5Kv9ECDMpirIbJfO+4T28TlO
trWA7EA6/8u1xBF816YaKVwQMX8iJz30LjwMcSRO3KyY00WHG3VsEH77w5LPwxAAl8OVS4PopHsG
UFebYeeHvT3Tif6ZWN/mSbqS53D89P0ac32KMyEdfdwaXKgd8hSwv0rco36IDxFx+ynkOO96F5xn
uYpztfBLaE8tld51GJqTBAhRUAUcE6QRLTDWVWhYDPwCN+oTiI97WWoMjIwMU+kPVO6CqDcoF2h9
W6rgiFYRJqxOGRhXItnZpUOzZx3ri4lxsciupYXvQ6ZsHv0YTVNd5LQ+TxVxQBvU8uRqaNQkWcsx
xX/xlkUXMJgY3wPR7DYEiXv4HNNBRCN5xrgARd7/NBaegsOAPEl14Dwmd2uBipNZiVx7/YUwfzji
AYlrpwYsWp+fXDc/hbPQB/SIXiIBZ4InE+ioDjgBOgTyPDB1TVKLEQz9jsyDoblTpEnL6r1Jno3w
y18awiK0xqU5FynbsBVmkgkc3ruof+63PoWHB/Xt4GRzcMg95ow0XN/YGAJnKyBhb3HVfYQrpjNn
zE8SAuLxf9pKnMYZpYA1xmYRuG/3Ku2v4IbAKNMw93yUK6ZWnCU5YXki+JCYMVZg/pmZ53fMn3ni
KShKPV4bj/9EYXJZkxUDKccFGK8t0L6Avk70EgNwiifoNNak4GCs/z3hksrQ0LhJsKhoQ2RTEhNE
Bx+LA1wkBxQ9JnKKJlcjzJnPTVJzkF/NllXtXDLbfw45Zh84RqVhKPxUf+pVnFSl35PGMLByuCDJ
UCT/8Sm5hkN1bI0rVoLCBXFf0Zzu1KD++Qo2hBpDZKCy2c8bJXnPOomPw2VJILGT2gHeboBw1k16
NBzrtGmRDhgSIWWdvNoWaedwe2KUzldvcWc2ziaf2knBMJz+rR1ThVw4xcRiu7I0nEbXmWh/b0X7
F0FXWEXHNOhg4KThKWXzkrm5hn0pRVJOSXUdZYX6WEiLuFuC6+LTZIfdtpV6Y+WkJXmpXzAdJYdJ
As+TSBqL0PNfAjUjcCU18BLCT/A2RdGMyi+CJAADp9icV8R7aWzPLxFhgPsczjlZN9GBNRAuHEM+
S3z11iwu3EVr8qZ99jf6ZS0ME+Mx3mg5jqh51COAC0P/xkpFH4w4hRgf1LPikBhdGn8kxmtPQaxt
MTctIFRgQOsa//WpLwpr1H9DIuxjkzT/BF/4Plk4oEm/sWd2nLSWd3g8+8ak5OoJTpDQGACose2L
dCBvcvtVBme69vWt96b+Zr3JuwKyRjlGXxOK1MlXZ3i59VVHfMS2lNhBtSmXKDq5JlUHRcMnfLuY
ykY4/kNsL5IQk0fT8h7C5py85r4y/9U2IawljyNBbHCSAK44smEttvYWJ/Gh6/nr0j9MW7WrlcWo
NrUqQ5nQ+GhgiBhEWqJtHgmkg2qqXnkFwS0gB/Pml2Fl7YlCzvE+wZJao0eCSAVJCXY2i8/gMHO2
SYTCSr5wi0KLtukbB9BmBvIfFFW3C7z02QD4z1cYTLjI5ZkM41KuqbjaxbBDrzCYzm5p7rFMDwgd
nxznn43WArYCSLoN3RThodY0zPB5av3DyYImQIzQRqPphCQFjQ/ks7R3+MvFddERrHjwgYdYD7eg
A4eO5sa5vZOk6mF8o/7RRqLsVg91MOnqgpGCxhhHw7T6wyKWFFWq+xxCLIFPloc+WhFk6Lyd1sk5
8JEwDyAEAICi+uDnemF63/PhzasSNPB6Wx16mD+/Ejc33r+tMvjRoX2HAwP4im7NMZED0K6l6Gg/
4/r+/WVB/jwJfBy0BHOKuQlYNqbESYL1iZYOl0qd5Namav/b1ivNCiaVpf3XZFWNeRGwEk86kykz
vgo3DUjR2D5ugPiDjeS7xbYflkBt9BrfJcyIz9gD4aBcmhkX77zUP6tqKLYxfgm2AUWjljxuEWSU
QUPBIcapbw4zQWaoiPYzb7/l9hf1liG3GrrQzgK4XAvvgh1NF4qsbeg/Mo9XFOtaJF0d8hPLnzzL
k4Mm+rSs4CrlboG3D5cvNVhkA0dxJ7jHtAMEWKkS5xhk6kpwMM8O/CrfHhY0TDLMdMOugemZInPc
61l9RAQrDvLsH1vZJ6UWcqLhryCiAEyhd+hvHuBhATi/cer0+w/yFdSgIsSZIxLDwQKI5deEbzyr
PEwPMz4Dcgtvt9a3VaA7i9PSFEAD/YxGyUWOaXMcNw1sh9Bctmt/gVjGOBn/spY0fsIE8tUm+P95
ZwsoSHjqUCuDAd8V6rZISJXsBKjX1kYOLP+zP/cnVGLOZAu+Zurd5l8fMjkFtQQMvoaHOej8bGrm
O8GYCufwgU30gF2VbxHdEVxfBhfg5A0I3CmAAiRotBzApfjUna2Jj2Pwp1oC6DCKSMX3HCyINjg0
9Ym5/r+NVfV1rfz6CoMCNyvKEbmSj+H0axhuw45WK8J6aLkinNHf7DcgqcbnEgGMP2Nu2n5NNLad
TYNlVemj79MaVym0SAejeY7ezJqWSH53KkraDCrusFHgzT0gX8B7v5I6eALPGWb+hLsihjKUcs8o
9wGxyU/ANE/pMGMAa+cc+UWfe3MQlhHor2xMSmJGl9f+1hUyOYKhgOOf3FHQzkev6UtvmgA5Jmxv
eoFBvH8WnvkbawR+w3gP+dhBJ2vwYsOnXFObwfAAttnDlnDzDrg4vQ6V9nKldVCsqoYKaq0tkin4
Dgf88Ab9HVekOnKx5aOFV2sWrJRZKCx3fWlH9RZw+8R8XCnrKDOe+vdkGJ9jWIVB557IAHtSIkMx
GnMdUWB1/fYlXkL079p2LqbOL32r9GEEMQKjbihbvXmZ0eq41FOyB6cvMhMJoP+UmydPwxIeie8O
i0ZwuOn2JLuE71qCr57EHQCPxf8zueRi2+CvgRjeeeFvKY1PL8NYvQkdnFDsO/VjdMFY+GbaIav6
vtRVdJI2eG4QmtdcYSBr/0SQJ2H1LoSajq12UFYtGBQvzVoMMrn0lxeN1qTYxJPo+OcWKxiANXAz
7b2EaVxGdP1b9XMpSXoC3JIWIGgRIXnLiSCKrHgIL9DiLg/cHWjRd9uaUsHxwX6fzv2I6k0Eh7Bz
v13eoMfPsmEn2s2PKZ72Hsk45il/SnMSufiEGPaMElRzmkNb547CNAmSwSuiAbhQrLd6N2tf7r3A
W0vtRScjTPsoB1WuEftclzY+RTF4YBg9uBdUBxG9ACzpt/ViLPhwRmS7I6F36kxkC4LBpFg/NRV3
ZUDNpe6UePquub+vKKLRUHpF1Y7/0G9BJ8Vb88A3eM4DvK5Vj/tOKTiQ8XZkbfu6BLS4DVW4PQ/V
A3pOLaAgr8uDCiTWRmCJnbe5b3ephsPauQU0C+6sTKFX5QYU3obtLI0dck3iXUpJgOlrSNEC915X
iky/Dz7ryXvSXfBWx1gJdbsC+MBpm862cCvirTjJHYm7MrKD2MmBfcgUft8qQRLWooHVP7BdHIOh
RUACt67GETSNRcBEfFRpckKxFm0XfywmKMpc11Bpolne1K/eNsoClcZYzWDAAiOrqivF5tKjmk8N
WLDdLIrEr/VFb0t1CPz4uWLiOLuW5HiL1K4hbCy5d6rEjJFkwebr0DRDBVBfHN4scNqEPSardxm6
Sj2EYD33wuFMT8WJUN7sLciNAg7hVRudlv4GQjppMOhbeEiHIUp/r4IW5cit2s/NAn8glXVpwyFE
4CXMkcYjhMnvyTOgShJiulGMBvuk74b96IeHpjUQlfD3SiCS/7oXhP7+HWbwAzaLdxEIYIkx5Eg8
kHLK0AYJ1fYfTrz6Yrn92kwldsKO625UYVOOngXj11v/FGtgnx0Pjj2IooMdYUSxZLiknn0E1hHF
dAPUGcDj9rg7KL14pezCbSeXQV4MhzdJiYlAy0fu0s3oOv+uC3CCy2n1PRzUcf9jzTaeEsmvJsCr
C2T02+COyBnz05vuJ5Ty2v/SCSVDvZpnb/b/eXir0A5H+zepFjRNYacHqyZ7Cdi4GIA1FRceC3tX
lOUzn/EQ9IXNDK9BUCvs4A0Ubw28GQcbrHs0tkYUOdE8mzgc4FnFfo4G82le427PHTlaMz4Q2E7H
yCWvXK672uuqPRmjOu/oBdy7vdWY2lK8FaGCWpFV5T5MgNSIjW5ARcti0pb+8wShU4BPh18CAZ91
zIOP8LBV0MFWsiiH9EsAR0Y3iYO39OfpPYqWb1+YZ6h//zD2zyroShgf3W4BIJsJoANBZ1vwKKhy
zUE158DC83aoLj5bXkHVmAd8zaeG5jHUjQQvNpsegKzkYNBWp48K8xr2E/hAC18iJRpAiw9xuEIu
efU9YeFr5JBCsHDN14X1+dfmj39D4t7DVDxUUg+HaInALYThF+wJ8OlaiadfIkTQ7Yvg2zzrykeM
C66lhPd7iJ0Hn0XIF9bhe53X5I8DxYNVHjwmKQh5q+/0t9wOmFCWdaQ0RuPqr0vx5NnwD+HDWGp+
mx2IrLTdlkI5kO+IN29Q7iD/Ngz1Cw+XoxJNlMXRG7KFzyWsv2qwZCDXddb4SAvD1vSnjQSfLFlD
rDaEvn0t4yx2c7+P7PbEalvfPLebTASLnbs058GkSqnxOSSu1B0n+Hs3Lz63HHgcIbwgi0SQGfu/
1S+DHyTuboowAQCiWmvIJ4tQZIb/lqP4HL/iqltyurUgmYg69ygPHJv610tQONxqttEzOqR4P8DA
73TFyzJwXt1WGO+7VoPUYZu+ctUkh0b1oHUS/xN1Jf1Qt15JmpV+c2T3TE/3MWmPXdJv12GJPJQn
e6RGdX1Yo/ln0M+br2BH+GVSgbyMov+sUwOkVfIPVWlaBNH85s/to27MR68vqwGEeCfWx4YAQbSq
cg6kf66i9Jux5FNvfQxMCSsR+brAUQ1Vh5COors/3fRaTuqXzEjoGV3nzzV4rCSLb30b2iyY4hzv
uPiOgaUhg4swr3Sv3XyZIwFiHC88mCr0jr2ePtEqrIt2wz3T1Ahro74PDgMG6diS6ivcRGFwDOKS
+XVjIvWMLsF5Y9NtnHH664DqQiM62dtkAnqmnMn7MfjX+EhnJoY2Zre45LoicxcNLIAFyAOSQUCo
SRjdSTN26Jwv0+vQscdpmLrTHDFxFcgUMI7Xz204mwxwsXcAmj7+ZuoTorRtK+TMw1NEu6ZAWrvu
ZB399k22/8KY0PNk+5/B2eCRA7rch5gdcw/3koQkt82WgPhrv5agRvWKJCLzDcpFEI+7BFWprJXN
oZb0jP7AY7NgAGuUacst+Ni65UgpCtouUjEep3xMFrabQrDv0aiWcvCjA41ZchybJ6PiuagSMuO1
N9Fer97JX8WQzzX646hB4aO4CpwGLDfGyXeCBnS5DkENQ1j++kDvQRuvV5Tbgh7FDgybWznkAHvu
jRzw7qEW42tQgaZs1T5KgcVu8cSyuSK5xasFoJjjRxmhU0HC+DrCcYklinO4GbJEhMM5qvsHQdV0
WW3bPAd6/ZjRG7ZDgHfNFKbmeDNNHU+/QFRb1IAGVmQ+GaeTf3Qk+WPX7k5iQK5r/RYuaIs2a7m1
1VM7G7xMpIp3PQvIngbmwRP9T4pZbAeDbwvouasHH6+TCPWht9N760d4p8ZML6EHYAgaICjxehyT
29E8EX+Zj+PDKrm7xaanN26Jv4/R/toWeoBbiSxjRdtoaTj5rXfk9arsIwjvLsMqKeu+qtEqSvVZ
0O51DtRLw01313YoOz4tj10fQsM48ZdRhr0DAG+/0ZSCNIRjlQqMQQOavLeFoPgLzBioDNn2C1n5
vUVxPiRIlaKuQlmNz/IyyGArlE+g40TQHLyGAzrq+tv//zJF/HHFeLSP9Tzux9hrL8L6JpcggM4t
DrRlZs0lVGkpqqb6jLEXaxo/M0bEU9V585k6EZVIcPGqp/bAg448oAamHj0n0bPCfM8fgFAkb7hw
4TUu+GCYn9dbx377ZSYdy9YaXLsYoU8i8P7BoPPRdjXdkcv+7qlhOy0BsudU87sJgvpbTGiq1Mtj
pNFkN0v4N40vrcRrcDpG1LH65Lr5qufhiGFWXaMYDB9j9NxsK9r0Q/BvQDV6N0cg6fD8kjs6WkFF
Hv5X3gYPPpdh5d3JlPonin2QM0y+O+LpNe9SFZ+Dxbd4mkOIy3h2pdygAuuh+lpa19/41j+mXgpv
A+8BRfCJOqhmZJfQZNoJ37On1CIORFbR7KAKcFL+H2dnttw2drXtK0IK2JhP/gNOICVqoCzZsk5Q
HmTM84yr/x50Oh0ZMcj6WZXqxE4XQGxg7WGt931WWuk48MJ8J8NUwSIerXs3Vu5Czvkr002tnTJk
CquKbN7bXu3gYHeq3nBM1oWfPubNckz2lRHnqNnd6tYdsMgjHb6n1FHvtdDEBNckxTYizbHOUrQF
uT+6eGD76oDAjokP3zyu/qkAaBnmQWCdkJVUOHUp3Ce356zcSa7xc1SfkfhvKmaLW9kIG0dtKNq1
rUfmy5KqXRyK71lqeq+Z7uFtT1z5IdTGN0+qzJ0Rt+7NoDGpEK67yI0QMkwnQVtWN5qH0lsoFMop
sH7R7Py2SOPmhn13cRjjyc9CfsTJgzsRSsZp7JJDq0NGsCp3N0TM9ML3917P+bpr9buC6fpuSnJt
2ijjNMyh22krob7ImZXgK+SPnEugUIxxs3flwd74qqhO67jI4k0RoTGM9HR4VFgptm1qrauhM44F
BxofalQWtlCyUvx2flHtZYqdL2Ffv8vD0RgRHLdibG7zocUtlYxHX+jqXmNmgLLRbJCQrGt/eEdp
rN4apvFeKU9pF2ePvOmbNkIrRZY52qPWL3eRLsBgEXRMKeJOTV0KlsVPEujFeqwC+Zh74SZvW3Vj
9mm9NpsgdhK23tjKZCzMKJwpqSW7ZrDjnW5NRqFUPsmBT1qPjDaEjcARiGX8Qrptqvqhz+3ACTqs
FWMXuI+Nku1iA1m6b+KMG+tVBlyrQMf9qaniU6swgcRFa95UgXQfR+qpanzi0ajTfSqPr17DbIkJ
AmpTsmn1ONxKXkKYpfd/DSRzCtk/0+NAh2Cs9FvvLgj9g6k3/W1O3kJJZdhcVsxMNVjujajG57Kv
d7VN/jbU9WGf1NU3z+8+B7VUPOUk9dehsrfSUj1ZFKL3flXBQUBBNFLgfck6CFAW0UJiRC8PCtbH
A1WDZp2UpbiRzJS9pdKYN0j+flqkcYLOFY8UbllFOjnaoeHNt3kQaJx5qr2raMU+69CexEFdrLtI
AzoRWQ5uRs0RmqXckgUo3VH/1JZ1+jAUyinIbxPSAV+pFdl7FakV1fnBxXWk7oJoEjDr/gZWzI+8
6LbMKtqbbARrUy+1gz2M4c43cDmWybiCiqA/SSaC+c7gXJcb7DpJmaWizJHpsssysnrrupgRULOt
AAK85KjltkoHMMcIHtzM/wIGrF+NQ6JuIRIdXZl3VsJitnTUXn4l6m1seQ2kNkfLM+u27IL6mCOY
QGSHYhI5frAvk3gTpXaxDeP0xUoqvP61CUSsx61RWetEVhrswog9RBH1pxz3+mZEa75WivpXYhbx
Wy8Xt7mxZa3vj4N6g3m62pEI9jZJYIdreF/m5GTyb0av+6wLFz1FVYM1qnCNGKGpHdNBig9oZT6X
lWa+GhYlGq0o2cVMfzTF5w4C1pcgqMRtVxoT2emHH8X9UQ2q9ShYRyOoVL7nbSXqQocRbIMcIfb4
lHI6QWFo1TiF2xOy1IMHd3AVKtkXWzb8jVoqT0hdXiqBA0sX6ddIHl88KybtIw33sWptdOXBq+QH
D5KLKxvViixlDDgn/pk2CfthPW5Ii6SfUbTelRYuJlkdNu0gNw6l1bWRD/XW9KJtD+oHA0yNuLVU
j9m4L0394GOe35ot8Bs7YKdzSAaTmVUhm1CNSb4rs8wHVHLnWzCO6rD9pVbNIW27k+W6Xxur1Mkb
i5c07N5USde2KSnCxJtEAeI1ivSjR1J8pVZBuiOPb2m42VnFPWANVMw7BHslH1zWnnCE/ORfalEe
sulWUSqvSMXwq6UwOBjSdyvVSPniboCU5XE0RNhCtqjSNBB2dRtv9DLHJUV60Y/M58xoJMBS+rMW
jPFWK+6SYuIggAdDSPXgd8B+BlnGLRQi+MBxKQ6jADODKTfeKHV225pkKaxccdhw41fs5eRQdGRf
6zCrbhJZJfcG9afS0PwMzX2a5PBtCjTxA3CM0miPPWsJpKDaB8fkjjdVqB5NgncvuaG0abkf2yO9
2ZStot632VF2/ZMehOMXGeqO2eJbl4Ks3uTog4u211bJyJ67JFKcMHn2x9TcFJbqfxPevq46XFal
ELvGND63YSTf9U1zynlxpID6VdMKknAdVmr2m+ODHYf9lkJYfVBYkEg/TwrrVqvuZEXlcD5iYrXN
hg2Zq61MMrkcPVMF4tQ75hvjRi+Mg+clj6ZGwaDCJ2Z1po8C3Rof1Uds9+IYeP1jO071xsDXt0kG
/iMrZeUmGQt/pVd67zRUXddVhiGCZcV4FCiIwOfEq6APm3dvx3TBCby0g4fSqLNNKvrWscuMhDkw
yw5p2NYbAE50Hsq7rkEbldVkjJluFQqCqJPKEn3cMLQ9TDlkGWZdiHVek78ws8Db5wDH1vi7m3XU
jJETlCJc5XKa7voIz6atIIDCo9UVRYeD0F5zkE2ftV76ViSadGOxF4ns0D5WShc8TLUoMUb5k4Jm
VIr5jgvXfkwlysV+bXlPvatv4HLa+6rzTvIQUw5CQt1FqThWjUwFoabaF3R9uA2I1h6wFcUH2X20
29pGKudV+zI2vuKsVvZ8feiRk/qRXdxk8yC7V2NoUxrM/kopTbKbMtpFoy8QBSFp7WvDPim1G2Jx
LJonU6My5RuxRm5KuZUszIlji/2nKmPr2avQrKODjOydWwl2aoV5H/XihTREvSobaIQtjqxQqzAH
yfn30M3lo5Ghtk+zpN/EiSttvDH39m1G/Sk+VeUpqcf8U+9m391ARZrafFerN7+NO0iMuJEUY8vZ
Rn9I8cRKrV8cLBnTltqioxnBp7R5Nt6Q+HzhHJnexC7er1DmMJ+/hqnIv5UJx0gv/2zUofLMBv9r
n3mg7jL9VtQcm8hhgoCCBLvPNJccT1MWBD32pYhkhGHV+q1X4aCQKozX2gTMimNWzK66Ha3qpq4S
8TkpOgqLetee8kT+JUyXRV1W3sayoHzb+5gBC31rJKq6k3Q1cvwUdippaoAX+kDeXfGSQxk+jrq/
N3t8LGGA87QyPsuwZtXS5axsARVLtS95hzGhT0AdKJBNyGHIO58lmOPVUbHdfaeiBwh8f1NGeNQ6
lhdO2jvFqIONhOchJH80uZFfhCAdkKajtOn1NYkFbw2j9M5LS1ZhabL1SPBQIIKtsuhZTbNHrVSU
Q1EazHuevrcCABT10Onb5nas2mEXxSrEwMJ6FMxnMXmqoWy+jo25LQfKEuhR4pXi5q8alMBVtkMb
cqhLtHSo575h8pRXvoKXMgle7V5mApNgahmytWLeoUxaqN6x4/gsd8nGU9DFlSEyRsuscMWFTEkW
2Y/GP0qVhflZC7OtrDyPQmctyr9bCfMXEGpYZ4MxHIZEnAK0zJu8MMRWYy9BomE1on+9z43y0ZQH
/IoCRfqgNzdp4+nsUXzMaebwKc3YWiQi3uoh+6+BAL4ZYg7phV9jlwlrTKMRSU8rhk7BroEDSAxZ
pau3oWYjHFDJPId1cRoivb4vy3VRUlAOEKPL2luUMe8bhf9ojWm7w4NO4Uftkbl1iC2j4Vcba+OO
A9qhNqtur4fBnWU+KUlsQ4iqV1aK/ycbhfbQBcFbU8ChKHDKB0JkN71XIt6sSKQXbX5bS5mykwWJ
2N7T16FnkxscqaiMlpftwkQnM0WJ+SarJ6hsBjljgE5xKIIsYo0T91Im/eIQ2GzxNg1MOag9emGR
ZRE5O4WYLSKlgi3TNQdloWNfKdyWzTk66toEyWUNsfoGL/y5MevhkAX2uI7rHJSKBqGUkoOj5M9F
2iLPrJAZWk3Ybg1c16sKi6SDXuhdNBaGEE4kom3Ke9t3f5nTTBVwsLw1svRTayotZ2mgbnFbipe2
sdyNjGdoxZkR42XT9McwLyisuPBqBo7zWmH7nzCZj2vVw5yc55gkTDY+G1UDYITnwEdU6iFCGFAi
cjRRqSh10aZL2+Am611HiA5ibImEvATXsna10rxR8/EbE3R29Br+YRkRCOCQk1A6cNq23PEWZoy7
zTNVYoHtFQrPMAJIfZiUuklfqnFePcQB2omi9tP9QEHw1BdCOrmyuQkrDXEKuptVKtXKVkMadxsP
WOKUlGKa31vy1s6rLTLQlVFY1qr3tdOoAL71C+a/5NgGPuwDBRO8YtpvoSLIRFfAO/C7wqM0Dm7C
Hjxz21e5gLOsDSRjSW3jMKCKPepGtHWFAey3/xL0wKoER7eVXFjPaZtAbK4POTUVXc0emuIxqpH5
WXL0lAxIZTyXjXQuv8pKdypJb9zrNkmNBpTKKpbjY9SX360MLA67yCH3vxPI7IJEsDUKqAaAYjvw
DtMp1+YHewHABdsu15Wvf7YLuAxaWexGiYOJXvMP3NBIFMhfU8WXkS9Cn3Wrdoer5pBU/iYZyr2q
yreFHP4AWxDdeMo7JyENBQ2fklKqW08T0UoJyaF2EZsYICJrN1IfbfNV9vzvOsxjpmWsBEkQ/FKN
8JcoQ38NoA15mWTcxy3Scji5p854G0rvFlvBNkYUFGVlcHBLBR5quYrN5BhD0sAD597IYfKYAu6h
UtayNUypSw2Tg9rg/VWxvSOFjvuPc1KonqIDhvV3MfYYuUv72Rt1akR1xc4LSF0T/lKk+nUyU4L1
Uann6CeRfUJyReaobF7TOvmOD+27nGU/E59wCYzvXaA8oOqGAsf8xbak9nprI/XSuxah/bzXlKRC
kHnT1vWjbUu46blW0lL8UBM8/IIdklp5vySVQwXVi2lLCZTE+5QBQ8zt+lkGN0j2/ICk+k6ME1WD
q4Y25xC14zDNzvEUCiSBUmXjR/Y+6ZW4C31r2DXs9TcAGk7a+CmVbScMVLEi9c4HG510tFnrvx5R
nn6KF1XbeGBX3vMpDe5zwLFE1etXeaSA6HO8gMb5zMYZA5qnnoqsZ3fmpu9G+HmkIruSs5gyqvYc
wmuLXWmba4x8q6I8dKtXnMn303/b7ZNpMv1r4pY9srvPWsx68YSrVDz9O2tmYzUd0pJB4/Erjale
uZcLvz9YI6p05qxtyWF3j90e4eso/yiqAbPPwNvL5UNrKVN1yt11PZWvCj1Drf2IxubxL8OB+SgF
xmtfxKitu2/4zu6aPuzXgxJ+qlTrM8C/+xELoaA23djZQ5x3b/kw3EUBImNZ0/Z2hoJGF+JYYyey
5PibrWkvA0Jvfazfs7C7NfTEBM6lumvZGst/4+z/bnvwN8/+3+D+H1k+lIHn/93i6J8//r/nLOE/
f3Xi+e9fTh2S/vunu/+0Vjr7bznv2dS4o5r/S9Ov+eda/Ji/f93U+OC3P2znXRgW+iw8vU+dmhb+
z9+aMPz42K3oP81FpgYFigLV/58uTP/TguG3Bhf//Pv/brxgm//SZAVnvqZwsJM145/GC4b1LyGr
mg2QjXMi/5N2J/9pvEBPBtoFaKZlWYrFKkqvpurfjReMf5mGrKm2ZQraJkytHP5/Gi9wnQ/NCSTB
LTSD9gTm700JbBG0RhX3JvpcH2bKOA7DF18Y/b8bNfGCaGfx9+fysa/DdJnsr+4P0yj89/LG75cP
TSka+PzZL0IC826qONQhA8ll9daisLeBnXUgT2ulxgn7YeD/cEe68/zxjtPff+iygNA3sjDRg9Dm
KB0+iFguBpDj033VGFf84fxtlsZt+vsPt4FVZISdlxpbf8hbLDPBaLEBH0X2dv76SwM3NZP4cH3T
LuQ8tAc4EEqu3Rm2ZFpPNSfv4ThYNdJVyRzRdye0PXg6f8OlB5p1p8hRErfmdEPaaZj9TQaBGE4o
SdZge/4G0yv/06fAR/7xiaxgpKbTqPqWLGsWvriBr0JHku2IY3HJEWMwVoAegB6dv50iL9xv+vsP
IwjIAQ5ChQK7QbpEmklYjorrAP+LHUtfkef1IdT1rqcHxWBKR8rllhqvscKJ5Hj+Jyw8sUzAf/wF
sUdBNNY5THWW0Ndqmf3yMcEVMqkpemDcnb/JwnuTaRHz8SaQKYzOInu3hUNmvnplaW4HVY7p/vXP
NPaHaFp6hNn0EFsTjlKF9BupQfAu00bvWJH2XMmUy/Ft1umwO3+jpdclT7/gw+vKpE7PC1/XyduD
cnZ747PQa3Pt4TBajzZVBrQ03iY2yKYgPHmJEBCfv/PSAM4mjDJGzpYLDvHQFwGbspcjNZzrtupd
eYPpxh+eTPSewhkJBo6BlBOiRRQlyHNxMLhX3mA2VwgM4GlW5RIW2cE0Hms6bkifTEmTvQtz6sJk
JM/mhsqSG7nrdQLIdJExBEgFSfD62DySsACVSR5k74ewiK57I7OZws6iKXOIDC2TrDHZdaWCeKAP
kqx1zt9gYY2QZ1ODqmWu1eWS6dR1I+p9yikT8AUuamocFOn6C8Hz59vQMev3F1/AiXDVPrEcKhrj
c1QO/kOBRP0RT53/cM2T6PYs+ruotxDG6LaDjDPYakrhR7c2qCbrCZVc1F/1Quga+fuD+BBtI8vM
abMSa8NBSgDf295UNz3/EH+OQN2eh74Ly5oRQltvgvIiRdlrX9Ef5RcWnqXXMP39h/hrWjMzLdhj
Tgup+bmPcBuysrIlD7CDXTlCsxhvAjUdaLdiOVrVRgHnFnSYKxCDnKfPj9HSQ6i/PwQcN+A8/fQK
ilK1d4XfhDJ54rypbyL6wRRXjtUs0k0xqJUiUeJ3h2S8E/ZYUD+11buBkupVW0LU1r8/SWID08CV
QfBxDG02umd0OTVBZOu3agGa8AZUtG2eSNCoxlWbNd2exbs5MGSyrJtOW/KaHF8nrbNJe1BbFyL9
z8ukbs0ivQ+GwqhFaTqK5KnmKhNotKjVNC5JhUQgjg8brQwu3OzPszHZmN8HcPBCT046vjU9aXMT
fmIjdcdYiLblkGoGyn0EPFE+Wkqt9F/Pf33Tc/zv3o0a+u+3jHvPNZGLgWO3ha/ck+0fqx+VGP18
K1HxRnYVihhmpwCXe5RDqlmvCIZU/XT+9gsThDWbIAaXwrMVSS7ufKnZ+FosKEjTLuj81Re2Hro1
myD0tu6DQhS2o8o8zHZE11tvLS+MB8ejsux9ySWtS/Ya7EzAX5zg0jvBgS3ExCh0/UKALz3jbAaZ
wCR51gWak5suKCtjtN/zvu+KCxPU0hc6mz/iUjWUoafZk6YGnUPFLNwi0UyfJCsbHcoOzYVzy9Jj
zCaQBmWyFYae5njyGL6FViE90q7DuzA9LV19NndQMUhpNmDaNELr5HANwIsSSRNg97sytmYzRRVg
2RR9aTkUQXAuayaCr89FrtJhKw2anK4JaBu9H3kyVuLCm1mY2c3Z3KF2acx3hIvZAClJQhZXApKa
yCve24Gp8cLntXSX2aSB/yMq0JyZNDGKo60BkICmcB7d65T8um2bbs4mCQysMl2QetzkDVoxERgt
qTTd3J2P0oVXb87mAEMBYtezQDg4zXGD1JC6ofOL6z4scxq2D3sETlGZpYDTdEjbgzr0lS8pjIML
b3jpp09//+HiioFUGpDrCN5SGk9dmwq4IZ6EK++6oZnFth8CzlJLEDmSS/ZZktVix3lAu3JoZhFN
CUfPgdyOTu3SM1JLWM3oCude+C6XJl9zFtJWKkay+rxXhYK72jV75K53SQJuB95Ub0kOTOEdCm1k
L+bh/HgtLKDmLMhDWSrlzq142Xn4VaYsufKafgC/gObfxU2ztuv4wq0Wwm7K+X189Sn+nXFU6GfV
Sfo7x9uo3dEnK0+dmvYkF4Zw4fMyZqGttmabhiDckUUa5ZNdZ+FW0bLowgljusofln5jFtX1RGTp
RqNzkKHRXrEY36QoOnY5VkdVc1+rDJWR7YYXPraFV2PMolypk9i1YK85la7jzShVQNEjhs28STZu
VlIs6OMLD7Y0bLOQZ8V3IbeqtPLIQoThpS6gRPnIKzbnv7KlVz+Leh3BRiTRcWhrkb24qQ28KkBF
41u8JumF1WrpEWaBT+JWapUmrHdl43XVJ1fxIu+Y4457v+4RZqEfKUFbeNhntz2QVYph47NpTjoA
F9/e+TssPcEs+kG+RpplufShjH0StBX6cqqAzYWrL2x6jFmgq3moCZeOC9s8lb56dIyiLmo/5FV4
U+dI0q56BH0W4lE+lpJUGX8/gkbxjMaggK6vu/o8uHUa4Fo+TcJsJMsrMV29unqA9FlwR3Kbu3HF
1aHqgFDPh0cvN9ANRzg2KNJf+QyzoPY1DHuykMnhaKjf1dSiXbA0Xjn8szCO+iTGu8fFgbUk21ED
r+11oHPOD//CfKTPgrivyXjFQ8RPF1D77fJTXwN5obnwrs21L5UJt+C6G81COYHGl2aqjPo/1EGj
ytgj8C70mA1UdW8EyYVs8dJyq4vfF6SKhkdI3rqGRiMKrX/hi0X2XoqLtRFJe6+Ut36rnZJA3xTo
/a57tFmMyy58mwH/OY0BBvYPIaIPvBJVH3zTIuWTafe78/dZmEv0WbQX9FehnU/TYN6jeZ8RBvEk
gzQvPMXCdK7NwhzTieQF4Bq2mSYZO08ykFnRiO2BuTC+8LEtPMDU7f3jZqFvNJFqJpgoUPoZDXNR
HoGV6H3T3JwfoYWvWZuFO04mO2lybIM6CPsnu9RpipJYvAvc4Su5tPW7ZEBGeP5mS08zi3olcEWZ
9bToQSYS07i8UjYVXRm356++9DpmYd+Ubq56qLmc2lbfcJTf9lUSrFJLujBUS9efnurDnr2vhjAZ
Bqme8N/3zLpfVdc7RTSNPv/zF1YmbRbudhAkppKaNBZhy7PyO6RybeY/tZZ3QzMh9cpvdhbsKa3e
6aMOUqMMMKiUtJMjGfVQG/2X80+xNEizyKaS3eUVe/StKINtWrmfaMUJ2Du5PX/5pclKm0W0FXSe
xBZhcDR3lB0Vzv0aBw+SFiWLt14WBo7pwoXSyjq7Q7rkbTSI7RfGbuENqbN4bz298SOu7MRsD+9B
wqYbaMxiLw2Wie0obg7nH3LpPrOgb4pYyLGbNQ6dVR6iBEO0JnjWHOeAUdi/rrvJLPBdKygmMX/j
dG1OF+tyfEjgFa1MkT/GfnDdSqxOT/ghZOwUTHguJbVjKeG70ejBDROO+Xj+CRY+NXUW7zC1axCo
AbNJ290rlfegju1t3vRP111+Fu4jjIjQ9aPGkct8YjBnW7fL3mKEr9ddfxbvdMztu0Dl+hbcgihF
ExRmN4rQLqwcSx/RLNAzmvt6teohSjVoSyAXk3AJ2mNNo+0KLuCFkJi+lj8cBSeZyscXrCh5jole
SOwW29saCwf8uBeXHlQeoL9GFBf2KEuvehb1YMRwKGSMVdSwoXPHLUSdnUv7svOvYmFdErPA1vJu
QISrSNtsbPdlJ1BuXngLCz9czEI5H1AqZvnkT1RQTVbZPmG7MGrNhelw6YfPgjiI695vGn446j85
p4Rsv183IrPAjW0IcWPEe1Uy65twi/vINvfXXXoaqg9zQlO0UY/Es3ZQDKLeHmrhhA2otvNXX/gg
xSxqLYRWoRzbNbR/QH60kq/jWwvVMiiEk6jEdZ+9mMWuJ2pPyjVZ2jIfo7tVJuDit6KCJeXJBbDc
+MoPcxbEfPVFEcvsCfSRJkpU+4q11tIT5PxY/aXo+kP0iln0wh4wa01Hy0tXaac/+HT1wHK08t5K
+AEP7TYFnLWJT+ULKLRLmbaliJiFsu/5hQZEv8ZnAl5FDt50UKurTHK/n3+ohesrs1juqCMOQ+pW
W8XP9ygjjY0rhU9gGYcL737pBrOQLptGprzKDSAQPALBRyiMSt+wr1sW/kd9p+kDSmu72paJiug+
+h6L+K4y9QuXX5gxlFlgY0oyVRo01Y7dqdq9kenVvtB640L0LSw6yjRmH2Lbx+sWswOXAJoixk+a
5ruJFthOpRclUKsrX8AsxHu7AWpnM4GYQu6CtRyhddromGZjvB7QMK68zSzGwX4CewuJPU/Lv9FQ
60unZ6+yG1/Y7i99RuL3oWqRppeGylDRAYqqyLQkSzHbcbWBrnddKMzCG0sz7Fi750Qh/GM5mm9h
0N1h4X85f/mlT2kWyWFiyprpq4AgCvWuDKVgG2hW4Jy/+MLwzIVyjVeib21aDls6nGGANJZhAWUY
L+jwFn77XCJX6lI6eGpSYezQxVqU6htw5OK6L0eercqDr4Ckwx3uaEN768fqTdZlNFVMLoTwQpDN
ZXEweEMUw5i2os598i06nIXyM2jIYl24xbg9P/5LN5ney4dIzgD12i0sKbpaBypt4/O9ZXm0FEl+
Smm0O3+PSTD9p92jPItkumVXWBe70jGUzEkqxL+6QstSLdF/qp1yLFrX3qSef6A4g1EPaNgmkPNP
mlQD5XflS4eUpU9tFuidpDLj4kJwNF88VDX2ds18rmz18/mnXLr8LNDrjgZRuZFVjiup9B3X6YiS
H+TkUvpuYcMjz4K8dS0awsQazZPqYGuKnpZXbnXy1LJZCSu4q/TywmyyFDKzcA9GUFglFljHxs8R
acN9Yl23S9bmqrhOKkWMbqV0/GTC45emMcF/MSZ3oSBBeM17QFr/+xetR2mfAupjoIYaDgxt9Xzt
i5RHz+cv/+fh0eaCuB4hbGyQe2BGaYHIDcBq0KmqFwb/zx+RNtfD0YFRZy+DSzvWlC9Qs55Q7281
Kb/wjS79+Fm0+7AHQVr6laOLQOu2IsqA0HqUkKMLv//P0wlgoN8HXwN2YDUABJyxl05BAni/yB/7
NHN60JfnX8DSEM3COA70gowAt6jc9q6wvLus6fd1cKmwtnT5WRjH0DKSoh2AEanmDxkjz5p+RPVJ
8WBGXfcAs0gWZgsnL+ADbWiVTmcv5dYrIOKg+b9w8lp6hFkEJ70r1X3l8wiaV65UQzyALH7wS/vn
VQ8wl7zRJbdpNJs3wIR6i1n7NqKJvAUs/fzlF76hucjN7qDehrR1c9Io+Iza/AlI5iej9R7y4lJd
YukWs5WbIn8ps+cuHZlaoB7FHNuBzVnJsQNyef4pFl7CXLhG2rV2jU4qHGx/XwzPOA6U/mns9Xrd
5afbfli3gR0nkZeHLKmM1cSn6laebnnrRquum0etWSjXalhIIQ5pMAf9S9+PJ5ATp0ayX84/wHSZ
/z2TatYsjGW8dEMK1NCxrNiAfxcWRBqA8k/nL69M8fqn68/iOAxtGkaFAz+/yF9GMwEZWtwFUvVd
LaQOqrjxAiOrgQyk6kA56YtExkbBmR5e+XyzKG9D3XATSy2c0S7FWqm0+7ajq8v5p1savFmEN1Jq
ZXqfFQ7kULoYr0y1oFuCZdPV7qobzJVp2pDJNlXzwhnyqs7BLhdFRQ8WrbhUxFl4AnO2Sg9RAysG
WC18NE8GZ9+bEKgb2+zKC0O0EOJzSZqSCFnrbCl3wPD+JHN57A1oD/QrupdLOd+dH6aFIJ8r00yz
x6HdyrmjRuWLHgz6SjZobqdyrr/wGEt3mP7+Q5zXMdrNSk1JbI1j+t6O/XCjjCL6huc6vaTEWLrH
LNL7oDTKrmeoAKKAVTdKCCDiqY+Vq+Q2mjkL9VhkXSKZTe6UqZXvh0qudlDI/Aur3dKXNAv0Vm3V
IY+htYWuDjMncz0AEFZ+qTq/dPlZHKvMsroAWurYqUtrIhPMrAZnNDMunSKXPtRZLFMdjbI0b3PH
MtPQqUhplqX1kqXpN9qiXrmvnIvRzCgRyNRLPiOtplNOdfLr8YttVRdO8QuDNNehee7QQev2Cshk
9luadTTI0LRLpcyli88W6wIAFZ3QkhzXgFS+SYZCK6woaa/7fOays7yu/dBU9cxxZX1NRlfegNox
tufnh6WfPovecpDQXMRc3MrqmoaI+iFKL4rYpkznH1Y4Y7rph6mhCGAj55bInDAcAunFgxhGX/AQ
rr36ZMiNWt5KvmvI68al7dRjZbpmfihsYcAJ0ugJd2gKESkRxHa3Gxx8Pmq36bohLL/1Fv0TNyn5
bhbKqE7DQ9K5Xnnj9RjkHGkMfZ1OCRGVV1sVRvsm11EUfLLdTK9pT1qZFv3vDBqXdb2tgHzQ1Sr9
2pua5j7WmiGF32XPiJqfcWr6ZPKiukjuDVIEgPyD0KSlArCfbtvlZQ+Rr1RsHeBbAkfUHdyi3Cmp
OjR70rCjt+/sNkkxBuSGfOjgmtqHzJzI003f+8qtDAPaJckA/DG98nXOJrKk1xp+uZo5ErXvVUan
G90asvX5b2VhFjZm8xiKyoHtIdTa2JiaO6cPcC9uXDO4bsNozOaxlhJSHwt+uw57pbLjGzOjiadl
b6779bNZTG8R+kAvyh1h2z0NRWwwKn34Ewf7hUVkYXjmWrtS9lQjog5JaiWk4xRTmNpJb0ZYPl/1
APpsQwIK0G5TUyaaZOgU9KaOd9gBg32m1sl1U81ccucbAT1PhFE5JmWew4j5n9NfqT2df4A/J4g0
fVpfPkwHZeK1bUtfS8cCIrNGuBvesuUdt0VfisOgBsWxUeSr6rSaPpvXijSoMQXZDBaubVqGFZ/L
tFBWg9tceJiltz2b2+hxCUzBymkvUBe6t7EHPaNddAjXUg+iK/c9+iyclRQgl6TyzRpeovdbeg7n
73nj9z9NiUe6EBjTL/7DLD1X3dVAxFzJr3ktWvwL7TS9iKvrnD2aPovpvOnKthjMjJNyZjynedK8
RrQM/ploQ/d1yNTs13Wf1iy4afM0qnSsYWoq7NFaqV5gUj2UDHEsopH2u3SR1gdIc13/7fwNFwZt
rrjr8jRW5N5ju2Jlb03WdE4QBFeu+HOtXU4vmnD0WJTVoS7XdqMYrPsg5q/76bPdSidjxtcDMl4p
DW1ufHpa0iSokj9fd/VZkFdh6kUuvXscPf0LIqvKbxxyhwthvTTss7A2+6QYk4qtaOQCV2pSK6Se
Xl+SIE6/8Q+RoE13/TBBCTVu7GBa4KzEutHi/J5N3JsaDJ+bmq6s143PPKRLpW96DscOJB713cdQ
8E5zR1ja111+tkbrQk1DnxYejm6YrXSI7FRZy+7/cXZuzXHiXBf+RVQhJE63QNMH2+1TYju5UcVJ
LAkEiKOAX/+tfq9m+pt2V/luKuWBBqStra2112Otf0XncUH2BsP8f78jNENzHugIhtHdOJQPql7A
6+Uh7A4z2zcOHBqroxOFk5cHA9aTQxQs3XKQju83XxwDZ3O9CylyxwJZpV3gUJvCohs1RJhLGZ1/
6R2eq+sCl67YjCBocXpy/QO0OUKRZIbJXfa1G5yt5Ks7dmjF9uotpQQWkLMtLEOJB/asVwbZhcWJ
nk1xIC/Bi4Vb1bYX6q0fyp1cx1c0ZPz+2u8/m+OgIy9DPK711nQgk8+CfqwgV1357Rem+LmYTrQr
6fsShJnJZbmGGaHn9VcytAvzm57NbwCJXGHhUAM0PIStMFPYwvX/EayuO0d437/2bs7m9yB1Jwja
6LaxH1GYHkzg1omuvjK9L33Ys+kNMjK23fi2W7U0661wyXyifRffWCS9K6P/0i3OJnhfsLphNam2
yNeOIXikPPC2EqyEr72fs9krYHjNgq7B+ykctqMAS+20MV+sIpzr52wZwJ62pNWWNaCOLWztvjUF
m3bAyoM19/kTXHhB50o6FgNwENRuhSQZGBcAU+GC7j23y/q1EeSdTd7O1EKAWo03xKS9jQbYGmMd
8h6+9uvP5m4MgspkCVb/gko0EcegaKx7ORRsySzMCcOPz29zYRZ7p5f3j6UUhkk8CqhAkA5OGLC5
jiP42jqAi1+JoZe+wv+by6pvp1hVW0+PT7oh2Ti4T4Lwzee/n5yG+3/kAufCOtijDJELa1J0c/dZ
5MQ7Uk8PLQPuEyQYGPrljc/uYGD34TZtgn7iK/e99FhnE7wGS9opoaXcwHKT7GgJfNa0OOYZ/tv1
1yb4udZOK8DKXK/XW1hGmpz0ACWYioLGqEBX/fztXXqKs0luVqdyeVXr7bTq302rbzwHat8F1uJf
uv65tA6G8PUyLvjhSPojoKOsMT9hwdjdrzqGA/HXbnK2SsMaiXM44ujt2oXvvi73jZTPpliuZFIX
Zsi5vI5NLo7S0VKKxugGNqBdS+W3cByuKRlO0eI/xu+5vE55fV1LfvoEtODoPTAtEHzDWwFm3kaX
TgCKZMWujKhT7Pive52GwT8mO9BH47wChQD024nP4qpkrDq07BE4Y8Ho59pm8tIbO5vyMciRAFch
5Sd2ICeGFLSv8Nn12v5Ku8OFYfs/ddA/niOaLDdIn/EcMlgyUlJ23xsw8FYYEXzxq5/N7yVQOGmw
LWzIiZibQ+ES9+h54GlfeYT/6d3/61ucLd8Box7o6iOGFbocKvSTArwNVxJ4P6JRhfgT+IKm6TOc
v7vltuh4hL6qIpLNK/HR/Wa0MGkVMucphCsrjroWKAMBNZCxo99M4xGbW2Nlm45+Mf+mFTuZnRfD
YVFyQsce/EgBApcKVK5KsfWbJGhVeuy4XEFadCGIPRZGOiuYiY7swVSnHdyHPd5MVxLTSx/wLO74
a9B6p7b2jeA4RpuAZri1QVHtLHOL1y9FhXM5oHQKOq3TBE/7wn/puZth/D2WznLl+114gnM5IDaz
S+UEttzStTdA7bJ9uw5vcXtt83QhLJwrAmHHU4m1nwETULX20D+0dMMmXqDFyNaqddZDiJ7taN/H
TvFFtcS5SpC0sR+wyS9Rk3aCDSutzkVb5UGAQ/UBLVJX1oQLQcg9C0ISpT1CO7jct0YoeIU6CEDe
cjDAJQQWiMevff6zGERAWB7Lbiy3gR7VMzTr7D6SYv41F8S5UoS9NATOdhAuj0Phmbbc9DMtA2Di
5yH66BnQfDsFFpF3JRJdel9nkQhaCTFOAdxvhMLpSD76M4HKDQ0DqlojL42mqwdYl2oG58pAIVG3
4Z0ut271waM3yKQ3w0o/TEGBYDb7kkQbaICOQ3etgHbh4OncQ8+ZDUFJoi63a+3sJJEZvHgACnTT
FRzBmVQbT7f5HH1tUNBz1WBIOVBVOgQIQ7ThsI917+dNFEOKEIhJu1cG+H+PC3jr/nuV9XHtQMGl
JZub0cCsXLG0HZv6QSPDzj4f3f+9wgL6/O9bwE2tVWrBEVoY+kMeKCJS5bjXNk6Xrn4aif9YXieF
gikdidwGC3BnnVrAqdLi42s//Wz6u4EhWoean4CjBxegJNYEV178pd99+vd//O6TYykIMLj0ujK0
TCEjJ+3281996ZuezfUFToKqh8tsVirvppPDLm4fuuJLqyGFB/O/fjd0lG6IIcMzU9j2gP7EIp+V
8yR0kX/t15/lGtwP4RlLnTibR5gNRzUos9RxfTDH5d/P73AhdMAJ79/PAAfejvuwwdnWdffXU+0b
+hOPsFR47Gaacye4nycJhM0y/K3MtXH635ERUph/31MEoQAhalRbDap6PjV8PpAW0bGngqQ4iImu
BPr/jlL0XEboLDOOkKpOwemT3nTg2vOJ31pqATQAbSEytxh3a1KPX3PKpOdGecDttmNPmzhDPcqx
eX3qXIHXZLRmn3+sC/PkXFAoIdVtNatjHIQHtwJ01cVvf3zt0meze5EgqlUCiZ0eRnTSjzVCufaf
Pr/4pe9wNr8ndEgAKNzwrDLhC7dh6kxvUf+zQq2C1t7TtABuU10T01x6SWczfoVbVQ/WukL1WrgZ
4IfjB+/q+Jru7kJAic7mfAy5NwtLP84iBjxLMhDZ5iCwfIwTX53k8/d16RHOpv0YANETtjRGz/kK
gtwjAUT78ytf0ETS6Gy6MxAjYdQm5JYsDp1uqrKo6K8wmCESgX6iO8jFh6rXgZU5rH7X2Y0f7dA1
7SZEY+7wS662Y9sBCXr3pbMGeq4ynJ2WwB1mOG3XukHsy6muVF6E2jjp50984V2eqwxrpYYgIjLM
xnh1/AOAFsucw0UdXeqf3+C/E356rjLsBqDDJg5y69jAELPk04Pi1bHk3V/ftfnYXmvhvBA0z4WG
SBl9aigoQqMpJHIs964sRA2wprOrWHileHzpJmdhwIA11/MBN5nAxEmcihy9Ve2XlbzGpL+yal66
x1k0YHKEO8uIZgBQQnLAqh5ATHkLA/8viinvn3+TSx/9LAY0ZRS5LuXDZvJkBYSLA0ebmbn5165+
FgJEtJQucyjMYNCgC5RWJ446pMPL51e/EGDOLfEYSm2UBC34UyfEkwo4NGlDTFIZsWttUJdez1kQ
UJ0lDc6mT/ROWX43wI+IJHDX8ErOdcqX/3+FhJ4rDUE7s+0wTjBa7jBAxx7u9K5/56loVxu2q0X0
KsNrzYMXHuVcdoj2b7rSyO83KiZV7oPdB9zOVX/CC3P73P6OWo+uuhz6TduIjU/8I6OQWsd9+zES
9KsVy5/Pv/ml+5ymyj8SYPCNYRgXgqoE4taTAhC7CuWNNu0965fnU0PQlfB/6T5n09svx8ChLb6M
JeS+wxEyjqGetAWVMax5tqhr4qBLX+X07/94Hmc1VcuBytwI9DJlMfr5UgT5a55rF2ZIcDa7V7Se
cDV1/SY03rvS7BFWFx8NoIOff4xLP/5sestKVk1j2LjxYxkmjseg3V95s/n86hei37kIT5MSmssG
27OGj6PcgKi3wId1rFSVL4Gnu5x1xrtmdX/pe59NdD5RzkiBRwGw4Tfc++9QL3ybPB+QxCnam/la
p8OFhzpX5hnJw2EIcB+nQlGt9e1xNjOgmjLaRZDSfenNncvzygKBJVq9bhOZuQOWfMIC1bVTEg3e
Q1/xK0fYFwbXuUIvhtfDUPl+t5nKEdg+GYHK6YT6VizEfm0Wnsv0gEMOgrWz3YagFpCgQeH3yorb
Ssh7G0zvpAXx9PM3duHzn2v0VlmxtUGlaxPHuk1KxxyqEqhR4Yv7cNAfdTtd2cBf+v5n870Ol3AI
QeDbqHKSiWG+SIrV1AnQt13Sze6VuXNhZp6r9ThjuiNFgNsMLfBsoiQ4BynGK2+LXLr82cQfybLy
sROonEBTHJY47VxoXorGpjAIvrUWXeOlM7/6bN6jnfkYK9bmMEDtEtL6+eDP7hfHx1n6zyluNUI1
vpGAWAc0UrCzM8+iJXcGFoGAAH7/fHhcet6z6IAjCxwMLHGcM8dP4sn53ej62+eXvpACnKv3SuIR
8PXaMG+DsUpZa2tA+3y+43013oBLOr5AMe5ty4rL/PM7XniYc0kf0dA6rnCxy1c+az/tyQnbHBBd
R1cCw6UbnCbZP9Y000cj9iomziMZbZq+BeXwiwklO02rf1waVnbtsICxmk+et10VuLhhn33ttZzC
3D8uDTiM4jJs8VpOll+RQGtS1Y7hlZF6IVie6/lgv4MmkqVh2YxuAb8ub+vOPLhBeGVGXnrlZwu9
60MoRquKZfDnyGffu2e1evz8vZBLI/RssvtwzZIdrRmM0KO/nrb+H3jXj4eR8/ip6ac3aosfo+mO
Qbcu21lO466th/KphFnSZqykm8xL0yREgySpKXukceABglhe80+8EFHPVYC1IW2hxybE0UpdvOlW
41xwJSsUyqQ9MBiKPH/+Hi7d5ywGKKc0LLI8yCvjADHNxqUGkhWdOztRrVbeDch8rhUfPO9/ldH/
2BqcK//CBZDGqWj1RvazreeUaKU9s2l8NFb1Sad9glEKLHXlpbLz4hCg+HJdsItwDePA0sIPAlSN
RptAVrkhoijhx9rynux6rYL2J6UW0kxs8osBAMxOWDDrO6UouYkleFXHqeeWBPsZvg8tdIG+Nfo7
Q3NR860hJ0ry5IGeBL8iF76ktKjc1qQTGdrZ5MtqSCiypZ0skHUsbrDR4KpxkjmMigMt6ZBCD2C+
+yED9VWv3Y+uWdkHcAXo8A7Bsg5v4NBd8aTAVncFyn4mzQF2ZPJgbODeLXU8oBV1UTM2fVVcOf22
9jlTP21EjHOo64KJEdDyTh0gwQq2tmZ6O7qyu/f6BaeJpYL2fo1kCWhFReFY24RLlaO6O4q0mK3I
fWcFwZKpvZbx+ibRCPBaA1wazSLXQb1vos4/TbEY4FhQyOeMc1qlQQFeczS6qQ7Yhnqx2sP4atpG
de/lkKVmpfH/mG65legQSkk431Hb5n6DlgM+2e0y6W3rxW3mTh1JVRSmvVucCNP6SQZe2rV/vP6m
aGybNHOfMpgngwF3A2dYUBHyuJXbvtWHeXmCs01akwLdJDdVgxUXjtSyTNQIQ0vbYOUaYd1d/gTV
fFt6bp+O/Zj0/bvAmlOBSAtZ6X1fzu+z87snxR/gHN6p846mr7u19Y5zZBJT1uli3XzQeFcwDhuh
STI/p+kPdpTB/GS9527pDvBTSjrwXpWHN2a6JFi+97HJ5NrfRtOLFfKId36HppG9P1fvbjz5iA4z
hvGiEl+tD+heaQG6BepwgGBj1o16gs4XDl88aHZzjEbk2Zn6IxkGlkaUN0fpCb6FAJvqJCh1t2fG
p0uGsYkeZgFCsoMiZDcsMV58b7JlbeMjXq2bWKx6eAYczzYN+00Xb9/X83NRjEHSWf9QdfqWLywN
C3qcpM7dJbrz+PSjm8T3Qk5/aeBrWGabDB2DJfpxLZpyHfnqLeLbOPQP/ooh17Y0iXBItqm1fG9W
/xepnVdYQbz3a3ynQ5U2i70Z3TmTjvfd0gDez9WSuq4ED7iVbxEMc9ASnZXecNSqxLiopt+OLXqg
1uMNU23Gx+cqEsgfc2Hg+zT56G1f6M5V/UsZk2eqaMZMByB5Y57oCiPbeL7zvVcShDlYDpu58G9r
L8RBEou/T1bfxa5+EkCSLMV8q8No45sJlI02c6oSBw571DByh5CjlpWBw3Z/7GE/JPsuE9LdN26x
g6HFRo3RzpJ5C7eSGyHrpC3ITSuGezQKiaxRzWaUAvh6kIJL9QPTLVk1vxdieeVun4GjBxz8j3IN
Tzzy3AnCBHq6dMF6jzAoIXmr8d9FHB8VrOXcaEpIfc+aZjeswCSWZgMd58PYO/kYmKPAkFKm3gD6
s7EAVZA+LrJu1PdCdbtR/w2D3x4tX9Amta1VhOYcZI2lf/B4nwYde/WUxI5WAve7N7F69iJv7xrQ
bgS2VYAibD3WFRk6FW896uYleEJJq/BNo87q2976Mhm96B2o2jyamgc6ouPQTPQdVtkoskXvnjHH
9cTSmCdwmOvbJVZ5B0BBUrm1PUWMbwBxPdR23QnuPVczllK5oAkRvalI571YbJgbPmA1gieM9WnS
UN/kwejyXShBEo0D9GqYvgKMQK8YFGM2Ye+czcGkEjHAX250GPuxlrx+BjIuNkk9zCvfjKNXfxsL
nDclkNKED4MXsedinmNw7G09PtdELVkrG3z+stPpoNAkvvA//gKqO1DsQ5Dib8fmeaoW54ER4MYT
1TbQkBYOwbyu3B7d8TIqw61iVL6yCjiR1PPjBtACqcM2CXy8nJfYgnWaoCkBPuKqYGGFjnrDATOn
w/iNTVP9UsUCHreEIaRmK+zUmmSSptoEvat0GjE6DzdWLcsDhzUu3SwceqKD3wT6V4RD8bcoRJWt
6Tp6ZGxw7ry5YSm3GinU1M6izvt57JxNRWKkM/5Kym3l+MMv6kANHi5M/YCNrydSCLabt6aW46nr
n6VyWutbblWULlVV76WHK2berF0g3nU7+lnF4XC6D4plim9NxUn5N3D8fnwiRcWeZxFDh+JpR9Nk
MI751c9y/sW5V79E5eAiTBi2n3FuegdDv2XeGKz6fxdgmEnW9ia+Q0/bW1nFzs0QAgK4GfrWxxSb
nHjMdB+hfxRaLHpgpPFzPox1lxd6iBHLR+9FeVHxY+WywbTRWDCfh75v9kNI1HO3+u5vIWBAAeKT
nOntVMXth6h66m6AhBp/oBNs/quqosu4FWW26pruOydgx1LN3h/qTczgO9JmJ4i7HBW+4s8SsiXY
xg3dcQJH9Dd37cAe1lrH2x4L00PFgvYJnh3181K17Y6NcYc5CDB1nQ5NgBofnzt3x5s52q9SkGRi
VfSqcCnM0rBD3sD69XsP3UVxiLwg3LdFqzJwcX52hPX1ppypCp6auFM/Tog1L3FRF/09ON6Y92Pc
e/uhB8/hfoTT8JzpCQsxANkN5heLayxMC9P3wdz0GwcUs0dpfftWRWT+zno3/NYMpDrgBMDPVV3b
rRmkyuHA7e1iP1yOCJjTr2Byuh4oCltk5TBEOybwm5YF+rUTEDmN48h59Bc0lSxBAUFviLeI+OE4
S4plbvrezaQusqZY/AlHQWFMb1c5VX6qhkZ/zGtbPfhFv8AbfZI3tbXhW0hFlTpSkhQyS5pan9S4
S4sVDDtAGYEWWgLkrv8GEmcziHdRDTLO1rZt1x1VxMicrnWH0AvAODVPcAmZnRTdc+37OE+RSxPk
jtFbF8fsVSvuyrsWsGKB9mKw3d5r+FKrDBBEEqaRK8i0L2fl+Zu5RoLDk3kFWGQ3ozN72QDmPjrJ
Os3mwYf+t0/IHMJePA18OIXlsEnHaassXSGS0EjLPzQGqnUSV6+6FfCdDMdpBEXdoCS518wOY7cx
HtxYKm0hwoolAsSDguVYlZZBiUUsjqq0VnVfdSlAd04/pa1x5AiKOWjhSHhr+qSKwvupKcDscAlK
B9E6HBvOlj+DazVNiU95gNhnw+rbPHuiRgIYCdHuBYdCdw2kjwSGO4psQn8ZnNRFiq1vaE07k42I
gk91J7i6tUXpp/G8zl1eLbNZUiCGXecXEp5xuXMrEXvbOPJDr0jRY1Sz2yi08fh3HEFNfLalgwYM
S/ohPtSeJR2DtAgWyms6eVWsbpQey/CxYYD2NolphrG/tZO33CHGgDLvAdOuN1ZVTnxoR+s7GeiS
1H2yrbRwMsPL/mFQSoyQI3qTC9TaQL8DHFBMqSgBsAfXvSp+ifm0lbOhF8VbVrV1kyh4Zq2JW3v1
q1sitchmycGWrvS8+lnPkDBWLhJ5yDNrFR9jeNYtWc2Nv94VHXhbD1PB5nHDFkCxNxFggTPe+Szm
TVlFS5hJS7tyV3N4/GZLU6u/aEMZi52pSNG+4tss8I4BT3JMqZLumHJM+Cl1WwsjNeH2SLAIFJLQ
0QI8WeKMcwp4jnbfsE/RutzQG+YNkd7VaDwZM+DZVnYE2zF8132N4GOWQjab2gROlUwGTfS5tdPk
H5zeovTlu83AMrhXRsWu75qxzfxWzkGiPIJ36DG5/nTggKaTYl4l3/irN3wIS0kMso4f6N9rI9Ur
JpbfZC2cte+jnhYrys+2r1NYylReMqEJrN6Pwxi6aWRjbVIw/kKZo9e7We7QkdNHKf5Xh/0eSlab
FE0b2Hkb1k3fwcFE6OawKXpfDZs/hoiur50iekjHuIARHz5MVO8AeVrCNFwKBw4Mpbce0fIh8gEt
s31mpiiM8kIaLbP1ZG+QYGyQcRsLZwyypiq5e0PRI+wn6FjD3whAJdTegftSt5ljs7TZOEeAzOCK
tswpcCSQQvaYeOQg2q6gf3x/wMbGx9HqT14pi11BSZ0/RdDSZWuCanJ2TIHWuAMuYX7kKihNprWn
ypOlvucmYeUhvImg4FXmBapl98SW/EiayTlA67X+jjWB5YNFi/QE44c4hcwQ+R0M8SN7EJFlXt4O
hPsJfFTpG+KFqHLuBRr+xTqajk07hL8WpEV1IvExZTYTzv7W4azXo1CmHXcgx3vfOoAioo0iDJgu
O+thOmIJWnlSx00wZwsZmyB1kGbwnewrAVEbGUMvXcQUvq9dGfno1JdtiMb6uC+TCF/R20nqINES
aI2ebguvCMnNREuM2Fmz0uRrRzA5cX7I4iMduNvk9STaORPc8ZoNoZBp5o5Z3AgbIlwbO4gG0uli
RUiHlxpvYc08lR5PcAQSL0c5u12fomGMrZulD4YVq2ml+ye4vk9rWq7uJCDNdL0qp4JykoUQdIVJ
6Djrqyr7mGdYSwco+llEXk6j8gGNSfBaL5zKkAPqacGvU6rpJUjI2ZD0yuXjDiEO4mUp48KkcVQa
SLqZR7wEnUdBmazcJ3xbLp0Jt2EfQyVgLV5c4hfL+N7rqh+ywcL6Mxv6Gr4YPa0gxQ80kq5DWcje
zRiWnzELA9kNt5i6dDiIEU2IEES6gOP5WJXewmiWdcqwocTO1Yv5QzNIVx7qk9lqEnIoJ9O+Zv3H
2o08QB0jNHdRxwmyz7nHkNWBnGFSG+LAKnVDtsDxXdTx+0iHpU4Y9nDVvuSiDjcr5rtOWaHCB1BB
h5dlPjWHO3qsX61j/MdygQ5KOk4xJC2xfojyiXBR+4FRerCvFbIkbH3BakKsiYj4hoqfVhC6lSuk
B1QEq7oLndrpkwVA+o6jPDSEc52Q1ZzigA24Wsuk4PoUpe04Uf8F6MwOZRQww8vyqXDHngAgbU5r
5+i0gzvmPr7N8Mt1Bq+Yk8Gytryxcy+kTmbwp+MdXENQ3J3hxiGOPhZm/RSL0QZ3Fvl3/9hrBM/9
NKw23o4V/Kyz1np8uaXg1z7Aylb03xpjOE5aFpzcU9jKIMv7LRWrgpt1aiL3iLpTx/OaOV57aMXI
dIS9uh5skdiZRux3r4TS94TCKGA/Q5Xa3TU2GBTa7AFWxXYpXpLWdjHZExr3w73ft079y1NzpG8D
TXuUtmpZafnH2K5rbkfIRjTaAxaxvnCHFMOjLitfHtG7WtA93IcCfTd2HkDbm3J0dYBmFofyvytA
QTM2td00vk8ggCvkoBFhxUEWw2J2BsohTyToWJjcTW/gFJNMGBnec40k5EC9irZ7nJJP3p1rFPjd
aUecEike+iVs1lYhnNCAWLF/UZeosOyCRDqYpEKjPMXirTz9u/Sqxj4yEwH9KiKlybOP8xn3w0UD
hLf3HYYiwNBhOr6LCJLuIgnLplTvE3TqDjIo2pazTfs2ZN2eOJO7vsP8Wg57buTg3der7ckWIOX5
IWyGet/jmGW6xR4hkD/p1AT81e18Ory68wIJN+KvM+KlWypWFNTMauBXm8iArJ2btHXtVPdROKzz
HwcITApRDqnRNZrxuFa+TkMrxuBG8dpb3ssuNOIw0AgdKqjw2jpOBL5VmddaieivP4ycfMMWms/5
hFx7enCJEznf3N6L+KGtdNHdxcov1yycpFs/apgxYBMJTSPgMUkfoOckuitWLKU2gS+sXrPGuuvs
p1EfY7FDcHfc/cB7t9I4nXWjoEkipHETyimgCGLTQVEXZTvh26DezVBYsyyQ0imz2o0Mf9eBsSh0
0Nmt2qORrfTiBCyR2UAtGgwIa5BVGXLjE8Wme1K7MJdfjYzib7Px4LgWkVIO3xzaRBh2oetAkKkC
WcDd2KcrqqYI/+uN0U3jzCjt+Z3GWaIoC/yBz/rublAdfstJAVuKuxZIZ/MNmaknTMIKxNADzPaK
ARKN+hQJRIdiaJCCthnQTedyz6QAnozla1FCIFLd1iPvlhiVFgy8F4OJRl+6olsoKnouVm+ahpo2
7itsxBZNMzGEPkJiGEwaLTiua1DVdKaumrbljNnww3c7O+VeWGqSIpXr54PTiKFAOiTG2xj5sh0S
SupqOkTaRqpJq6DCobKFFG/IaETIuHP6ZfVvcP4c+t9dGpvRTUbNyfQEb+RiqFLbw57mljntCb6I
Y/ZgeS0tUm2bVlwXOKamS4maMNJDBmnKgFOw+9YLOL2TVMT2gXjFUkCt5PdSQ+1D4ffWJ1NtSpHH
yH7CLZrMxIAURfdDkftVrYoaaxVRqHRETVX7DaraZWdvJzPHIkFKTdXGLUjr4sGGId6g3W3ESDwV
MYBFCHqz8ed4MDvNtIP6Km0HgSTJwMxDnuqiU4/9XeKJRnmPyq6mv5mGwGUHmE+MKwoFdYssoi7j
Khu4r+gBgkTabVBW6P7wtaLRASlq5R4Bf+qHvFybucA6Ds/iAzerbDPhQdP4THpP0Pel8p0oRRrm
eDujjGK3xlGzA7rI4i17L/ZLFEkUKeL7lo4UpbbBGf0NpVRkpCV0B1ezocxXTAMY3ONsG0fPFTFy
J5Q/tanvuTJAK15fqrvG9YcXCC6wr+QFKh5ZJfs2yBecV/NNJWyD2V6N2FdCcsVs4hRBtT5y4MHJ
BjTvCEcWqGC0m3HhNP6G1tRR78PVlerPsDLUG0qGntyEY4oOP1y0lnh5U/h8eCpDbAK+h4QE67Mk
q09yMWHjvAcKDXIMtGMY8E5qRitk9myAzN6dAxRT4WPhYJXvYjel/bQMLyg6reMRfW2UZLJ2Fc8D
pqfbKprnfk/hfNXvFHopq3sUurr7Ri2i3OjZJ3HeC3i/5VjgnD5jE5xaACZfIzfte6TCMrGNjm0W
dpE7/alHE5QbnAifZCk4RxmwhYv87gOFqLLIkcQMc4JGN1rf8AHBbyfr0JK7pnAi92VunDh8Kf0y
3rNmRJ0URTWxCUMBNcu8UMFuBZYRnpZdrcKsmBsfLXJztxaoD4BytsPhkFMnsC2q6mOnApzMTI0T
IF5344w6ImLGa2BhOv4SWQTHNxhgYvOaNGEk4bOB3VOZmYWi51LGmr1phTV+w+EH9jTCZQT5Rqwn
+wiNedm8uKHyX7BpwR5klgNqmTGn2jvathL8AyygmX+PYjH96hSMNTbjLGy1HXHOdNK/43TlZpjD
AHXpKYjE7f9xdibNcSNpmv4rbXluVDt2oK2rD0AgFkYEd1KkLjBJpLDDsQOOXz9PZNVMpziZ0kyZ
5UUpkbEAcPfvXeORY/axsD2v55gQy/ppcSpwDsuoEuPJmRPVWIFfqNiygzIztfFLkSpP7jO9KWJs
6CKd9xao/vfRVCZrnr4WfRxg3V86KBQUql2Asqa8Gf20O4/87BzMpanQcFBLfjvXDth9SabcfdJV
UC1TPB5qNbjXgnaxO0MfZ/POmA0oAcOePLBQp7OLK7yxawvs4prvvZ+uO0+N/qkSnv3ZYVje2tOi
tlYKaEfuJ7CwkQLVDn4PdaCTTNbaKPUtf+5PMAdkraiuOHs4tLYO/28zOKu3aXqFPXkuaaxcTRRs
dd6Zu7kyfVBKfbmT6AteR8t0UR5oNT+Ifug6Lf0S4HisHutY4arA2/puJUt6ZTRQTk28vsaLmiKq
rOo5cBo/fjdHL/ucLU6x1dx2YCCZ162WZsbJSYFZgpWd91x4vjnADVW2uSUeaTpqljAPdW0QwqVa
i/o7jK5h4vvxFy6n9jmP/SoGpaGDeK5Jl16MFcFM2ujddzutaVi217F+EuNQ3ciyW3bCdRipUmlV
y1YzuilnY0gaI0w8CeNmJVS0InO2VOS7trhCo20fhDFleyMzm13qtCUWR7t6adp13maz30Z5xq8J
cty9GeiwZeaQWct60FTlFSEQsiD5Mymuq74cTr4h831ej0AtJPe10SzNdmNxckkCfVyp4W4qxoGx
67UbuynEWeAfOAF/6pEyLiDZsOoP1lBlEduKd6wMXQfwyk3/La8cBle7VWKr61W8pcvFeXDXLLsp
GocYScNwN5W5FG5gDfN61bn6EmVl6UdU59Xkbya2GQ517eSBaE1ye+UgfJbXSRXkIPimRdtGn++U
rHCkTdw7X/tkwFCYAcf5jGmBT0hiJBMDUDBevHuGZPslzZPM37AklGXoO5Z+a2up5wX61LjfMo1w
OKjnialOlWUZdMXiBcwTNW1P/pRuCsRDD4PfiQn/hCG/aKamzvAH8Wc/X+xDvnrNbUVI3hi1hCZu
inZYN11Oef3iaOJMSVv93UguXJbkOi/NzK7pcXBm7LTN6QDGb6ComoEiYG1NIu6DZkxWIKmG9HbS
iMrxms2bUkfdM5J9rg/uo1UK42hWWY/fukxU6OqTp18KMsEh68JGzlpiTMT5aM+biY6mU5e67mfl
qeYc59BoaVG5V4amdBnEHNJPMSK/SBFYd5WspCSTWAoHW5I5FxYyS86T4eqvQPIMnZ10kzevTPLQ
N4XaDEwdR83T+1uPieUltSTx9hoZDyYmnMws1cbJ9Yu5CbTPCiqi+k8FRYhToOqeo4tlEoGvCTd9
yjVpXjeZV7RBlzrTKXZddUjbeoJbYMu/i01dexDm7PZbL5Ywp8T0t9A55Tzswd4uYKshOcr0sjv3
nMP2Q1XM15Njyrs5tzPQYFhS3SC8Zm6yszUgrh/ZC3a2vthIDrP1qK0r2iVQXsPmLszLjBOwNHMg
/FLf5p6dT0FHV0pYqaY69l43bqd+eUl6dMMCMIZpofEODvbs23VNviRqWpCYpeR3562902a88cXs
TSFihCEa4fN2wrfGsGF/PeVTCe27as8DLxMVTCqCxqivK4fuTxLpUJhhBMZPGFdb3V5pXMWpEnRe
7+xJrYTa1kpKhEWq5K4t3W5bYoK9Hqe5AlTp4yvdXszvS1xr11hjL2fdzpm/qnkQV2OdC+h7T0R+
saa7bpyMSyrLeKu8fLp2XN8A06ksrwyEzOuNYws9YPI0N71bydPiSue5zeC3ceZ0e+Bvf0+IaHfr
1Oty8DU/Y1ZbKw5D/vAgU8phu2SCMVqzVL27pj9uffTpofLqOayZTkN3pPnCNn1c512i7bWpbQLh
+jpbrEgBwZT8rsvxwaOnHhe9LrcpaP1jUiovaBMQ3YCFMIY0B001uuTeYKPdCgM2PVjdVM+uAfBa
WlZELtNzTRiWfcvW3TVbMkxfembiRG2Iw0uHndVVGR96WnMMvkExplZiRpykbOOwAN05L7bI1bpL
HKHGa1FYi/aylJqS2yF3plaHa42X5F66wxKfTdqTmO8x1SbTYWK9H8oNnKASNMFKIKjNWiOwBDhN
LHeuAvzeNeHPrp0Ub17D8fIzAbCTijrb61n5UkNxibwM5UIGNrHr3BEAg0M7DaAnBpklO/MdVEa0
9tSzWkgyYtbgoOvdQT96Czl/T5YJknSlFm3hhN9OtZ3tVVun+Z2jWUn+nfZ0fIjCqTvatgaYqfIb
U1PZm4GuOjlxh2fkl05D2+pjkCYEvTwhtSidXYycZD0Y2PDdY0rWRM7m3/dmcY7d2MsfV6Gs5t1N
x6R6t/xJllmg+zxl32trMitO8TMNLlt/6hxjswyrMGmwMGgqmVvVyBz9wFSUe8fz7W5f53lTEFUI
FJmHMmNRlyHd0P26n5hkqrt0jedlJ30x1+gCjDQ+dknapK9k6nbWtxk5a6MBTpcyvq/7DB1YUNel
ZzGCpbOrXYbtwv1WwQIs456jlBqQGgmSum+EtcChgTSLRe57KgAaULwyHj9rxjIUZ+7Vot2vlAMo
lOsNZKQNuuq/+Y1JDm5VG9zPFb0NSWjadi2eW62v4P+UrkaNUAS5FF/AsFo2A5qNSLNvXZLZ94bV
tsNBZyNvnvylox33qhQWA2dfjk194ApQ5rLRc20xJa4kKds3Auz66mqJOWRmgcas1H4yy7pyT7bU
tfWZ5FC9OxtyGcqIG4PLGqIW5e73fP5Qb6TF6LXJSRiYrxyx5NaT7HRWpqBI7FJ/F/7aZU88iXJ6
wDx2aRVPYsfurgwiOVAfONR4gUp7yndftYmt6zPBwVb1SK6K0tlYO9mPz54Amka/AuYZaS539a0u
SRq+s82sb6qAA36sAAlEPZRnRtpWO0ryqdT1mvilOrlLU7Zk43ljM/SXkZXWH7MUY/JsrHHdR3Us
ipoFftKMWwuCRroBnKfpHonWUc12Nsmi36aSqlnW56ZwxnPr2NIuA865q8bBpIyL7JD3g6O+TRO4
Ludzt1/0R61P5LhPrdlFogzf5qxb+ueTeK+s2gUGhXBf9SeiFv0a3YltFVcyNZcJTngc5iffE2XV
hJrviKQ+VP3MaTErlD9cxZnpmoG52kSGpEwezR30TAMY2npVbMLy2ZATLcBikddG1OMN6+3rchSz
P5+5dIjutn1K2ri1td2sXD5plSJ4JEj1wZTjFjBqAr+Qq6MXn9O0L3N0tFPCs5mrOEluOFf3s0Jo
YjqccawC/M9FIiZ95UR+tyY8qzYICyMnYgrZIHpJm5xsKqCn0bspfR9Q/YCMroEsWM3c7fpNMvmj
UAFkuzfm0exao/dImklVgUp01lg8NxpKpluwlK69y7s89t4Bjf3pwS4y035KdR6Qx0aNhX7vCQZ8
nueUULKvJLTHy4JGs+qBuAjIWDxzI2xn8I5zMy3JqUgLzznp1pq1d6IZyc8s5ZLOUVn2ZQstL0Qs
wqJuxv6oMk/lZ9dAfnIX2828fFJjk+bwv70FxT1WHoxyP5BOUNnCnR7XEnNYeBFw26c0tVbx5ukX
v8oeqL5wIfhj1SHqKDV0Xp4xNvvWzGxra1DMO3/1+9nKoab82Dq2cTEh+mjM3p6nA1KVxGcRdoQd
BwPNTzrQKaR0F3ZNnyxhVzIAA+Ct6MmuEF5Y41lRulUnNzVWk+LU293oPbcd4EtgLZWSUTsOwxyR
UVrXUV0ocUIPIe7zMkUk43cIvzaZri2fK21Ab7TMoO9RPTMxxdqaPJgw7hSEqQqu2M/utYS1BgTW
MGYYnFpnGEQ7WB8vGMnBAi5TZMaOVrGbuc/bYBwwMF6BhJnlURkesM0wtaYEUo2NYeOoGXHhYjQa
gHiZ2DZbBODYbWeQrXPtA/v7t00FPjGFVk9hRHLDAOV21YlkSUdRHdYItYqQgjFHezLmZPnalNxn
TpgO6OyuNXgGtDTrVMoN+qg5DjQ3Y54yLvdpGU7UbJ08ma7MFyWDPUXDuUCC4lC9EAqfz8hoUTtv
U+kn4g6o00q3JYKuT35JEMdNAv0smW/9Zt6g3qjR+nWKoyJdUYYB/xgbSEACiVu4Yam0M531q1xm
97Nvp8X6BG0H9tsrTGCW8ufpMdHN5jPNmfLWT3zeE1ONO1/nq1t7exMfX3aNqtQtwqnm7exWkx19
V+Rua58Kh88TMCL3zn1a65oK4mrtxd5ih4Efy3rmmaSc55dGs+LyXLSx/qkrGTbDJO+1NsiNeDRu
dAar8tR2qVXfSmG6+Y7Uig4pRoVW4Tr2UzMOuz6TzVtBIwlA8kKw1162WYH7um2ZgeCam3LnDont
3GoL4tLQbt0ZZRPckmw20qapJRwquyJahgM8i3BhOw9W44pXKP4qB55pnDgo52IkhU7DBhSMdaJn
m85uYyYMZ1UPlidbGa6uuRZhDOrnBIq7VByUH9ufctci8C21NCBPDWeAtrVZzMltbfXppXZ7EKe0
QWzkBk6v0qII+iq3jd0oFzk/FOR8JgGTJ2H3Fvumtk0xyrt3du2l2o4DKs9rtuTxFK2ZmX1d12Vp
IlDtWAQ24QpiX5dDs35j2crj0LH4xFE3pKAEhPbqRpQUlHKfY9nz/zXVVq+OGvoiim2em1JUSCOQ
HQukkLCRaBXTflxDARfjR2wbi7uhUGP87sTtYJ25agWDR56nb1ap0+GBdjBpw9yxCyOcu0nVIctb
DCBSgfqFDNhdfqV8e3S/L3NrHEcnddlX6gzGBCm2cu68idVw01qzkW486JjpaC/Okmx6CdwUSZVZ
R4sGKKjVQq7sjm1/OXObwpHoYoyi9cKyXquZNwyCf3D10lkCl3mqf2TjMfJN2jmlddN06JDCklMR
fHfFDwgEM735uPZMUmFlVHOyt6Umvnql7F/ZC0x9a5VoNUNCwsciMoekOY4Lut+NHLSlDKFu/BsE
dJUWzPqav4+NK6ugSBvl365IGd+o/2PscZ2e+N5wsCWqWVF5NBGlvkvbgJx6gYwOxEfcmxURBQCz
dovmVu8E5bzlTOLbaTQcJXAmsPxF1hpPl/P6oFubLPP7z+w4eb4FQbYQ1jma8ZYuFDYiCZ17J9+N
A1B8SMCXXx472l0IO5qxNmySZNSMqJrntaM9Q3VH0nUmedATTX3taotjgFItsxgj+JresMaXyZXU
U7a2WTcqd4NKIR85WEHQc7+49XKjoRX0wkor0MnRLzydfUYmp9p0ad6tn1O3sO5IP0/fnWQBaAta
jHxVqGPgGr6McKXeJVfSHoOFxjX8oeOEYo0KoKR7nApfOFcxwDt02VppYZf37oQSxjOdB7yfUJDS
VGlNmWPrrc3yqi3sS4Hmy7hXQeJkfXxamr5tnpcWf6jHadn050ivQJMXhlZYX/juAag7D2w2Yyh7
K+YgXAdoyUd8mbMYZetH9WI56WtvjwofltSlnrXEsLE8g60kCN5iqh7dSdM3nZkWk9r8O6H4PtS1
6+1QyJchW8SKGNZw0a8kdHe3Q/tYm9QE2Woc7waliahKMyjrXrMjWnLQ13PUQY+kNbezaj6LxRu2
EDPjvSgc/wiuO73OseHflrPQi0CsEyhOIYooaRx927aG2iMEqu/WkpTcqUf7LlxdBLnm22HuKUDd
AZoDrZp2GhGo3DndYIdaj1gmyytoe9mMJi0czQW/ldYeMKp5xoXePExTNW3SZHSPLScbMyhRTYD0
An6U8zKDhWfdM/KqkRahuadP0Kn25tTET9aaJFtP6DVyYEsFE1NLMHQ2aIe00qvV5bChJ418LoXf
fkq0YglaK9Eb+DWpkOua4KTSLMJy0rVw8cDVXDt1wj4uOjTRy3nFVBMwEq+bGMDv1hqX5bFFzUnm
Yxbv/71bvbKJa7PcI2GzaEJO4sQM2q61UXf6OSvLz20uv2fH/pnx5GID+oMPyuHgXcm6L6Nhm+xx
9e39rfEsIsMJrcjYcUgPrABD5q7YTGF8NI7eHltfZH1rQpYkgrd/8T7+wjD1MTfaLs1pgRMpozh5
ER53bHqc0PH9/EP+lYHR/OAjk7R7+HHmuludhTFyEJxSESozNJ6UGwcppNwntK76wdPbMeKYVwRN
jdd4JrJSBi5y5P1QIPligvr1e7oYif7si/9gQKMnggZ1hRPQnzuj35aDZ6W3kh0d3NVg5goApFd7
TzQ8ecLTkLhjiKQh9UNIYDn+4pv5C5fTx1zqZFmHJdM6d8tMSXd0ljrL2Y0Re3OAsvYoSx3v8PNr
8FcX+INlrWt71Vum6WxXQD33gRjNvNroFTKFfZFJ6NOfv8xfOOPMD+41SPbWr2bD3kIoGCiF9Dpq
YTb/xQ/xwYDadPbUk0hpbye3QrGgAwUkVeA2vyoZ+Ksv6YPpbGiTtmqSmPwiMIkAh8wh9vNrAmd/
lRf3F1/Px5TqAfMnUkfH3npWG+EBRVuNrfoXN9Nf/fIPS0m8wK3aDPvbBKFA4HUTK2QKZPsvXdmP
4dRG0ZjodvlujLVyAncAHu1X+fDzX/4XhnDjwwLhdHo14/rntklBbd/6OrsczhxFBCusAd6XZsQ0
DmY12M31z1/yr76tD89/6iWAZfRCbQGM7U9W2/XXuQ7l+vPfrl+eqz9ZXozLy/5hXXdzZTqTSqzt
mMetG/Wi9WVID5ZdvDlVzckobr1kQPzY9MYNxN2av+r9KuKNY+RmckytvEkeLd5WtoGNnLXkH5fx
P74t/5m8y9t/vIX+v/+LP3+TjeqyBDb3xz/+96Os+O+/Lj/zf/7Nh3+ye5fXX6r3/uM/+uFn+L3/
fN3Nl+HLD3+I6iEb1N343qn7934sh99/P+/w8i//X//y395//y2Pqnn/+29f3qqs3oBbdNm34bd/
/tXh7e+/ub4wjcuC8x9/fI1//oPLh/j7b7sx/9J9+fOfev/SD/wS62/oWJCOAm65Hskp3Inz++Vv
HO9vus8hzxO2LzxDXHJ3a8lE9PffDOtvrk7Kke+A0l9+hjfRy/H3vxJ/Q2xPnJVuGVCIPlvi/353
P1yj/7lm/1aP1S0GnaH/+28/rkuuJXgFzxckYfk6nJX7YX3yjWxy+nJxo8FO0SCtq1KffNUYGyLd
880fvpl/vvYfX+vHLenyWp5jGa7h+K5j8OE+vFbvCCefE9L91NzKr1q7yG2DdhewfqCUNqmaX2WB
/B5M/T+Pyj9e0eG7R3AvfFP/mCLnV2vhjUXsQKQuPt6tChd3iMWvmoPaNevN6E7upzzxq11q5rYe
IGEyk6BWpr4DhM8OaDWTo95ORlTWibjWilkWSEaL5heRYB+e6X+8US64ZdvcCi4S0x+fbZTyhZoX
BKaxq/lnB0Zl54HgGYgbXfIYECGWWMSmZeeKrv88dSut8hqX8z4Zx+KpBrjmpLz+qgHp9yXl4/fn
mibncjZy7kTuwh+WHL8VFDWDeY4MSudhLpEFzYZMvzvzkB1nA9+BWRfTURT5/FTBem/mxPX26WK5
n3BRVjdqSY/UmB3w7tzleiKvYj8ujvFE0npgZX7xpllsiaaRt/tSGvLrmFyMWqpt7n9+6+m/hxF/
/Ciey3NjmKaFFOPDVuZl6wxfb9pRM5bpqbv4hDUa+65KPY2fpardO0eUbQXcMnb3aFnmt9qZJVBM
VdPuhiv9oZzTk+ixZTVuCQnI4AHV+EXzywxBsL5PRH4ju+SAqbGLRG0uWyBLQSKQm53Xbq1CM8UL
aCG9T6un3LL1x8LM90Od7VHsD0HeMxPCTlNhnbdXuSHCoYnbsEckFGiOd+zWbDsCSvh3U+t9oqcw
DfACVIFUxsPYOUc11VeeVz3kK5bLsdrFWC5HwjrQmESZNSIXnq+zMXmss3t8eeWVgFOI2/hY1qUT
1PNwM2TipcfYHFqZUQW++obIH+txP4tAVRJrDBctSMz1mbnsmPrOVmAmcF3rK5q8N3iHzbSmj3nb
H/umDxFFnEyZbXFBMTWN6bYRfR+Wwnxq5+XNmV0cj6adblq9OK1rfI93qwrSqnZQq7suqjAPFBHw
4WyOow+S2GdFigjDbI62067nAUEuMhLTEEed3W0JiovmOaiTxf5VQeHv58sPN45L7zbyGVTaxNV8
OEg0btUXdq/sSMcmfiOhUZCizeLkGd7OrJYuRJOlPfgS6Vh0gVn6aOzK+TtalO7r0lbTE3Oy9gb1
VuDqtJIImsBG0zFU1UaLzeZWprLfT9MsXxIMdCYu4Eq9+eOsP4xNLI9+CZeqU8x6Eis97aNVmfCE
a2pHrpV4R7gmMPTREb96YC4rzv/1sd3L9ofT0mYB+PHRx8PUTBj6HTREvjrbBZGFYW5o1qFhC7vV
FDbiVr9o/PVyvTOyrjtV/ro0AUeghtJey3sqpx6VDyrsrz9/lv9kG/Eue4nBtXDQ7X44ZqHuqKbS
nu1oJicwNDv5neTYQyuApeYl+cXK/Cdfg2f5huEToufp7Fw/fg0yNZzZUwO5bqp3X5Kuc6NLhu/+
X/hIf3iVD4tT6eUQamZnR4WZZe8ChPTU9ygauC9BkkhzUNufv6D+44z6+4bj+T6ILWcIGCLjw5fI
HZo3jdHaUW2bxnHxirIJ7H7MrzrYh2dPWg02kdlDImxU4gWOqL6lErjb/P+/Dd9yLZ+DkW3jmv/4
9Wqz3bSpbUdaEoO3Lc6zYQ8uGnS/Clcf+SHGhmRTOuMUgI0+FcP0q3dwGfD+eJ/jcOIsZVOghMxK
eB8zCAHwdU+VuROVq63yIAU3OrcDKW5spx6nIFhAHzAJ8m8y7ygAJHyCUql4649e/auitY+HMWSN
tmVxALB0ZFHCvJz8/3DCXy18+qPDLZYmZRE5eOmIbGHoTfXG/Mdh/Yez+s/OYhwznMuuzvLo+NjX
Plx/BAEG/kQNiVnpINIvc/eAlHA+w6lQOOsS+feLK80e++Gbhq3jZMO5j1UUCfnHb3o2Btuo9DmO
StyEJGFac+jHy/yi4R/vUXPGCXgwTgqWUoVppxuPyTB0m0JRxKOrxd1xtigjYZCejFhoBsDpxE2f
+n1IOcN6RHKOitn3L0ZVKhro3VNiQjrkO6HSyuyb0ZT1JyxbHkJ5bYj0Vbeu4sRXzwptVyA0Hf7a
88zK2Ehjbc/zMKdvfEPp9UBM3Xs1mNYrjfDOts3s92ES6puv2TT3GnEVlqtT7ZpLuDnONmlxOEA6
gJRn2uUYYSNCmqqwTc3yerWtmkibFGfc4sQjxGHLO8mtNcgmL30kjq/H/4SvoaqQdUE+6Zuhqawi
HIByD8PaotYCBjYkwgPlPsk+LbSgKPRsCi7C+SRY3Dy/EuXcnRrTWb67mYoWbN6L77cHtfQbQT8w
NAkHURzjstjOllInYacS4/QwnWOj1Z/bPDfvpkzREI2mfvxmEaR28D0TXWYvjBMHhpEwRQQ6U9HA
WGV63G98aXvXuVdle50s5duBHOS3ul/7GyBACKpGFMV1ssb9nn5oUG74QcQanv5SQ5d9qo1+sbfz
YKn7tiymW624JI0tiUhtKJGWIJBuEk8Zpu47M1bjU2NAotW6Wz+qFdlJI7XiWmvaZI8FV0Mh3mXX
Y05qGi43saEl2t2hNWyuoSHHqJiJaBsxt33RYr072CSZn8sVIrbUSzvAZmd+XsYqCUnK6V/yRCux
i6/jK0R9DWdVxFdT7hYcqgr5rUPu8WjgePhO0kT7XHpys9TTDBc7aJ9GZ27PaxMXD8j4SBwBbf+2
qFESJoPqxUfoaAEIWgkGaE0gN5t1973GIHikehp3fzIbwTz0KHTQPxRkxVTemXrr8amjwoEKqYnc
Ekw2oYVX9YSfK950fufsxdR7B7eXOaIxpVN2nS6vfmteeN16DVzHXCOhp0T1Mm6c7MSrD2U3s9zY
yEcLrI4hoD4K8lysc6hZTbw1tCR9mODjo2mZtG1B8PhN3DcFaQwaSyRSwfNQphmZ1gMyIUkxR92Y
600nreSql2kPeYH84tj6afHMdEzW3Grrka8P6Tb15zmcYF6u5ZJkEdwLftffXxh05pNs00tFljeE
CgPiFlOM2iiNEBqPkKEnVFbJlZOq7DZb4/KOcIlyOzv9cjKS4aUrc3Wflll6kCb0bDwVHo4NNPsI
Lxa40sX4RuIVJ2KvzTcD9ivUg/1wbWjkUdDljIVvKxPHusL0liZB20NPBl0Vi+0lV2GHu2e5NsWi
h6XKjLcCT9yd8mLRBWXXJseKFVdFiDbdQ54nCPIKZYcQNvlmRbUUDhh1olYYFNVljX/dp8t0niqc
3hepSX+T6kuDhLeECXmcGq3n5YbU2OPOq68TNOu7wZiJx53N1QjHwpkPCyOtES6tpkViGu03aWo8
PzBDCM7t4URLjxHJzvrSomt8pc1mvKE3rUMzrbuvqS+6PRkL2XOCOG83xixxaKPmaTMaWnY0bX3Y
+ou3oqtu0i++ruVXZYluCHYvvlrIs9jBe1snQ8iL6EzXyiPtuBqGBKTReIJJQ3U01T96g1uHjqZj
DiOvBlVXYt47SeEdG2QcR0WHzBfEY+Sz1EtxlTV2+7K4I+4To9Tvp4VdQCtsMyrgUFEhDtlnmPeV
O7SjtIkO4Id+bfxDVVrxda978my40/SpHurkxaYChJQbu39Fh0i6j0lCFPJmQ95WiTmfFkqFIjYU
Bjadoa6jA/bstfOu9/SFhX5akQnLczaJZodvIDvS0Yv8DzN3fJx0T9v55DEwFzYcDWs5kciCawOc
v0Q/lSez9Q3+QzsVViejS2LVadWRFLHKz1o0j8J4dFNkZWmNdk9bsLP5bWHuqkqgA56krK/cXoC1
aq5ZLgdg9UvbSFLUr/Ww1nz2cn3jYq04vzR9qHDsWs05T6b1UHtEXdWeAbNdTJ+0RhtCAHrzvJiJ
i82n7OoH+jJ05DBpgcwjc79P5iQeW6MaDippyDOdPRfJbC7ZC4tcPMkCPecw9MkTc4KjB1Dt1BTz
CCHI7KcOB5ofP7udq993cKMnQgPdKy2u4/OCj+aNamCB0b5N08e5XpNbTVj2O446/5uXpfWVsWhp
JGlzOeqxp206FJZs7bazXvfFvL5iL1RfTGS6d56gYyAYHG0+Y0B38DguK/YDe4oWrtYJ1s8Zg9zU
GsKKvGln1dbwnZJA55D5Xr+3tAv56a4mfR5JnZzRm3bbWuBNYnSJz3FlzWVgGbM48iyJIJ41qw7t
3kDj2LrJTrUmMri64HwCL0BlCuK57jU3s/p58nDSEmIgW+gtW+PaohC0H+aRDoZCZNo10qtpK6q5
ihoVd3RLxJr9atW13KJkli8qrosrvNDWI5E30+3aJf7OrgYXGalX8aL+mpsR6wB5OyV9SjcLdKe1
WZFgXDGPGVsyJUrURMl8GIwMh89cTfkhcYdx65g2zWnCcHEnW+OMXJR8mOxUeOWyzWySyyRn2Cur
nkuFMVpr75elqL5RIEGTszam3wenGp/dGHA+iFMNP3aJVAifdoG/RuLv+d6hf5G7Ak/ayS0N9lrP
rs9D16QP5EsQgUHS9lWZp4Ak6YSKCY5/JC7V8ry8AlIBDfFmY7zltQjdAPkq7pdVcEN3szD3pEvM
70W79l8wl9SEho1Y4pvG3Wdei46nL9qcAdlYkGXWcm/1MxfJjv0uKjM1P+ucmCOz4Roi2EW5aLgx
WYa4Sz43wmhuhGHxOVCD3VblVER02eXd1vlf5J3HkuNImnVfaNAGOPSWADUZZGixgYXIhBYOOOTT
z2Fm/zNlYzaLfz2bsLLqzqjIIOD+iXvPrZfxZ9KZO6/wh6e/4XH0mwWuzsdiNeyLWdS74AbKfhxW
uVv5D7FImmBeSNLECjNguWlnuYSWaS17Py3UJvNZm8OgQ+zhAxHoV9rkstA30tJ6QzHWvhTKBbZQ
28PtJS7Sp5rKFx3twP46pRT+rdiOfKCKk9clktb25qsE4te39d5GCXyebRtovY5/7UkstfpdI8Ta
+pi8QddZ9kNWet4nyBu11XGuPlrCnNYjuthfBR7jEBKAe5VdXv6mzRJ3PUo2zk09QlRQxN/9pGkf
ZVwnj/1YSpsL0xCHRSIGQeHoP7uLUk+N1uomh/oksYJoVljAVtwlwzg9j6A7wOJklrXxUp3DYBzy
cJwruTerhOzg2FtOhUrjO2OJ5X3t33Rvrr7ASad+OaM27t4b0tBf2Z5732hESMlxh6kGphV56DoG
C6SINVd7yT61W+l9kl4GoPovOdS1nwlbz4GtpH71epFcZx0lJb7lOeyc2Yv3nIn+kXGm/rvxbiCg
JYOxafJk3ScaHkX0FuM8xGGLvthb4aurSHnXeEWw9pXtu8ws3VibOhLrFdg/3Q+p3rLn3rBRrFPf
YhSD2AvEoqR4NaQ5XPiw/ddReHyGeoxRwMvxCR29RRfnkbEdx0l0czQXZuKdRydfPvQkLsvDaGF9
XieGysaNjZMefb7Kpk3pmuUr1uO5X9VTWSOASOV3UZZRtYZqWOlbT9LqhuTyUcd5Jn64tTeYTCDN
BAF/QSSkHmrL3MvjgJEdgIMXyQdGA/8Qj2r+3C4Hf04BfC6R4c5hMeODvUVRadrln5pS/lz+kmop
WsdyqJW3WhyZ1YEW4TmBBYPXAJCRsVNylE2IGojC66/oVHMbY534EsQH9j43v/6Vnzqp7bCCiN1Q
ItV+jqJb8refzU+FPqkr0uZ+PWq6sxql668y9OdM6em84P451XRq66h9GPikQHdVAHhgNC94pcbB
PJVuubyKG/qBJa9zVkOfooAbDBuvsGGivjJwLbddUbSrf4pcbS+e72Q+T1SEel0fBnvQT60ble6O
mxSNGmzO5qKlVnIZfFO+e3pHJe8iAPrKshZSJx7e6hUfE24wN6m8vaqH+BGJ23RZcLetumnJybME
mfncscajw0nj57jniWOMhdnYSevHSWUs8BNztj8J0DPCChqIOXbw5Yd0WlOi+BvdqN9duSAht9S0
HaF5Qe/x/eRi+oP/i3B4/ML0sIfeU/EVLymOUOw1drMS7VTsZpz7ewBdYt3OHeqwng/q1Cdd/YyP
Zdjh/DGfa5kpyl+utd9VYX26oIoOmSXtL0e4zbrz8A2MY612oG/y3Uyk2BVxENYIC0CSjzmsSB8w
gnF1UvYZ3cpql6Fck0/CYTkNy9kn/OWLhK3xU4dusCvkMqxZO6K8mccyKLs2PojZRXPNiHZT6FEU
+CS90fjO8uT5jX8SwEl+ycVM45UjjGmXmn28cTXVbKpS97OVonD/VkVTH+ZOlICc6vKLSXuEkX7p
Bk57uKZfRZZyyFssNfwHfUzJqV74FZvIy3QU25OtQ960EI/ncgJnKiALeUlUvno+Co7cHPvNTNjM
CgBeRUPlqOrB6w1kwdCzB4BYdQyArFIDanZNoQgr5BBD6avj366VJYHojeKqS9d886jDDh1ioZVn
pLxGhZatvXG+WHH9M/j2rncsL9TnHIPyiENypWMwCfTOlYe49GmUcIGsErehjogsBHbKh7Vn42DU
Ov5vlTd/mN5cr2gg2zVXmbbFzzgE2gS0RRXAclYjVzfPe5+bdxXIi99l6y2A5oD88MyLJzXBzsYT
RDVvektgupHaQsdiB41rnHzJEo8UQ3vTRHQy+FTUg+xD7Fcu1RdW8LXgYw/mRmpPpsedHsjIa89p
emPxeqYJCRa1Me457VJhOd8gHcKlkzfJK5Q4u1wZNlshQhYq73Fw3GQvrCzjRpozOFQebKjRyPk4
2RaEExLMQLnarV8ou2f2Fg5dI3Ffg+Fkx27S3SM4dfY4/sxGA0sECAXfBB2w6g3tBiH0dCgyrjn5
W9pmFTRF1AZ6Iea70YzE71bpEMrjfnnQtNh9YWFad0EbLf28qr3C2nuxXgdq4i+78wfD+FkEUchG
6iA4Jg/kUuAfebbxUn5kdRajd8saPG819//KKGv+NilAi4CeJ0pCQL4xyINSPY8z/dYGFiokHVEu
8461H5/BjKqwJP1uHO76yhXHIolgBtt0tiTFT4KXwrdH7T4t5uwOPW90AEG6PMLYjK+GK90DOnxh
U6aISLJkEsbzbcWCXBr2rKznGBKpyqyrRV3Ojui/ZPMNtV8gK8AENfLMx66pK5zt/J0uiWiubmtZ
T3+F9BWWtm7FEEl8/bea3lnKcssu3tmwGPnyYns53gzy24HlzemPwJ4suOnaKMzQftnqAKvUb00z
HKAfnTUfF9BPgUjA++qiLtAPNskVJJJzu0iz4aEqZ5iKtljIovwvPb7Xo/ODn+OpuyUyrR3Qg+Tc
z3AAnNTP7ouxbl5bMdMujWZ+2yPU3qzRMs76AZxBtDXrwQZNiG8b4k1+5ueNeXyRxGdaOwdWYxoX
0pfH7eCy86IXdRC1Zv4UZMp2nibDyEMF4Xs1xyJ9hxxl/ebx8OjYM59SIZWOgg+Tjo+2oYPpmJja
bkavSuEGDaKLAQpWzR5xR7cZe+0G48SgFtNabKxllncpe5cP29DMU1onDP9cZNZhkdpfkCysx5Ih
8hdDgpuBoEW4GH/ODlk+z8Xsi7O3sElBSr5kbUeGc0ppIfPCE5igy/GF5s0PuixZ1K/elbeYKiBg
kfyOc8cY313B2PQOLnTjrqmMusMsBoBuEGyG24nJSWXFpVttJmm1Pykn0vvIduuMD3AOc5fNYmv5
Pd5Tn7ZoUFOMUNPCIhJikEuMzZA55rtW647ctDXTvp6dS9jQWb70GBIePDD+02rxVPLka6Z7Jk+m
erPjMf5qLdFTcdQSK8akmWGflxbscmauPEd6fShtiTOhE4Qkk3fZwV42qqCzUEGvUX459b1CjcGI
eFiWvWfB5frrjsiEzRwn7htCylJTXpWKu0tU1eWxwMz3UvUzK1ZGD1XN9VWPoR336XWoTfUBbANi
YYtZ7TgboIPAGnQ4YPwhe+szTUeGe0NyTKrBstl3yQPGj/pNjj6675HBScpgOuAs+pWJIjB9jicm
BUPIYGU6p7Xd8ksBIsxVk4hn1E4E/oms078anetYFnPM3535w6asbztmWdiUOY6WH+t+bJzjX/9G
dTsqyy6OLqiYu+8U4dSRzpNoxH9YOsCDusu9hlDRBk5tMdMFNzTne6cftYeZDSnro4HiYJXlhjok
5VB+QKJbXgB3MjARU/Yd1WNZrjsn0iB5pukhcrhbOQzjS0p2y5ag4r7YMGRp8EyoekpDOxPyJ4t5
gsMSwiHVhPJgk/wxjVglRa6E5hdQSrgnl375WUxO126zBDXZ6o+TJMUWEeRpnN//tZNkNtBAmH4F
7bBF3txDHln5cfGwPIaC9JMd6mXM7sjpYsTSWfY2umCh8RQWT3YSTUDPlXygjaLxHNoBZPg/zCiw
l6ohFDc066zhPmAVza2euxAMpgUHKwzvgjT5pajRmyqa0LCPxjILaLvTTxt8ExXS6FlQ627mFW5S
aEkj7IpLnUPrnLwS1lul/GBcRPrAkmHZVi14omSZBuwpk7j0xgyeX5ndWrcFbv5GtC9YiM21x54i
hNWdIZU1efySaMbDwPySl78KzNLxHweVMdBiJECbpfvrEpsb/iYpzrlNmMpct7TufywzJTE3B8CI
7oZBOdEQTcmhNVTamXpbe8EHMUBELSfe6LTF/+Q6lrlWMXyYsE0T+3FRaLRvzKHToFLvwNLeOs7M
fbe949ScIsq+QcPEYVIG9vUG9sS21Yr5Caxk1Qd/HTlkBLjAsPXMBrj0x5cz3ea4stesB7yKtIOt
ImOPWXOsr+qhEScNXDAHTS29T5TdrBl73So+/zfvTkOJ3W+jRIdTp+GkxvxndFfzT9U8ll6yNzJK
dVfqkE0LpjZ6WOO/nLAwuu7VmBb/VA1GhPEIV+84q/qhFq72UEBB0wLjBl7oW9e8/rftR5kjPPHB
zUKo/22oL452oJZxjw6xZQH9A3rlYhySG0w2e9Bcu31Nx5rsJA8YH9EzhofhVSt3yumNRz++0UKw
eq7/OIWABdg0vEUTigX4nzJ9FTLgKzb2PI2riAoxW0UAAw4qN+IjsMwh9DVBrnYGLZW1U7HroVsd
NYWNAJsc/i4t7bS1hnnybgJDCrw31z7zOHZe9Lxsd6rT/UvcLj8tGzh7BfOtvfy1Ik2yv4lZ4sXd
zDeLuxDJ/OosVvteLZrxO2vHx6XTx4e/DqVsEuUcusD9YVqnzItHdxDqmM+1fo2R7Y8oJ0h3ZP6l
N0c1G5QfAPTs1xa125d+s91hh/TdCxcx0hT7pv72qEuPepNDKs1sa4dthzYeXr29BWmivw4Q5rbC
7aY1me/vRU3OoFGH3djitknmNkzrbHJWAMAJ+fH4/vu5j90nkB3DQ5518wPVaP+W1053tWOH4ssA
5SPDotanJjBzSzA+7vQtprnyWlbxuNWlbL4GnI0bCfowgK6Vbli0N4exW6JwAk23wYZGU4qDcMBn
JEc6AwaRx9xxtGvPO1yxIFu6jQZM6QUiO+oXa0bQzgs8YxZTcxgD6bg3jVgcLR8EcFXG3abTu37v
+LHzpfx8BJWY3AZQGZ7MG7KhMllBZSku0G4m0UDNWwbd5AKwR943g55cQAQQc+DeDouizWnyXNv7
1GatWndGb71PYznd64wfQ6v10etg+MM7lqfWb2BT/qvr++mvZtQ13NFydnYuZ/3Wkn6xnYHZ33om
a9d5U7axDCVOg59pT3YZe1ttQCTFqUww0AKv6p4gt+7VrqCojblYVoXlOOv/WGodUBO5nmu/99MP
HyfTHSUqNbO7oBqfHOfjz0L7/7DaFWWmheLgf9e6PnxmKFqTz+qfGtl//6l/a129fwnXcX0LuaDt
my6qgn9LXf1/WTeFxQ2IYdGm3uJz/i11NW96VgEU23eEpQvz9j/9P6mr+S8dWrPvE1KsewYqjf8f
qauFsON/SBDIYmJS4Hg8aq7pes7/UKDWesNAjyZ8E0+SHMXfcCPgvUgjPk+k6CYAbZ9KXHa9Sdx6
nhHrZhZWepeNj6quiseWFIRKNDvDmsVuMNtPMxXLoSRrYMUMv1n3g8MwW0X92ovzA9ZneCmNaa7j
2n8sacbukX8E/cRI3v7pYwV8yZcW4MzcDieZYFm1/C8bF9KPDoIDyPYlVSXbXeq7HdoksMODsxx4
62kss/jckhqzji1dO3D5rsGJe+HNRh9awrDDvpocgLNTuvUG2zziedtLr5DHmJ4d6SK+4UXKTZRn
QBHBjbATwQgdIe28pLRKK9jVLRY7dAkJsI6HsRghcyfaUwVeChlo/eV1sb+J4KBuKu9GLOmX9l27
S5ytP1j22YbyC2fL4bA1q/ZUJFl/wYuVB7pViS/Db7Y1PJE1JuQpqFtqMnx8UdhB5g2VnaJ0jbPh
kntI1wdP3uHbca+2Zn7oXmqHik45VISdnnTwY2g5hNphqF6pqVp+MsN7cG5DOlzfBt0pP78n3wdg
AB9myYq2JXP3xaD0n3r7VPYVR7xtw0bJxHiwhlvRM1rHPNW/dDWM67Rx0ms0qvfYymRYMs7AwTSZ
IcqgUMAj3POcFyvTFBF1a59cGreLAA/RiSYD/7EGRuNrFGP18g721AC18Z1462AmO4CF/2os/Qcu
DmMcaYqgnIIGVkFhjv6nljp8zA0tN+WaCVQ7qoJlrBj6+144i/ED/Yo45qI7uThpq8ocUWmB1krt
FeuVp1m7G0qLkJq6urfbBbm1sesZnB/d/s2IJQCRImFiccE+KsIU1+wEcmybp/IwJ+NbsrjuTlnk
rkfaxiuKnTcCsKUaooFqnPfR0eIDlNgs8Ozh5OsQHMvWfJRwdUI0i2o/EUh0qfwW378nYcGZc7EB
tt+HCxCiDQKLcof9FJf7h3KYENqlMI+FPw3Bws94/POlXWi2AZcHXXoztzrTVc/AcKzGAaRZPFTZ
US7uWzdoNfKeIj6ZEXNNFaNsLWHB2I326kKffklvfYBnN2ctTreOLEl40n+o/ZLXpbMFEz0tPdQO
Myoqnc9cCf8r9dS3dCk60BPggFWyCoDRYvGzmyEwOtd66GRlP5R99GzSTZ48lGsnOHMjH/hcnQrG
EWnsJg+Qlq/JUCUnZ/4oav+uhYpK+6s3d2m+b+YkNN16/oU26Fl19XxPZtOzWtLm2Y29wFqmGSyT
IHqgmocdMNMrA4PuVDdKZ4OQvKVVXFxMGvILKxS28R160LnlU2TNdJ8yrnKT9B4qh7Hx9VLbdKnC
uCzVcS7stzxeajrWpj4avcHsdJ43iR65QaPb432hMsG2Z83QVvsGt1IHNgzQsO8VQsQ+S9hZdmze
q6E6VZ08ULfnV9FH2fXPP3mdwk5XlHLz598l8KHvRBHTThGAfBt6lys2AssRhzBiF7/5nHrLCC1X
vHpCPYMItTDjFcZZ70ciO/1I2zfoYQPQ/z9u60cBjnjQrov1yCZoPioqlyCC3XqXv9as0Zkrtt1t
nYSC3JL0+8z/S6h/oefEazMtgZTy5t5PjWufjOZhWaje7bqfSdCIZQi/wA9SWTiHNAta5ux3XtIa
d8ju93bZzk+c8z9mp+1bZTKYRLoTiEFY28Wqh0DkhH1YUWRsoqIx7v58YZVp3NVeYobGCCxcB3xV
FC5dUe6YGxAaZEU2h3ax+PY66nGGQcXaymEdWY4uwoXERYyoCwEvwMLbg0rzcpd/wUnfjp43Xfph
sjZVW2thkqOLCLMc6DM0rWY7ZArtHrrkPrKBnCdawnghwlVVZ+rQGktNZS858rDlO4R4LY5SW8k6
7QgymBVzrPptU+Y1m/bIvda38QxzTg9lu7GiDyE2PZuMRy2b6dyKjsmztpG6X++iGXeyQPuCygkJ
u5utVT9WFzcm56msvqY0kYG5GBG0M1bbbqqpe8l/AsHMwN548u+GG8U2Y4W9Spbh3VPqpbUmdw/h
dw5AUUWh6VCs0kdtPKeyw4FxzY7ZewX9xc92oCTWAJ/1N4cd+Cb5pAnEQ5BUrF5nkNSykKBS8KIG
i3wEUiaevKhFF8Gybk0eRhs4tBXHmikSHBRotZ5ZbXHtbnKyc4gjYo5TJPAWzGRipDqZ3yaqUNGd
rTaOt9E432TrzSnX5Kto7ebg1hWz0o45TWpF5sGQ4iSlrHYWxLijNU3lweCsU/BIzn++9I2lzlEs
ipPt/5S5n518HNyKMcneWyjbO6TktTVGzJ7c5Gs05JqGsNvLsk1okMiT6rM02g8ReW5WZ50KURbr
FjlMUExDcadJM8CLAVk06+0tiIvqcYrKFgBZO/7EfPsMJyoIovKK8Ni+L3kNtDZjCRTZ5dYqE97J
UgPTZnc8z8aoBaCbQwpz7XSDZp5Ns9h6DKV2I1S5IOH4vO3wirNdmtmmBi3JpvJ2x062Bs9HrwiS
gOXHaVaeB1AE7Hfkl9NJkD8JKDBXRJAS++nMOuacVG0B+FlQymTyzlGjs64YcwSMcAquPlYbbGQC
IkXoT5ruMwXFdYjpYE6kVHDUATDQGSrjQWjWQ+K/9KxvrvVM/pLXd4+2BgGi4QfQ0uqG9an6kz2z
RQNCe8i7xX+gDSHwauy2WimOmimK5yjN5mO8sCWJehDqsxa/1KA7Dgk8F5wu7XFuFqR83vTU5EP9
VNwPoi3Wdsx43RscbrgRQejYvqR1sVcOyj/3O0+zfptkdrfJ6YpWnA0fs0vWxaiDf1iSX0bb3PHh
Sua/sbGO9bDHN7zJtXKrz+zlhQCS4ZVFvE4FCVx9b+1zDaVFZM/pY2aXBP+0djAU7LGm1JoOA+jm
zJ6OnjVid0r9mrOqewLbra3ITBhfReIea6ih2yoHJtLazp7tg/1lCEwxkuH+3kPzH0btAiMhIm/e
8KV9b9mPbjN+FmqWl7iGy8edXAnrlcCnm3R7ujgROXKJ9orBJt94WrKPWrJyh2JcL+a87+CnrZM6
5+3SlmAsBpB6PpPQiZAhKKfwOwxPB7XtkU3UVMYvk4gfRFT1K9zMXTZoHVkrxY7SN9+BlN84CKgP
8BbQGDkPHnTQtw5sGaoGfhYMVJ0+6bs86tSZrUsOw2L4mBfnkwuFKAbslMBXprVl46HUMra5Unc5
8ZGVWBQrjT+y5PanVzWpFjTwRN02j9txsbYdJzk0nxTOd1eHuF6IHW4Z2uHj2Flw/XJwsX++awnp
mslk/EMNCwsGu5urzKfMg1ph3PJO6j5bVQNfbtvnDYOh52myrSvOtR/BTmdbuJV28ms9OpUIRup2
ORH/IddWq80bGNVluGg1QfdOWmzKVt3PY9ySTgdwMVV9y6ABJAxFjLHmKe0v3O3PyNbKbbro164g
BAVyFntpy9y7iLcI2XvQUxOMb6Wz68hQKII20EIbnMvBhMx0AJo8BpiNWH9Nn514Twx0psZQM/vW
IsoYXFCKteFDlDjuXs+Le+joXjApauS28MWu4cnbWB1mllvhh02foGsfUgSXgrDz4aAXBJFQfBR4
A0jKhHHun8v2FwP86YBAMKy53w6EmDwVywRr0hursG0deSYD86WOdZ46uYDOrJ32mLnJidG9v2Je
M4AqaaMzxIUnjzkKJ7SvH0S1Hvzp1wC/GBuLLYJKopgZkAQfOjDpgu34xrCli0q4FYGf6miLaErg
5p30yn1qlpZavCkWUpkWQSviPusMqeypkyyU+o0a1VMdYeQCD6IdCq/Tgl6lSWh1EKumFNTtVPGW
elpM8eUOR4XaAG3i0gW1F+hu3z7O2KPIEm6OZcVesKhmTBH+vFzgHa9EOk57azbPALCGMzg7ONg0
Ooz0uwXsqa7t3egXAJCLzeTqKW63HezrHXEe1RFtMQxKFjU7P7UesltzEIuheMyLnGgas5SEdml1
qLlQjUl/ADSSEjRi+iSS4iwxYZzM3eMbczp/TcJKE8Q3bRJrgV20dG/j2LbnpS0/IHcTPWYRMWlH
3V1ei+luqIHUIQcNOr3Sn9ss5RFLQj0y+ker9gijqaaCggp6kRwQl2VQU/iFL6sWRP19Y3CmuePc
nXqPIomCeDgnPFbQXiUieTR8eeY0WwhZZDa4UIwic+IHcAnunNPCv6NM80YWEkSiPfRxm69TRrqg
lAx+x4J1S8uI8Cxjcx/1E/BRA3OVSPx9VuaPpEhbLwX3wDqqZ4yMCWuuxkrvYxlzTEH1OzJYgDfM
+4J2WpsPCIdnXkK6yTZCQmUa2bDve3t+kizhGPCV66WBkjc6MfknxFAEvGD5sbLHz8Hq8yDtU8bG
crTO2gAeFyFxHML7UxvTsabtgmT+WI4abw68tS2zA+xlCghm4nJGaL1xGMwe7U8OuzbWiBYsJnK9
/zwlhCagh9f3OrjncSme5FLl34394BfV1bBzJrFQBELRzhFrKSBJi+Pq2z7tTOicPCUt0XpoxT8z
v+zClPUb4gGHbVUS4ZMrJMlxLUtILSESMCqPcwRAszTygkAg8ctuxRsCnmLXzk71mjGczajzMB0P
Bx+JdGyD07uN7NduD8pvmPKN6tL7viIMNRbGUyeM/KCV5Xl2+t+yzwijxZYTGDykK/g1p07LNksF
ilPhgNmnLl0g4UdkvFRsi+Kt0OG6IFrzcZx0lCA8tcPYv7AwlIfBPwqNqMW89b6ByT66rLZDTf9u
lFaudQCT0aBPG47F/ZiBP5I1T8zkGsmOTKDn3qtVSA4OySwNYntVOt9OXVCeeNwKAEjNLSRF/LyZ
CImlMQ/4Ao6LCgZjwPOBct+6i8efOmOM7ovxIdJYPTE0NTrjGdXbwOzYu2rWpNA9JbvWNOxjil3C
nZaDykwGO1bzPCZ4EwtlvAPNXVAoLUag9T3fjuixSKLFRwp8GVJ9N2dmCW/YvxfoHHfEa4TxYu46
q68CfewUiGPdO86lK+if0+HRsTB+2Xm1Tg2ZvrGmWeGzS/exYCUJPXI62Y47napaMDXIntkaU5OL
vqTTaYGY9uYumxAr+j45NXLwdxkV9qE72BiPtvTUzbpoRBXaNy+JD5A5QO+zIwvtBXS1iYoHFQhH
EOCUb5hTgAqL+hHSobfhpC1p+wLMbc3WSONvd54/x1nqa515O5A66MrOoodRdZW2ZF6RdMkV6S44
hFYL/RTCvMEWgPBRiNoe22uiEjoE8ObDRETT2SRAHEGkN5LRmWp7ZFSrRkobYB+0YhYX6r5ykMmN
Lb1IxKhx1TtAHnvDSdCDN+ZjQZpRwBxcbPuhKbdGrO/oR81vzQIT6VfIrXLNMbc3RFtgTb52EjV5
UROlsd2SwNoscjqKXlFRzUvHH+1PKRCuzYRUbe2iYN+IrpTB4GrGTouoG6SPKcPnsNE89KhALfZI
sJhiigmpTtLmK7uPb017tfUdB5VZZT8OmkZQq86oMp5/OreXu9FGf8XupVmLgkjMYu4x5aVJcs1g
f8AaQyCuLe4l8i1GQoR2BZ6q2mMKlBycL3PDiL36mpVZUn5GsYNmz8i7zTLbl6aTO+JVT5nWCzZi
8BNtnL0rlu00iwnbZBOy0qaw819ZlfcHwa/rIfGmK0O75pIw0nkySrhS8fwMg7JGlBQna2usST5k
wIXCaVD7pPcvYvTsnc0oBaRT+kRUGTit5NfgojFwEAE+Jkm2bNxmCWc7z9a8HNO1ep0KsiTI0Hhc
iPtTtffY3ChxTDL2XoKiG4bASti05A2JPWtVGJQ81SD2hA3SY+SYIkxGiAWk0D1ZibDdcCPJgmwI
KNmPjSDogQux40XJZvRM83TuZnPc+b2jYaDK3oD0AYzPSjbg+ndX5/dEOm4pVur9gnAKZEISQuir
yOQYLlPVj0C0WNZonKar1reHDTt6LxgWJiTG9EPvuMWg/F2PgGExNFNE5BFzknhck0e+kHctN8zS
ln1K0FVBbBLdDJFflHDXJpkOUzmxRqrZp7jaszUb90t5M3SgzliR+EqQWStqh1CqSO2BBn4klWRg
h4mdpvcewRW5LKPF4To7E4k76kneNIULQXRtak5IUstHu69h/HEYqAkFiGYAwKrQiqxjMz3aJSfn
hAGibjHvdXDdemd41IErg+xn/XvzcJ3zxQ5aQYVT9CXzD1vhq5PxafBcKq0Xy3f6vU6+CbFvcq07
DJC1ZdwvSny2WS43hFlt5pyqmGirdrtgp4Md5+1YrvlrL40+eUQQ1uCuI1Fv2wqsNikmawBWERzc
qrvFAqCGap0EBJ+ncPr7WxiPYhc35lpvu37TsjzFt0YB0BF9NegQ5vTUuJIUGrRtgi8xSdi5uW8j
doAVA+U1APzooFz5jAGZVDuB6zZCCUaNpG7X6k7PuzzAp/PSgG73O/LsHPd338Sv9UKKo0JetKr2
aUPDRpCetgZW6LBzwPLYm0TbTMZvC9IoUlE3dGrBAbGYbCDQB81MM1CGl6tSt77NordRZtMHps4Q
Vrj1Z691CKAxEtaGdrtGug0YwWTZ5nrFpoeWfT8a5v4WD2za084r2anX2XuHzmMlTeejLst2G+HC
vSHYNXrdxAhKCXkwzciGNoX71k7xV+RFaiM1PVprqHJXENreY494j1TpkHk7U5JtgA2p1OTWjOun
nBSYHSXBT1FIshlMlI196pEhnf5IEMS0a9HGEtZP/uVY6j7nPtVJiQ004f9SsfEQIaQJrdx7n+sU
246BV5KzcB5q91JX0Wfbk0LL0iiMO0OFRtdlvGO0OhCJT5FRjPxUhUvzxbytas8Tfi7XGpDsxKS0
4cSD6T4VA9N0VkVzzaiU+Vj30nXSwKQQcdQQYBOnbE9HnXTIQhuPWBu8XT6qB2Jjo8YtQUyiEjEY
pyozy8mnZ/oGUfJNj0knIeB+l8hh4/KUce98jqaJrg6IJfWzzkFBHp8e+fd94/3uxxE9bwYXl5Ke
oEID8ewTITzVgY4EmwkR9b5/HuMxwChwE66OWNyKc5265lZbpl+M7vZ5l7U8GfYvYcO/r+x+xIba
bdMRy67T8yVj6RSnL5KYc2YDJcnA6PMIjEB+k35qzLVnwy6Obp39J3Xn0Vu5EibZX8QGk0y67SWv
N5Luld8QZenJpDe/fg6rG42ZAWYxwGxmI1Q9vCqpJDLNFxEnnkHWF37lSTxZg/zJz//aLtdkllAC
U8HcFBSC3TUg80Lni1vve8+Ft7V50kCaYPfssRvpsADHlheiuBkdT8XgZH1AorXxWxhG45rCDWl0
4i8DMZg2zOsX0V8Fl0EMvHz90cT7YJhfbUfDku18hhFxMMMs4M5AiPI5GB/6jgcoTBlYioneXlsa
TCyz6aAp3fEtlKxNZUNbNQ1WNEyNb3hj/noL7konPKCmcbioFVuMtLayF/vKDEfkjqjzNbO4lqIc
wLDfh5TCTRI6E3p7HxLy0+wg0ooymM30lLQeyrm103VV7fQV5z+amtxUJXMPnX0AzOO8s4csC5qC
SeY0qgNgfYD8JmEbLM4ZU8jhEEqwrrK1AjoKYcfWVPwROvF0K2A3Rj3ADzqa7h6cMQfrjn86FfZj
hwapKudl0bjQhT2P59j13G/Tez4RvknT3wbjznplofTdGEi5fjlAKzYlRt3h3o7G38IikAPmlBsQ
gNixxqNodT8tL99oQ+zwAHHDcTT5zVE5OrstrXGEVnxs4fCAXf4VaVfvsll78yICyuHvfi6/LESM
ztN/0y2LOXKhIKQqOIxIhFifB4zdOCcKTX57Z3rcnS2tq/ykeqabSPpNVuMUIJK3OMkJaPELTW04
reLpqTSYjA4ZBRXS0N4H23v1pvoqFd+CSHnHhDbGYE6hAtNS/I18cncT7zAsQ/bi6BTRVa2wDrlI
r6qaYOC2zAHzqt71LX+9qXkPrs7ccef5l2yat2b0PmL6yDelSl5tyNqbOJn9xHLOU0TOzTBw7U0S
zrABNYdC6NrKTwCgGW/xDZbdSp9swzfEnHY7dLDLwDoHnOjGazXtO9KjLJj1sG0bb+e4hFe9V2Tv
w5TfZDUF9dweqXNVm0TDxCs9kt/eOL9lWvLSKPNWa+1nLESHc3u4RC23aVi9FKZJ864NQtHPyjSI
Iu1tvA5e7Ki5DBRjXGPcNh79XZHb1FfLIRzTatdKa8ubNZXpTZ1xY6P7urS1WaQb07Rga0wAddNS
Lq620+6BJCcv9jFnOnL2hmg5J9h59rmb/VFuPD7zyv8SkmaL3JbgdwQOS08eijkfA8AC+anvLO42
Lmbwhgg1HmsVaIVjfcXqdylWbL5SCxdlc4u9tzliPB9OjW79Rtj5aI3W3KERq498ZMnz8M8kBYdF
lUorSDgp+C6mpzP+8VelOM/BiBtYU1MKcCI4NYVoo9MycalfamPjSO7vJkJAhi8V7S9zD9pLhnuX
W73chlQjbJtRc3eDsoyrxwxbs1euqkv3RRLj+2VmH5DF5ajD2C2Ga35tevfYwwGP898DPXN7VCz7
eqW9utjWcy2veROqAPTrH74P6gkDQudDkSanUDajrzoAGm4FhJvJCKOUlmreIA5hnyKIeEeHYz4F
0DxuRI7afE2kmDDgjMIT1FurjHoaOgAz2R8xtf6xRbjTSuPHiOkno7bHqMLjmIdX/W8LblyU2pOT
dfALmu4zoU1qCt+tkIMP8Bu8rdx4aJjw8n7b4B/fuLR24drsz1aLHpe24hRX5k+4e+QRWO4njSKT
HuQPBWbVaNy6hdGrOeo/7cxbNlybAbVOMULMlUaLN61BEW+AuW9yBy0poTUr1yI4O81VXxlMHX0p
+P8/xWg2myTp6w36M9tTS89eHp8jYb+zOJjozMhWXnmFPGbvZ87mQclaDfiDRLnQ/3rmm7bUf+WU
4f0Ni/WrvGKM9DLryhjpgz41gMyY9RY6fJKu3KYi9TbYl+jOaHYaJm/m79lWbwEiTS2zQHIasUYi
fHj0P6AweNsFzNAu9BT/dm8cDgqBGu8LGXkVk/pyW3cDJigL6lF7lX1cHwY13hvdjU69UX9yKY8B
AbgVqWV1iccu9kdO9nidC+NF7+pDuljpN6Qqdoa/s8MALI+leLg9KQv8uDY4O6gPDlvOJqZA6dJS
OOJnqIpbnV80Sg33LkSlTdvp0TIcvCya/BI6K0mKqAQvTXIk5PRzmYZi3lhc/HemlXV0BdKjBwwY
za6ub6aNIw/caLKzRdVuR6S9FUu4vBqh/JYYC85YAMIdgHmTNTVvaRaw5kBV2amQiXaV40kbONTz
fJ27cqEhzsTF5ohl75QVrQJQnF80piaUCakdbxv7vCdgOVNIf5fNt+ehUnZWmfuUbLwLsxzPad1V
uyT1HIZCmn0SsLkx9xu3MMFGbOQQF1YX35bgEWN7x45PFfMQZYzYAOP+m/wHTA8beL4xJ+zMU7HW
GcxT4FFxcZ4Kr9/XVonfJpy42fR/VKKZN/gcgb6+v0xUUDW4+SGoMTylckHs4k6oTbOEzhE6w+Ar
MeLOZYDkJ8kyHCmqNAKxck2qdaid59Zer7Ir/U3Yksf+lnpV9zw6SMste+y2EuGjHHIMdc4kEYs4
geTGpxVW3EWyySck3FGEA+VYudqFscd3k+UUVicu9NkLPpb6rWg/F95Ulwm1Qoe+lXr2M8wY8loW
r2jhHSlBIz4LRnZfeWbL7SweX2G9HwCqbetGfyt169cSujO3p/TdINaMLAi8nZm8RZ1q2+3Zjnkf
pyp7KuFpvJA3YkoQ2epMhCH2w8UYdlQVOjt3Jd6r0opuqfTOZaq6wzKm9Z6CvYThqTGTiY7GV0gw
l9gef2u0hhx08s0bMUnvlFpKX1kZzTbpOL5tMppIAjNkc1Wc74O8YJbcOewmEAFcXk3k6jxG8l47
LLM8emXDUi8DPecLvRmvZMzHzvutxXm+i5bIpt1okselMRBFZncI6kJqH7inntq+tA4yQe004XuY
3dwStyR1Stteycjf2dv/epfMqKYLYZ657dazjw0SVLVXP6AHCK6SXLSXrvjOohKfQEsnCOWYBPHD
Y9Zn5AXrJT9oQn8mUhpd65A2w5Q8SlDN2pPZZtGb5uFWs3uo5H1FR6Fe32YeR+CnueevhIbNHFN7
kvRMe5S0zm0SA5ljldzoeCOPQKawubJYeo12dp3QOnq9dq/mUVymniSF3hTHFRSJtiPp7xUSJ0HW
vjuTE27aMa+ePJ1GLOFU7w2877K+6bbKkYkueOCWH0mKLu5RpaiIqVMoQcaWPhHA/7LQOLEkH6m9
MB/HPoOGjLjDe7zDSjrfyWtxBo4wwxFO2g9WJEjUEJnh8N5QnisPmOn5SrMcIgC39oX/HVr3utfY
qrIphSjMjcdl425n+mtkecN+rL5hs149Z5WS5bW3uiNozvqGvgkkXNGFZ3jIo/kq63c21qI4/hzm
PHyqk/XiVRmbFlbKDnQl18XaiPYWiBcf6jOQ6dLm+1obO6sluaNp3GQpLQhJJFZU24s0P8aO4NpX
Mu61pH0Z83QLqL32HQpgz3GB7ufQenK29Q9AkM4lVybPi6zlQaj8THFcfnMn8ht9PWdPnVYHs5Tp
kbfLxD6MBcLqsSt0xnzsKDQ4JF083NpQviW9+cBof1rKpflLazSnxVr70M3xqS/mgtaW7HdOx3FQ
6/YZRU2nJ5ByVvqk+vO/D/GSPCrJztJiU2A3x9H4GY5DdELCiRjvhkcO59FLVSx/wMgd9KSMv+K6
+BgoDLss1XyZGBpfTGl+O/QDfnbA23jzxTFakC6jJbF3EC51n02MurMubhF7vVeG0Grt2SEZsHCI
tBqu2kmvmpvL5e9Jy8ezSFEnVDk+JaX7M1vrgXL7WxEr2Ixgv5lAkvXpY8Y5ynBxLVTh8zC4F9sY
NUhx9ZOCv0CyFyfR0KZBQ6YkMBxej6LZZS5ysMyWkBrDjgzepKc7reNJcjDaMIuriHSiyd1K8iOO
bb45uNrsqGbpqvWnOs/fKH1eTovRvtb21AJwGVp8ch8uehXIGJ4gybjsChRaMGuW7kfBThWYyvYV
vWXPdHN1vvOzqevlEc5wP/Klf8fM7+xR8EDdMxA6u6l9s5oqOvSeFUR6nj1J186e/v2KKk79Roy0
Sy2gSOk4IqUNztbs8h3GNsefhdOdSPYVAWsLYSI6nveO1ncXxLCFGLKLlX6kZdMYlRnE9GRjuxiW
F/Nsju42xdX99u9DaWMhiKcd/C7z2i+fmoqXLyyRYDynMN71wrU2eL68be9lzotB4nwLLZADxPpb
s0j7ix3Gv5FrqEGYjO+BIhE6wiP8gjSU+6adlb5hNw+BF8IXJOuo5EB5WSrvxNSyfCTx8po3bvVw
aHSDrj294nAt97Yohj2Gy+JJdTTjhfuCDfpSjT20EB0zX8pXXNFycVq7Hw5/FvTmB2Wx2ZU6k+8h
rcY9Bh30ButAmsK6OEYbX5OQjX5ykmccVxSN97R36AVCkm4NT17dPIUuP764L4d7v1TPTVPbB7EJ
PJpod3xynElr7bWtnLUmFpeH4zahj59ovvToyZjX68ZPhhJeD6+jH+ZiOOEgDZ+0ntJRSjfC4SGd
sL3EbsoTWIXdZUizZlOr5mdlM1xvclvb531Hv6RzMh22M09Lw61pL+a9nMej0pufBBW/ZUEPWbWg
K4uYdjMWW5JNo9qltuNgkiudfdzRUoDq4U/MTNh4u4/IKJpL5VKEkXBhZf4W7ercECxTzEpq/R30
K7xHim6PWscgSDQ4J7NICpyLUxBrAi2fMcDQLrZvdkyvoJt9z3OEuov11s9qgk7SHpxzgTnqaOfm
kW6sJNA6mnWmVP5c4ta4thq52o/MX3RbbEE1dOd/DA4XK2fMVZuJvOnQ5lmPuhmwn5HbrZnqUteS
nrn5nwk8mJe202uIJKzWg2iYHngfUJnzS2TCPgGIcF5eQCtQkDhVN9uFNbKMK1MztPAh5mJ6ng3x
yyzd6Wi2bBr4TC6a3T3TCI0rz0X6x5WJaoUYtvVkIZ7ApZz0zn5UoQO2ZOxniLP6B31w89Gx8RGu
BxXIdHyQ2I1asiqFY3eMmkbADqTOTgNwClrYK4gZtbcTZqvvEC/I+sSF8IVyomNr09DhhDTVNJZW
BvBEHQgAOatKXxw7ZrXKdaqH4Ub4GKvxkExchozRyq7yyx2HZk/hOI0cXM0v3X9/iKgO3jKHMElD
foFiMu5MAsoTS2q5IWzX3aL6LNAXTolhfJD8NC0OAVED8Hbkj6z1YNkcZtuhtXcYxKgfABu6ZdC1
h1k+UQxUekFs59axWR8agvzpexNRFtpRsNwnHecXh1Zofn7UM+HmCK181xSszLVwL8rMjoRNvU1D
Im7bIjSd45q8pZ7T/NeSaiOszIl2AgB1a0j1YnqSbcA5Xu7RE00/WrN63CkDWoArnrZEbtBnnPtY
jRy/lordskz+WG3IvGMeyEZiwRhI2nLpaRlokH7rA3otGQYjpJwaGvwwHWDQ9udxcX1nfZYcN8kv
cyUIQMaLF+887tkcqexmlw7zrygepxPBh+nU8Gqc/v32368sY/rqW9clNMr/8e8/wYn4U84ttqjC
Hk+J2Tzbw1eE8em4wCnamlVzaLWBcQMNxyCgEF/DNtnaUaIwUg27dFwzN5WzC9u0fMrjjrPQKIsH
kBdu/OCAIW3sGRovnB/F3k6ZVOT6hSQs3XV186a8NDwQIyCSOpAlaJxPJ0QPQLi8FOGQnqxkvBV4
5UALoatjA0PFyAFfuISqNrGl+3VTvual67IWN/kx7aufWCNqrMoCXAZPuNLTNDBGzB5NmPAkU5+z
SfS54ADgGnt9snBheUZ4nAyoj2UbmYFbyeqexpm6D03914mij1Ro3c62poIDIsAJU/0azTVS0HL8
YM3g8E+gc1Hq3RTrgc6iot1r1bTpOMU0eEs1+7pw1juDIjPWEYwXoFI/ue2oP2tFrj8nCBqXuWWG
HCbnyiOZIdmbdoyG1WbpIUlanJBgTnzSQbiXNBNfmfXuCr0/4SKL8Cbwd9QOIEt2GS6zSx00oPG2
GU6PFzcBPK2HeU8inJNbWlA2pDfi6nZT/tEXKy6r6LCmmTuUXdM3YCGAibGt22CxxNKu5SPUbWGh
DLjVluZUz5o64lc4RiHNvD2G4XtWt698+0A71KY891XusgLh9I2WD90qiq/checINoYTlqZYAvTy
UVtrSQggiFbp3WXphvJdIdkNpQPb2kDeWTpdZ+poGJyV4uh5QK1nFZnCMxr/b8YsFjQFfOiRYIGF
4Q28BVQZiTbGrjQk4aLPH66jtG3qesfJjfMXKlnEG4a8k0EAf++NORWTJDXqeXmtouJXSqlfwFmG
IGPbvSdh8WOhL83nfHee7aELSJ/Nd+YZa4fXH31YK+3dLDpMAuxTAhXyLhgnJwwoL8ye+wMefRb4
CfyDCJ+7yftZk3578epfyYB/pWeb2tW19tLM33GrK0zndn1wvFvX4Kx2GgTgcHQ1kHTe8MHozAqQ
MKkWD/sf87NWY2McsVuPKMVHfor5Bhbm92QjxTJ8XenQ+c32jE+8NH4aPmrSm9vW7G0/bzGzz2N4
UYPASMDnl3qXPDcZlxKt4c3ScDJNRV1FvrJbXE/kvAdtuY2tWtCutW9l6gneC8W8t460Z8slQC2E
0q61yDP2poQyCLzjgUVQ+SXlAgHzRHA4K5OB3GCsniUeiEJoABklP9m651krOX0c5smKice0r824
2C8WM+4jE2h6c5KG0uWy/MFt5sAIFmYKnjBC+vMtQjeY9L5/wrVa7IrMbQOa6uM7LefRltBVukc/
KHq5fDC2Rn+XjObGJNSxoI3Z1nJrsIYiv0ba1DBbQ30DuoyMqiDMUwkcw/igHd0Rjv0TV9hBh5vn
9U1zjyPP3Q/GFyFdZwdGynqfTXntvApbPMrE08gGRNv6dCBN2R1Hl2NvhfO1WMYOaJPzN7ed5REn
1nIwJPC/oRxogGd9ZRPkbzDangk/oEtz5oI1R+ByLMu5JfGYXrE4Z9eYDtirrEq+ETUraK9Ff2LN
oEjcDB8Rt0+fxYN+OI2Y2BTNXzXQp/tiymTfKJ7mf79159ncR5zHfEIEqA98tzdYPwfGE6537919
1tAbJwMdpBpZk3vjuAVBVn7jMI26OEMPYUZnLmFZhLlmyMIbmpjzQJuQqXFm4KxnwCwDEXK6Zq9g
floIrttGjEfdHPERGnN7ZiwNjLZ3z5PSpuuwfoitaNlExfTKpYBRFO7UvUHXO16DI3ETcW8tp3/k
6p0devYX+k73bFLZq0AoPyZRUvjc2dXF7uRfhVbzKFB4w3J40Dvi3nGothq+BVOObEJFXT/iVJ+v
9ljeU8srL+agflTUld8ZX3Ux5gcjQuCdoHeOBuMUm7ZRi15yL8NQ6xXqV5r29TlJt+EE4dQUHJD7
1RRVjd4fp0uZGkSNB5WG4F1v3mchxLnnZ76lFOKsj4g3FMXkgSiYfxlT/dC0gUttk+xaZf8VbsMc
rvgRm67jt0057aSjDh1pRU4HpXHED1rlKdwqYlz+bLeMs4t0CaQQ44k1gB68mPpuLSaiN5mPdUn7
Zvbr12NnX7wQt5KjKO/wlvlLVj+ihD/Qakn3qoC0bRO38ja4gtlWtd65DzFeqcbKzm6/TZeG7oWa
sZ7hRfpW1XQke1bNYY/oxLa0TULFox7t5hDGTRZmgVOq+lLF2GjMZsr2iwcBR5ExOQ2humumex7m
nlQEtdZo/iZV3tLKA5lqH6HprpbgFh2ZCfQmzlBTRVG4n4DsY3/WWcD4ZnGlrpg04UfgQvHDxFr0
oZkjLYzLN1766l2n33EDf3XvNoX7TFCbXC8NuHs5D/LNy6fnyQUJpI0u8ykrtp4tCfZar4p75v7S
Ssd7uGZUUqY3Tud/vy0Wul2HDBujnag6SNbLIKcN9YArQ+cNyqiMStz55mszcAFrIuTH2I6vddJ4
r9lo9yeBGMmePF21Bec7bdgmA0Jbw4GtRYGN3oVjTCufp21TNuHvbuDUWJOUvkQLXfGT4/pkSU6i
MsV9ZEql8u65ab3oLWzZmjvaICGunYZsoNq+cYzAWtL2Ug+9c8PKPfg4F9znjjHjxqzVzunK9uEO
PL95pJG24FAdodHtIpI1yJVNF2g5klOXgTwCMaQ+M4OAQ+21DZvI8pORf8QYCyiQlSCbJP0xl1xo
coevqZ/PyL77OnFo7mVVdyScGYVRZqMG/GOZIOSyWiSZJVl4Ppf6YEATRi7PRaDWeWKvRkkmxZKX
tod7P/bOs110LQMY4FBycX5NLTkMI3TOYmupqbm1Y9/f8Kp9Fk4+78eEKwETMyt1AJXifbnmlnir
Iis5VhG265SZUlOjQJpMu/pFFy8JcKiNS+/kEbfigqiGl7zDJwQzY1OO8482duivLYzWL2mVq3U4
YTBToEbmS/5YBm45iVO/dij1kmVjH9dcs1uZYMzX27ulNSd2bJw2ZvroDJ2LPv7SqquyYzXyxodp
Q1nmUGIwilDxKtccdlnvEhGtqdjKQQHB3HrKK8iKbWLek5o7Bqein1bdIXZ4Ubkz2/zL6ApOsQ5T
PW/QyIClB2PO/hYiba7OUC3bThVEg8OsO9eRZPlY5bolJUoKZhVozo6y7rtuGQkG5PwNDxYewrXT
K2uqg5bW4aub9/t21uSOKvE/0KNpmXS7Q1bUyDgcVDbptMoUWZJgCR4g55eEPCWeJiTTQ9gPLeBZ
Y/CJNPd8y41tOOdLkECBvEzfLmxVlgIt3rT9MGzpfnwqpYJFkkp9Y9cDlDw732Xl+GbyjX3KZ5Ee
Y1d8qxC4l253aHDwH/so/QxLlyYsfkxJyt2DewUCCcbiJ1ydWtBn2lruTXzJEgEBHfnWaiZ55xa+
xkg0DQ/xEiyg1S4c6wNjGKrvcORHWnDNWuoiOnCnSOCC+qVtRITh2k1P4us6el2+6UgrQHDWSdcp
oJiu056wd/zAEEVbipU06DT2j6TQ4ZUOvLwckQ4cLl0/8sL0p8tCnRaws/NGapsJk2kwl4bnzyRt
3vNYICrUpv49iek1FasO2nJSS8umOxB5+wz758rol7d+Lv5WecIjyHB3jxkWC73lPaeQxbkdY71z
+xIKkuVuyczu9FYnh5C5L1qm20d6WPBWILw8u4z40lJzD1QYHTEhFHvXme42gtBGDOKNzRipErpR
MvQ6P81O8/OJGfoAPiLg3j8fjGK6kATHWmAvh2gcSeLmAGm4oaogJES8E8usNlo8HToDyLyKrHer
by66YAvWm/zeMaPiVRyMjT3wnupa9Gw3Vr0ziacUMyYT3OJfUyfqYEhzFo0SUtP0JmVR7XNIyJtq
neKSMDpxPTcujuYu5Bt4z6NEsw6hCn0rTLg0FfXJ0JR7KDt7uZDqjf2BhoDAc7T5PCZqOU9tGWFQ
Ky+LbWk7JsjvuRPd82jIftjD3x5E9kdprSRNmBS2mNYpggaO3MzU1vQoGkWe4jM72Q2sIhMi3ZxO
Nu52wtDfRg7a09IkLgndjq4G5teNBmHCB6ZHaAOScGBzSXsxkYK4ZU/pJq9idYgIgu/Kok/wA8Mt
T8xu8bkBd7RTX8HqrUnJVw+XyKEyOVSUOsNJ6D0eyXgkRZf7FI7HvdE9mjEdnr3E8ZhojM+G2Ykb
yM3ntDZKDt9e8cqRclfUIjlYfeqsmCdsuGARj1IV13RJit+MoX6UKeDVOmXSBX/+InPs8Gs9UZ06
JNEggzi27WzYe6A/cpHj6WOwaNnAp1oXEuFsto9ZucwPqPeFE9/44FvDQCIiGp1+DXP6zwbzPZpk
EfSop2N7ycwnKdTPNDE8pC7UI92hX9kik/GaJQ7zSDzisZZVOy/Oh5sUdn+zB6hekM6v2KVzJspC
H5jqCHy1BK7G5zDvttVQCiLtL81YOWcOFtIv2CvxRONKM9zlNY0t975Wp5syw8cfqSdYWPOdVOkX
9iuHpZlzGBRCe5OMZXSRa0F2S61YUNSKRc1pmx1FEfROxR//vi47pjCijHWMzlHbHgiNZbR+GAfs
0PY+TLj2lW6Jj1YjpL7xRisMoBAkvhd10WmMFCcda3qbOu/S6Mbd6HC+ZYq8SNV+2mtcXRHmx9ev
/67XOG232DAnp7o7hrI/l0qIvWc04jDCbzcGT4K475+jKUmv/z4QUV85ME77MM5VLRp2ijDf9+CQ
MKyH3Qv8WC0gr1M8gYEifSHm+Og1UBuWQV5nFzZgIUwA1G75Sx/UfNYdqqG8ISdrU5wcyfMwMdfc
DhmfhbZOPLAT/Fsax66Fl9Ow3iSwVJV4snmQrrPpPfTw3JMkOBX84x0mc0VYuSetmYwXKFK5kXt8
3Y6Llwp7PMTTJphysaCoa4aPoEd0ZRxQMLERAjtbUGmkBW1qLO0AriOTfbfwe1EsO2HbbtBmaq/s
8Q1AkIZKiShkoRpfCb3v2oiTfq0e2pQU9wqL+FvsXZD0qm3lFdCIHRjwjNe3DhwwH0xBRSSB15WE
46q351ziZBO0Je5HS7j0B2PKtWpcTEv3BqGjZ9rBdTrrvOkwGQPrAb7JsLtNZdl/VVnFmlFmz/E0
Vzuhee07/4FGD9gaefnZcLrZ0h0xM4fu44NG0zdUMSSQISP8CZ9ZvrQgjRizpWJbJXO80+KY430T
GsgA2B7qTNsZOLcORldzMKnTrRTxfFFhnh7q2X0uUnM6F+D9NlO6Xh7ASexYEC8cdwSn4Lg/mLL5
o+qW4d1qg4vndSxMqvowdAeOMyRGqvkAP924RPVzaCu5NznhriDhvRGW0XkNuNmA487D8CGnPL24
yqOmr4muhONIqdoaJ4d5tTXqVbzNoO8x9JrxeENqXHiEX2psffhfYnFoTSso1uD/vw/zzIytRA0/
Vh1ARwabnEdSt6Z3xqmJ7vWw76GLx27JTB/h35fl81Jh7lXZim6q4G2ERVSc03x51fQacSGslkAZ
BrmkwnvxZmGiI+FMm2vHeZC2+zUy/tyM2tS+pFPBB4gTJCHHV935tZhQiqZK+sDN5EkpDjeOnRNW
VHD5vK5x96ILoz1Bnb0H9e69MrXfZYSipmdWtNGIrwJWygJa4ONLbZfGdsi717nSxNlTuHKzMFy+
zAFWgZXV7DXNeJcGbzHuV/x/W8tLot+G3XLT1FPBQpry902YvDG727eKHRTYuPMjTJfwkYcYzNNu
jyoqjyhnX33DI14lnnync9raDpwrJrYpoqKxeiQsnkUpbkurLWeTLL1HE71PntC86fKPJy31iL30
wzIZ5MUD1h8AC1TSiFj9LKB2pNFHAz9hhcbYmyXJ0gBaQflKws3mWay3XuGqF61Wl1mG3RlUg286
C5uRB0N2TrsMoQJ46VIyrWLhHQIdYOBhycoz+RW5tRZt2LWLoOAwLZx9V65LLS4h0mQcNcOuB6lq
+CLqfnpmZ7GKCAJ/ZhoQ/FO/jb78dO33FjfrTqvUz7ocl6CUNlsq+9jYgM4Tqj1FvIGHIjxbfez9
aUvnDaWh2mMBSbB/ePo5WeRzVPcgKHLvqUwrEn26/dXNenlwMicmf6ENG20Y7XNvY+BK6yfbCIrI
M5laOt3WIlu/S+hW93UL9zhqWHp0lpmUoCuQa4oe2E2EU6MZf9R2T7Ig18g6FT9S2mUuzCVvlhtW
l5IQXEvOOJhH75FqWUAqiTnsAIg8nLZY5sNDZPAdRx3nfaSCM52jPflHm4O7Uhf0QhcfSo73P5zx
3kiEjraDs1JWJkGHIbaOBDIemYRlQUqiAAS8qCJ6yqaa+DVlN4GRSSoJYK9LcPjblPMV/9zsS881
FOKweo2ZBR+nlnZzFdVb7IHzFe7LmlrBtSeTyj0YGBvXKvmkqNub62CD5uzaHUjgHsblXYmDWk/4
nRs/hRpSozHLdG/WruerwTrHabhwTInIeGukBdApwVLG1kebaL9Crt/nztm6pnEaOp0xgwI86PU9
iAvUm5yKsFPUOjh3SgytUWpUxxmmxehwIJYt75Cra+Pes+acfSc3WcZ7ABjNdK9Sqisc2dwI9JYX
vqAjkFKaPATQFGTRgTk5lMOxeo9SL5gb47kckVKW0dlUBeIbKAb4xMtckD/lnqts9e02WoKDPU72
yVSevMgkWgGjHC4sPOylfvuH2fp/zRq7Jr8aquH+dv8fVOtKDLQU+/2fYWPXHzHFukSRmx//M27s
v/7cf+LGXP0/PCFM2GFSAAizPNBh/8kbc4z/sCXcMItuOYu6XOH9N2/MMP5DN0B2u5xyTCBgHo1w
/8UbE9Z/2MKCN2abhmGbwv2/qtaVlstn+V/K5f6RzuiNxAtsAz5z/rfuSKOf3akztGlrz5QkUeHp
0SrEhxEJ6T8/tGma+YIpwoKcf8xU9xK5RXGxkw75IqpOmmTU5yJYshDfGbuLoDUIpEeOuBocelyg
oTc7rag3/h8kncdy40gWRb8IEUi4TGzpQE/KS7VBlKpK8EDCm6+fw56NomNiZloigcxn7j3XxZs7
CmutGOTd+QAEui8U+JCWsw0TYnddVbF5zd3a2T7ANkWa/f3v7daSHF5rxOcUI8HpJjf/5c7DE4oz
99jhIQxiXZ9KRbhKjdoOa9Dy7T4GQDrFMlN7qyF2iuOimOILCTy0yyHz+jHi47gZ3mHGt7dG42Z3
22souuWYmtPIfNd/F9miDh6F6x1R2arKEHP3MC/3Mi0+FgT0B6vvy1XuI5ieMB3sZTGpnXZYNfVd
AyKpcIeLbY84FVDgpBhA9hnbiMPs6xs0CgNhj0NvyT0FnbO4Oq2Yt7n/Wpuy3buMxWEv3KPeMZ8T
7D37KVzX0tO4JpT3MqZMinrjby5QEhiwg7Td6VNZb5iJ9jjacU1UmKz+/6OvMtavIVehkSCCiwmF
wseY/yuIIg10HvXnNE3yjetOSJQHvtEit5ksor70EnUKvdYNwC+ScTan0SY1Sm+PmNk9L7E3IM/v
w2tvsgckJu0tnYvs/B8iZorTt9wXcOeNHvwIqS0PIyjJNmBKOe+r+lcJY014Y/4xdsY/i6RjS3TJ
y+QMt9gv/HrlqfIrTPtnEFflJ2LzoMnpbGy6v93EQAkB3KiYo5r6SVsP20prLifl5mrNc/XeUQTu
ezlW97Cc86Mwu3+V83vUyfwrdVAWKS7vouoXjHN2w0Udw4UChOEDiR9L9wkKbXWhugb7htUtL8xA
j+1PAjph1zgYb0srWnd0pofqwmCq2rqGKy+Va8r9L2WyTeKp1menm788VRCAmjIsZlh64N9anEo7
L0+UZx+sTNfYDusbvnGOe5yeQeyr8RkqjYOKx9R/R1SxddP/K7RmhFL11ipuZHpir44qNDf6ANTx
FQ16DxtQjLtpTnENZYJh6IgaGc0nck+CSNg4H0cnNtjm5PV5DiV75pqrgGyQ+iiZZ3XcdTgi5cl8
/GhIPoBjKplcSQg+zpRe3bL0A+nB1bertjnOUj7FVcNzC+mOZBpkCbkZ77Nau9fOK/7UpPKceZB4
Z0JiGmvo60FfVc6hzee71xZ35j/FOzioDR5RfKezyH5JLmNsZUYwaQY+6BkzgDfewEAzuzWM5zdq
kvIwFpm38URebIVZGGdbXCGUpmy15g7diPxJKfxCUmW2OK0JDPwurA4insrmU2829tbtEDo26Yw/
2JoOLokwaPzGT5ujY5W1A0cHqqId66ydZ4/is10KPH3ReJ08JIFVRRlRavU9J+HFAgk1K/FFU1sH
fW8OJ3wV6E5hqm1QrQsgCWl/GUzztvgj/znL3DWagBqm25w/cVnEmwTQVSNwTXeuj9lmYXPR+SRq
LTI6xlNP4GjJdNoj6nvVmXCZVqCAxt3yYMZRYzEZy/DUJWaUBXabGhh0YPz1Og7csab/qVzj3Lrd
ba62LMspxnCh7Ei4wljSIB2th2Y+jAL5ReKw1MK+xiwIgH6LV6OI/zHlA9NhJWtTQX7PsbhZevhE
ExbkEwJPvOzWegnNv7PbMuwc+G8Y8dELqXtmtbaUTyNXU1tHHuYhvORdnwQ+KGsIZs8mMNyg9Ion
yxvPHuMNHm4QUIjy14lJmW805ylp061r8pnHC3bTSF9NJgqo54kdmBQZlqhHFVGgJxuPl1ja1475
DL6l+c1rcB3lrSdQQR7SRjKYTQirsFsXCeD0i00+jeRUhSjISDHC9TQmU2Dbabuy+hOW/XanPes6
2+6wss3xiwStb2GAnEIm8E9iE7YiiC/DsPzMQC9ULIwNK2xJH5CBaUD+RpwCOnzTveVt/qdObuPC
ai9qhnE/MKufPSgOFnC/PMMPgIAQgYkNiyH5NTDgxJlFOZySVuEpD7tq/rcZEAv7IQ0mgoUdPgXO
3DQ9p4Xxjm2dUV6ORZTgWnaq03EU1zqBro9V6SKdGtXH45GJWQ9mkQZ9D6D2ZZgQ3xfI+TIGfJEy
d2p+DO1jU/KbO6QcNC4RH1W/lolyYHXGR1DS+WpGpLmGsxETNLH8DAsRHElhNdux/q4VEAg3T9Su
50OMSS5fWYW61pGed7oQNf8zQrbM++gPr5P0nnH/HidSFdYpji2hufmY/ocoX8aw0S8FBgYC6Sh1
Q2vNM/gka+g7CyKHdRGJ175a7jaoeNvXsNxTNOkq+s0G82npokBHFOBRh60je9hsZHGwC8s9IYqi
ER7yo9eQ/TFj9NtUvBu7vkpYhg5msntEfWz0qJ3nKMxMxj7gEtI8f2idnPdicjbU5sO7B33UdiJ/
G+Obhl2NoQWENK6i9BfDDVJWndrYAcTJwNMk5XXI0WwC7Yj8Qpy72O4Zb3XHHKeGXdW3DDUpM1V7
i/OSVHIU63sPfxxznGZTEQ4aJKC5NqyLmGjJ8VeJiTXwY4FsEEATyu22t/CuWTDjEKyyfe6voRqZ
tJtZ4Ew2C8LG7p5LhGFh3/6pXb95dm0r5uZnTFGHQDOyutwNBjI8xDsL4+o0gX0A+CyHFhozabqO
Ej4a2peiF/q9d+/TzJYgL+shMEM07so2eGcfezdtF9/WoL7wpA+7UEztK6l11RST/BHX0xWVDGmR
TbFsxtGG5GQe4pwt8iLhWJdYpY+pLX+bfeFdsC8FGEyoI4mpu5uFB5mjtT8ZtqtghoebmZhLdNtx
edISreJRd5QlJDpZXlnssuyhAzLxVWXESwVRMnZbz+WxZUF9dRgmbvxKdUfZTWrFLtSLve4pSbT5
xIOBjMvQg/GJ9fjZlOOVQQlu4mkCBYUlUoVkY4xC14Fn1r8egQZHC7jICte32mZOx1w8yi6kYsGR
zGdFg9VfcfUkt8mDIiApmo5dYa4pleer50Z4MuzmphRiNjAAJ4uv/OSHu8gv1bFTE+SM3H+cMx1Z
DvaQIBrqjEAMEiOYoT9IC2UPbSE7wWt2V5iLuFIZs7RaQl1B9NvKqXm0jNPKwir/IcLQXJnRk/Co
mFz51+u0OEVwEM6m3Q4H36kYgKTJI1bw1ehVdhDYfHeFiDZF1mDOa8Gjjw4uBkAUz6yaBp58ZP2Z
CNCM431zBrUrSdRYM1fXLyFK4YwS1Ury6XV2O4UpaMI9DPnBMSLzzUclmekiPFdDe3VHdB4w1k3e
sZ5tBBkzVWEbp8jEX4xi4FhJdtSMmwDBRmDdsLx5ZE3jqyWBpTk6j0IEiS+5R6HdgC7qUS5jruP9
NPC7KlAHS6MAuRqnpShZMoziw515vBiAt88RqT2rJC4i4jPLFHs6W5OGzwUof0Rqg1k/z2aBFM/w
VDAlR0QDOHpGfutyIgDA55QQI/xJ720oSn30H2Zfi0TF3FJ/RoJljsDz+wPwlPtoQvoHueLulgjN
hO8T0srWMVu7/fQhl05jbKmqe6lR16DarndYZthVJda5I4XO5sljxXTrTQqeKDb3Zjxhz6uNg8rE
eC9dd97JliwIWUcXYia856nbe32qbzbhCuu2+td0ZLZOBcko0Tvtkn3FGkZgTCYvc0Qljj66X6EZ
ZXvctMN6cEi4NmGYvEblS1MP5m6em3zvYD/azm5vnNEXpidkeMWGVmKXujxVWIWrTdHQzIEMBr2B
pYFAQfVmW0RK+7nr78e0wuYb8QZNEsDUwAKlVrfBMNGIZbsUy+c4x0EcMx4qfswWaEm9aP5wORwE
LKL1VLo/hvNDQh2Ouymbb62q/kbxp2lm713Ih+HG88zwaZLQl+yPQfivD/xwkPL5PIcXZVbI7GtJ
ae4uQcIGn7cne+mM8SMj0WkdhjU859Q3t6ns9loUJx11E/z4gA9yHRWZeMIg8i/1SBQDOLmZE/ml
bU5fnp8ZtCfmDxziW1/U59gHu5VG6TWxyuE6z0xuCrIACMvKi31P2OF2XFznandqRnTjGRurHp+8
fFHvIP2XDygm6V10s7cZ3BKbX8omBjEF1lvz4gOPuZegVFYG3+OG15xft2BGWmRvbjcWl1ANR7y1
qN5I8N0RcxeSrAjQQiv/vcQq8VSHaYDOrNgOvU8xigPmALxPIWrzfpt0/zcPPuHiTCGcnwe3x6lS
oGFJwtZwC9zSPluwIrZjW10f2e/nvMbz0Dyeyb7zD02LzQ3qxu+EueChEvV8TAnb+W/hYqW2fzYA
ULjkNu5LOjJQbOMQKKe3do6TXLooPerMzk/ANAOP4Nctbv/63pZLYEx6YUk+BAUGmaDwil3OLuiK
d6AE6JHkge17rGrgtgzYCXIX0QlHjbfOxtq/Te4g1rZCYKdRdl6r1jilJLjumXIifGhSnvosyraF
K/OTOciHFrEt9uQEX2sM98ccy9h+mKSLp4WTJIJAposrDfPACUtfOGtYE+MDoTpL2K9Wn28z2Owr
+UCx+YSxiwHZbCni/k4KyZY7GSW6q06VfiyEYu/TleVy5LZbs5vpMxxoFilzvhrUurPCfG/O1Qd/
LfppUxG6pLt7GWFscGNp3ghLIiJP07K0zoJcvlU5ecEepiUG3ftyLIO0R3QdJk75MkYc9RBCUTcR
v3QRqnb3tej+wV2iS6XZ8IipdcPROnkyqQ+Mu4MBOv1x8MpzrFux6qVw135nHDx+30rps3CTYmM3
MaapMg6KmSGOmDMspjjNYqh0QBvPuv/2Q/XC1v1s8sGteuLDM233TGPGp4XOkqCZBmteSpxwjEAi
bDziifZzzuS5HkDahjXZY554Q+9F2+F4V8/GO1VWywtQDHnvQZMomvMaHw/RQeEqNlPadSQ/MKrx
/nsEK4jqQXU51vnQbml0SZGD3Ut45Mq1lz1Kv6hwjx71e+5ztIwl5BULTYCOo78EngZdVoSMAxjd
wkc9TBTZ2MyjU4fX2iC579DjGo2tiZCHin1kkhLJa83/hEKoCJEKZQVBVWt42GrrsWdp0fMEjVdC
fR6Ta0J1uVnIfFqXibeRqflLRkKtRTK9p+kcmN6SbHuNhtamULebl7AAA4tw7ltN+D+7zbDoz1rY
hFEh+hiG4c2a98z3rAdtiv4oN04sQn5aY9xFaWZvWgBDG6rIizDjIghL+8eIuxvId+il8FyHPvL3
DD9+cJksbNpMY1WoJdrKqM5PluuQoqujg2O0F/CUah8W5nfVTeF1MGR4zYhGBn3qJVuH7Q1sJXLQ
H2fC2hnchA6Dw6bvZXdxu+LAnDD/KvNMrYyUbHgyDqA55Ut79Kt1SNdz9LCK2V11Fb5qL6lr3qD4
Y2VO42rrIfLZCDSXV6IVm4Odp1eW3w9FqWVFp6wHxyQWdzhJJPo7Z6BRe9Dm6Dfrf56Jx93IwvFm
1qGzNb5sWSiW48lZjNNL3VaKrSW7Exhick26jr/TXc47jPhxnXUOy8J0AFvuWs6uMCZxl4B2I4Ok
chr3HigDczbUFR3LoW2RzQ6bPmJsnBaQbtUnz0xHf9tZXp670MyxmrchlvIsp++H0YOD8MEF8l/h
KN6pcU9sroevSUXo6EbDg4qX67VJbtrzQjA7RhzdvXKRsIDGnKhIcg9QwFAOTQTj9DBIACCy3qX+
wl+8Y18oMbDEz1ZjPMcWrTiJmc2+8VCFiBLcXyi+0lwip2XFZXmcgGy5FaiSYVxlpHMtzY7fDxcH
Muh1qaeFXZUHu5yUP3rORlEAIk5vOszCA8bEVX+EAPqFyYVb3gTd5cewGyG+gnMOmetZ2t1Y+K1w
gtzJmpYXL+UlWv6SqKIp3tm/5H36Idr4z4BQY6NC+yuDV6kjhUzZiuAhxvmpbPtkqyZHwyVgzlxL
xH3g3dHazQ75paHxWYT9ulOAy9zBfa6xfiLKS8u9sm8uPpNr03ZADnu2fegfuRnaB/1nMZ7Hdu1F
sIp5knYD0o1dU1ZPhXa9G470aYNFrDJHZ6Ns7yk2UWGSBaLXPKb1yfbQpjbU9yquDxTPCBu7JoLq
DLRSUWAt4DT2RvtteaQAIEmFETEkr33LjKfM2IyPiXOTs8TWEbf7pujiQM581914yOmKTpnRiTWB
fqy3oblz4i5BrbyTus1N730kYLm4WRd7t+AQX7tNG38ZrruTtn0WjfmbV6/chgtTG0bO/rVnd+qg
bjC6Jb3F8aHkXEKuDKbdbltKOFAvzZxzt9heta5oX1eVL4IEYx1qgVf2w9GFoHGSfcrxPNQUdm6V
l3sebw5VqkCYDYa77hox7cbeh2+oCEQTrvdjM3bbdV3+C1eSOmRzSTAfrIGqUv6+Wq6ykdcmaqAB
Vpm5QUmij7AOMZyD4cL7OM+bGW3LXHXXQi/OyvXlZ9eQV+o52QfVe4Zd0EDAAdc4Mf9IMEnbzmEu
aPO5RtTBCUTLOPQCUfPIYB/m2xuzo8sSbZ0hiAO6AZRNMOcJ3SPwvTMAHrRA+MNwIRTIv6jh8rk5
5S2OTSDSj8J5F7r6bTJqAzcHJvVqVKgPh+ElHkJ3V1tP5YD3nZEdslE3xZRTq7VOHixHUrZQVh+K
fgAebMptO6Icxx3ATlu2q0VEDLPj+nWemcowqXjnTmCXKxKyQWL3GdvgOfIWJtO+BhfnQrrqe14c
HO+YdddzhcAsLLrvJkztk+H2bzTgaBNcMvH6utoTXUTU9dbiDWz04O0bogUTeCvsJPpgbtActDwj
BJMdZyPnuOnUuLtwsE1b3jbFvcdB4OfySDzpDxmnZHJGy7BKMXitawsPn5cYDYuC4YP+CBb+4Pxz
KlzFber/LeYGjdB89ABZAHHIGRYurbdGcVVvRJzgj5nugPABgi9QmAdtpbt+gSwGi3xX+AyuUrUT
DsYSwZhu7r1fjvfwint/J8fdz4t+bxyBYIB1VNHrUzIgy+A2GFS0lyaOhVlLEy1pUqERdbNVMXWM
FeBAFXkAwf4cdvxW0Wj+bh5uqhj4AgqpCnZXjhY7FBvPiPfJomCUUFetQCg3IqwQeud/GkGVj8tg
6RF0iAyDm+PGewi1Qcoq6DmOzbUL/Rxd1l36AP7KBF9ndJfANM4WpQyPRPVTJ0sJsIA5BffJpzml
R6/go6+bHTE80Q3kDEFbrbggsEURayRs5f0UK9DwiPlh5VYJnoRGMSrMHrk1MJLOtdTJWsZ5h9cT
2wrjJsav9UDrkFDfkRBueM/AvuaDDr+nGbQhh49UbLzMBP18NpLxV4QMrHPPOjVxe6WL21SMvNp7
ZLQScA/scy3BEIuK0b3TUHOl1R6aPrg592EJw0mZWDiK+IJ3kOVx1GAAdnzrEjbxJ1h8Re53Zgel
7a0EfJmNjIz3Morhtk85MYRmvW8t9yPU+VdX6R8BKGoHXrYlFaPcoCKErzweqmz5w/apYXoBgtWO
5D2ujPDuv9ht9/OYB7wm0AxGgIvnBHeJsXQEshDUlpJ1rVFeXhvksdS2GZeE1aP/Hphx9wIOuS39
wHaXksYKWIjh1eXGLvKvGj5yMLHsCuJ2+SRJoTjGQ/XcUhGiLShWpEH6B9745xFwy0UN/VYQw3pf
yKnZoQDV29AmUki0U3amDTvWC1jN6oHdJczCWddO2hIUzxKr2vh1VLyPug2PXPrNJrLxrsYl6XlA
EbJzZyyP//c6KEL6yA7LNPpp2W+1587bpoi3lKnDLiHkEH5v+YzewTnVcrgYiT+vG2M0NhXAtBWC
KXCHoZmgA5nvDD3CQJpGttd9emI4v7zVhPrWSFADZUzRzu7C5oNkuxKFsiH3iUbOGMtwK3HMrZST
NYfCa5cTjxFZmI+oiDYrN/0EyqGwZ31JE7DDkzP6aDwGpJpV+a8q7WRjth7Uvbz73fn0vkWLK/aB
lSfLUN7spnmCaj9wVRL703idAC7iwe/ujLfZvJR2G3/nyNriAoyjndevU2Ovu05+eo0+GhQ/zN8z
zvqwyE68EeahJWyy5wTdqQmjd6ZdZlpLusd8Roq4IlGQtQ9bwscioyHwu/YVmTPQiqOHGNqo+fZ8
3Atp/suIrEvEpCOjNdtB7mn3hVefIVleegus0Qx9PjCXaMPaFO1J3x6GXmC4ePxotf+xeGLYu4mb
3LRgF8AFku5mK01vNq1xwxrWSQFuZlnrbKmyjr1fxjSoqX5y/HgLJrvZ6iyG+zWi53MVH0FnsOLK
Hsf0DLiXC6/GC5nUP6QlAGYeINiN2QzqGF3bQeSR2McYIqFPJmQEWPYNzsIzgUgEDGun2CeZjYiG
sR5vIyVDJwaHhsh4UksFWhWDeAF0YYUMsQqEn0cbJETiXNXRB2qC5N880VYz1SWvwqpJakjFXWOy
2S79dOSoBldgiikoFrTrqUbvruviIoVILjott5Of1GfOgHFD/MO0pl5Iz0R/KAsnm9V5/6yO0HiV
637jRQCWofcvFwfzrV56Zu2PHKfSXOUqTxBFWkygPeOMQ1xgTn6e8y7QPUuw5tEQWZoAKbfu5cVv
qA2IwX1aKis5dpb+5hS1TwpNeIPiZi1Gxt8ZoaYbEvvenCIxnxrmDrmSAbFA6tQauYkNBrU/4Yfq
HCdZ/+I53Pphc/OVR3udMW1ASjRd/vsROg9GB+Hag2Gb29wyx1vpNGiNzP4yWplxLDioIxx4x6hO
+Qj6yUVERLteyemzRua4j21JreS0XJnJRtp5dcFReEwwTQKqBI1V2yzMHqPdzkn8AE3p1deFyaPG
a6LNytk4UB+Ok8HUlhcbDEVs7HuGJDwr/SsS+qNDa0FfK25WPA6Xpmq+Tfh07tx0L0Wn541yUn8L
PPqeJMiwvYbpfpUIE3nsbH0ijliDxQoQXQwfMrUTXGGCKbmROqcUdzrO1AlDaa7iXRvnsOl6Foo2
T+bJIfV7FcXO79lfDoa2ftlsfVA5J3+y0H602gwxDB5Fy8/XMlp2OHSuQE7kthx55wYpv8iLfVI9
rDDmR58dNFHoP9hH5S0h8ncVDsxeKg6fYVpo7FnPN0P7m4YXheUT7LCPKNlXbMtXwkFuTBm+rHE3
3VyFwQc55m2w7fcZyOIqyjBBFCPy8sHo2Y+K7Byl1Z08H67WiQuk9EZ40Oz1hhi6z5QGSQ6wggNI
Uo9FNZ43J95JkVHb+x5LnT471j2jyLQk2atG4rBZUr9HI/tjZMLCDQnzL2JNaWFvQ3APzKEE+qqq
5C+j4LRzXp1Bv/sEuK69uPsry/DFYZwbGKH4rHJXQTvL1mUMFqUTv2FnYPenl0RQbQJvYXM7EZuq
WvfvFJM2RayC1OZnPY3fJF2cQlwvW2UgD5++lfcGnK3dDR6GpaJEVDBTbkTNlnPbgFi/EDW26K+a
QCB2YisT7+nKBEi/mjw6+dpg8V2KEwwWxnau3Ei0JI957L5zu/MMGrAYeQAeTAT86euFj5R7fpN3
XDbYc8ZinLZSLq+PBCrEmOaFsTWktEqyRbSr/JKl5ltlwStnCDPUcXihFjaA+t5lwhIWNBgJF3hh
ESTiaRP9B2uOZFuX5vNCMKKZpR0s0ugoXP2hiF8Gclg4Dy0zU3HiuMTsSsal/QF0zj2xNT6MNn9H
+4FrM35l3/WSdfLJqZnKR20PRGl+sSJyBoHwURgk4pdo5etoxsSdPi+0FDWaPyJH8FosjnmNqXcN
tBlR8YWBmLi4CqAYYJAI3A3WltHCIsXpsjPxsK6WeknWy9B1iBQflaNm+YnQ9Vr0nFomnCyrpPRC
CPva2n/ytO+284MpGnOKR614S+HPKzf2d93gfoelB7rDduEuN9Zr/+DIqzkSKyF0FHQO23d6znUH
axR7GKBgvjJ2u26+0hnp1SDHIAoqeW8WTrxJYJ7JJ2831zxDUCBfS996T9FBE7bOLp8EWb53u5l3
iZN/44iin+JJWvnAsbaWbR952fxdGuEE5y/g7/Sd34l5ih9dc91klyxbmEOzgNad94hg2DC8AUAM
rRYvMN2ngIDtAofPpojB2dj/kjiTY3qnOJ1whrJcWhtlnQRRPydbf4or+kr9KVGLrccY440z/WhC
w5i8lPy7pb3CwXNXZjRuJHIWEHZ/4Jpf2xiplJ2Zt773LhlovuG3bos3BGkfrpl5Zx4aY/6DR4Xd
uEeEA47Ybwdz/1o3fZAZzW3Jl2ivvOK6+HQD3kdYIxMDBDUzPm0/k5n1j5hR9IREqZguQPwlep8L
91qi1lrX0URAORFPrhe7G0cz5Oz9CvlFPm00YSorc3jtRLWWz0tBQ1mrYz+DlVMlFWDEzQFNDTHG
GYjBy4y9CksntPUFWolWrtpRXR/zxFcU/k20Qx6NTBylbwvpajCzbodMgZg1qXHVoE6tUN/EC7J0
0VT/0gEWwTJeCQ9ivWzx+Lpj3G6mAViyO2L76bBGF7HVHesaaQ/Nz8hu2ENUpZbk4NRPeeiwYnPq
5bEKXOcPi0yORGhrLXQjAxiQUxpDcUwcDO8wAhKSxhD1IRhwPmJkfiMhlYgwX9BzXZYHfI2Ec0K/
8GsHfo3GXYzvtZcl7HQ6BeR54mmNHuXW8tAbif1ErWS63cP9BaHw9N8Ps42t///TI9J+jOi0u9K9
hd2AVXjGaK+pvgTsjY3fje1F2eMzOYT23rL75JDk9svEHObuEDZ1d1tWUOybaj+NLxnrrSA3udvb
yrbOxHhuh8USz8RQALddgOn2FWXX4LmP4He8s4n3Tc4tpuElvZh8hOtxrGjJgIXi6dDCeqJP22oH
840ROte0Xp4SOZ5l06SrRJXAdXpvPz6y3pe525LZ5YFNfSgPIayOCxFzpH+cIZfcFrojYmoGMlFD
ltRFAb0ktOctUVfu2Q2IiD+im9pKEc2BHBm7D83Sg+GwrH05N/YG6Y+rOcpaSep2bx1br9pDH0AW
iNNwvIUkO0wqrD9ENqLp6KMD9LA/hSgv0iSJUfgE4GCS3rMWyq5uTAgIFEtjUyeKww/6wx0yK177
sNs3rdMcMBBsZVkk7CoK6zEm5fKuSrhKk3mECTFcw0wVPFl1Bm8VeoJCMw8GzT76g+1fbZOAvsEy
B17Q0xwvE0qBdNxgXTYx5mA4N3yTKDFs9ZvJmSQAJQTtjoCjWSGCxNZmb9vJALk1A/h2lbXsp6EK
SjPNDmS/rStX4nrxYMtBAjcpoVHOG2b/27MA5KAWvIneemDcxIW8dXM3uCIYVMOg2p0TdhxIlkpB
vpfnUxunxs7I2n6PmdQ68pQRJUd0RDvpcxYxenGHu80G5UYokrlumRxsGANbe5ossn3dMiIpKbHP
/iKfvbbVV810ZEOK6nnmr34Dm7gn3bjFsCb99eJBP3ILBDAm5V3yQWipf/V4hznpvXxbhxbLPERB
GpPgfbDFV1m2AoZQDyChm6+aqKatIHVw29lYiL1yZHsOVVDM3TGuRQFs3ldXUrFxgZJr6UIW5DVV
9rGZCM9GXzMqIJuF0/JG2elCjZjshiQsb7MHojUaDHFQ1ShPvopRB4VPOPfUS9XJD5VP+mh55aVK
dftamaY4Yf/4cOaeUwOF47YXgLCasEuugMiBMMa63/VUl6d6ApC1eP5+sv0/pmvab4W/3Pwhab6T
lmUhhGUlbRI1QX5dOrQoeN3HdJOMOgJFWH7N3GQ2TBWfqfjiFp8snD8zG2uhCWckLmeCwHpST+aJ
bQ/1z4/EUgnJNAKjX3LCJv29BeDMaH80A+QXxAyXrFacpj4SDCc3AIazgyl6eiwZ4koq1apdWM1n
U/FOceMeUKj3YDwgCnRQd54xQxUMn2RvFOthYKtfKQaEuLnODmmqgU3kUv4w1xP9lJUdiUXdNO8d
Wqy8je5Jm6C8sp2dNoY9MDvmztSHY2JvaiMYPHGP5ro/N07S4ZYaLpU/vI9O6qxHazNUGYdbnvxw
+Jiroc1/xzAeTtYhnnXKr9whSEBFWjOoUnqedkVO5IX7p2kntffjR4jvOzQkEkMXZ6+d1Lso45HL
FJdf29aJ0g9eXW+V/87dPvulxno3ESLB7me0XtxUOlt8cDZSUryKGEbCu2Gyt2ssTtNSkNre8fr2
oR1TgZAeQAUBbNPKkK30+bkJC/ec4guixcpbrCxRuJox0D1n+adI3g1GnjG7lWcLUB1hChAKF9vj
0XfwURDgMnmOt6WASAOndJBRe4C/y6KFVDTH9m563FrW4yGMO+pEGMWaJqrU576X9O1V62zINHHW
NiKgbPStq4tm3o57crmiJSAkbVx31SzwnG+Sro6ObtWPT6Wr72aWxSc2YkbW36Klj5/dooXJjJWG
Ya5C8Zewl1iImGDjdf3vn1TDQUCPCvGIrYpwlIDk6fxCbJkE9szYo8P8j7S4WNSfek6HF6XtFyX6
l8LW8Znx1FeLsf3YhCpZh03dBaEBom4Mr12bb7EEwO/XcrihoKTVncr+3lnfse7Ua5hJPPbo+djR
MohuAeXcytyS23ii+42KcKclnllWRvrOhIYuAUXFpnGwPnYy7G5FbLyxY3c3MVbo/YjdaKkM4pqS
7KHPm86YzzA5ooEMgZstuMwvuWG+tD1ss9CaiZom/NKOQ2NLkELG4iopLw4JH7g/zQPYiI94LP/H
3Jn1xo1kWfivDPqdRnAnBzP9kMxFmZJSqcW2pBdCJdlcgltwDfLXz0dVP1T3dBUKg8ag/WDAkCxl
MsmIG/ee8x116A0errkK3rJVfRO26ntSz/21P7Q/Yz2rQwtk92ynSJycKiYgQwLRARvgE0ooi0OZ
WI9L5aozfLz2DP760I0O8vSh2ZuTZexZj3aTa+1CYlEvZhrrk+PG3/IQTHJoZRxw5yW7As/EHSG/
2rRhNuXMOSVYa7qC8I5oJABuMymV7s2sh1oH69Ly2ncXu/YkKoJRqvTVW5HTHdQ3QZkeKJgeSRY8
d7MDpIni3+dHy0YyAmoQniNiyhBTMlThZGul8rosaQ0MHkegOKy3jDYz5gfLY089g9nWpV/Rgm+N
g6NOYYBB7IsaaQ70En3a6ix6BP7FBbD5SvDqs3FmXtrtuK8MyWrrlAnxElH6ZmoGaUyCC8c4E+RL
oBYpmNsRwDkKB3UQht1esa5f6S57RvG+HKf+oHM3+97Z9FIl4K6INo8AFhyPzyw5UaAWPgNvMa/M
7pGDlnwKdHcz2AHSqL51Ycv3KGG6/o0YF3HJcVIMhguzOcUZS9dsvHBWf2Qgkz84gb5mAeiOsXR8
WmpCPC/NalwLCoZBk/mzFhUZJbH1bCA6WGlE+PaSXOCOy4Tcx4r9rtUKJIf1biQc5201T0/UrxmJ
E8QvIMPaoqtg3fc5RrpyvjA6R5VvLsFO9dg7Zlu/JFV9ETWiWFf4GSAc6YMzpIM90U6vmRE5ZIvu
LFHjLAbrEHOp9guG8l1uBO2W4KkwIo6QHD2rDI4uARNGOtjbJskG0iwVjy1gn2a2zQvzbTjAmgiy
apLtTaa4U5McxLak5K834fWYg8du/PcC1x+e5lnd0lbgnqHU23jLKhAqnW+zis9LasUnGgos/hat
TahCTN97C62+VUUsZJe66fzbAjHqqoyqGnmT9Wn+2DcQosHZnNgJ3ydHHkFfl3sI4HsFNW0X9M9D
2RdHrwuoW4v5aE14f2c1zowmQXOH88JAsAu2oaFfENKxJEiD1BG7gd7WfO9CA9nAcAiF8Wot/evY
KLiMGhdLkhB5lNkfDiSfE2zyCbp8VTPjXlUs0prvhxTrQJZ/S8vyrMZbs2CIypwv35BQgkNQVgyP
2rSFdsbJpPC8aot66p6ViVQam7lQ/9ZS5W0sA1aWLpOM3Hdz7w6IGXWCvHaibogkfLNJivwBpGRg
if7JXaaWKGtnvOa+7J+AM3Q7AENqTwTm5IBvz5Xx6toMRmzptyeB02INv3Y7j4NHOKwDKHLmqpGU
Wa++rkcA0DDFJ5ruOI413KAMiicrLTJHSzGoxNjKkZizmyxepevx+E7Lxh6nNdji4qC8K2cS6IY2
ikV/bKmtrQoMk/vNdfST0iOa6oEma04FAb2tCuwzY9unNi4QWIwfsgCJVmILzhISla3AvqWFyK+L
jdeMrHcdizvZYkcoS+RjxMv50WIVT9PAgI+5PXmTi9KR1QTeXVs1+5Sh1U4g6KRFhjR9ncZdqRgN
DBQLdIVBiW3NJHy7Te3xCAwtezZ89zBVhGU3HpJsQRb4TMyBSvZa24DrPJrHYbKXseItW+HOH6b0
KxYYNWcX7RNhpPCAFfV9kY9I5Q34OjhGgB/1pxrx9NHvpq0xuqAsgk5tHbHMW07P7rnBI5Y5QfOg
nI6+XJImv1gdHrrccQ4pVtjDIkkTxdbkRO4qnrWcdoDPeyQ0uoFhjkdfjtOpg75/9hHuMG9AyxTY
ZnLWCZPgWZnX6eTztmxkej1n9sCaOVpo8WRPrJNse+XVuDLeTTVtIBwZRKinV0g/OwSthTh5tnMs
YeOcPYvAa8+OiTE3NylcbVu7iGCM+gmo2XYx5jDyQxITakZIt8vQdrdVyMBFzuYvSIwoNbvR2A32
+BLi6N8oYpZOgdm8xl3YbbFJwx9B7ooZZSqMEwTGXTk+CY6QQCJQeNZe+ZYMJf3nZnpB/0RHvSHx
UCEJJsvQfclQbt2EKm83UNiZySXJ/edffP68LOl+hPyBfScHyPH9sclb71yFoAAHBgewqba5ahbM
yZR7KL12HBrm7/lSv7AN7HVZ62+u655CqrLrqUg5CgrnJOKaFDy0IKkmz4URokTYekYTb5GqV9vE
o9AgDxbQyMikUJVN+WkokvLOoAWxZ2++mvtxbTPIElEn6EXDSRKUnW5NFWEFOzi4LkQEx2noKSVY
M5BAmjRf0UkuQasPukuewkE4W4ayxqMF3mbr6rGFSxUwJdbcmCZQ5U3pWvWV20ksbeuo3lpIGJMs
EEj6XszOnVBymJAKalBLJGf7N5r0phvd07mTSz5sjKkfbrwFJ9Cos3AfTqS62JEfTP1dUdgfI3Dz
20KQFkp3r9oaqYRdiyt6gQwY1YN8KVXb3Xecuz17KS9WwXSmHHvyE0N5N3+3U++I58x/g61HchE5
fB6F29HTbvZQVgC1hMbgHcBxIi6gkMQkjQSv3FSdTxvWXd0cRuGzhtAdCONVcDelw26cXX1tVlQP
FmJNRswL+SsGnEI7e4RORHyuid1eeIXY6gxGwojD+sos0IrYrX1oYaqCku2Pybgx1xXYzEzSPWr/
YK2IFEAO/d4q0h/MeS5BlRD5Y/pgZJsF837OLS/WyammpTrabMZE8FqWcRxp26LVz60bBEUjlrSn
hUM1nwa5A6uyrGu4jKHvodDxW3ETiNBk1ugeTZxnl8+/0Na9eJLIw8VK9bbFVkInmX9m7uRdKUPS
R8+XU+Vm6V02dXfIg+Zrzuy0qMJ3a2mQQtgd1Rc82uvcQS1Uk9ozF869bhgyL2Z/LMbgvRx640TP
9Vvv4ynlgHbn2KW/WZxRo0pyikOWh69TTOhgMfySOmpnDnHxvcf9hpqfx8cyw/pZI69JHXt+NQus
i6JyttJNGQY71LXdWNxIeHtQM7BkMuh2K5rukNqyXeqV+lwEyoEerU9LmxdnI7HrXVauXIKiBwiZ
gudy+KghpAD5bZ0DMGgfSnF2C1WYRLi2vYqFSa9uuEBDpGoJuLv9F4BqOAOT4TbVoLWHBa1olXEm
qI69U4BDomTEfwY2xrnWXnZXQZmge1QQxGPYW1um/cHIaGk5vrFaC/sDTrQy0vJnn5oHqyJlh5qp
2zWsgTVqdptDddPVJCDE8s1RfhUtpfjZzOPBmJ7SKbnEExomb/XQjDN7U5MnlwEi1x34yPRWuzFC
QgIOXV4wUZCkBRHS1tzl4so1vNdWOAaWRGu9rulhCJrXzy4NQi9yoqW6oDKYr6YJEVjLmhTCP7kZ
m++G6JCphsExr93+JV4jG1PWb54CuNijwuKW4kiQ+c3s6eDei42XoKSlvGA1x/4csFubEOpAe+CG
kfOwt2nn39LqfrLjNjkxkqP0LVx63nYcnB1y62lhbQkFZ7rl5KSfZGTg9qA912l9G7diW+ITg2Pm
VLdJTdB9ZpVHVWLw7ttWXyAc4UexWPhBHdxOuVcQgCShp2myFmntESIQV8WxUYyklBTJrmim2y5Q
ceQZqF5RoV2aJmdJ8/vHphxVZKj4eYmRnKnEbTZ481Zj6G40GNRbFf6XuPvmy+yj7clFkqlzIgiB
bqLmexnYushbyNtQ0txJmCkYxOwHGgPdLg8BeU7xz9Genof2aJjB46zxiWT2/JjYiHc4rb27aHd9
TYeFTmazFZKvV+F4O3ULqZbjtYnmOiHxwgEC6PEwT8GMNGR5rO9Q7U+HMGM6jDqDnSChDBts8ZI0
vMWGLFNaKVAiY8Iua9BLXBeTl4wmNFsJNMoy8FGF+aM5MfBwg20/hi64II0waXUAlhOdyrbr7gnn
GQf9kIXtL8Xg/Sjz6Xvio0OA/uANIEiaGiEa53PIrHeZ8OgOBJYZVVWxGTLznDlc9MVcProUkkdT
/IQxqBE41d8FOrfayM+iG0mI8E1Wn+xhjBe5U1M1HaYYz0OQ8cDUdki07gYHBWkhisLSwTZ1WK+B
GHlbtT+hJvb8BllQTbwgubDk2vw0G6b1QCoP7TRO10m1Bn0h8wyL+DyRu7Hre+qkqc4JnJoNwFnt
RiT8dx/lPYT+CYJgBYTemCEdk6bqZ4MR2dCf4Jj6H5N0OV80y8lYIDfHmfR2XetdV07+NSQCjA42
U6HAKKpTb5ZHYKy0sh0ltjaZkJvWT8qjtCaXGboiCjRqRKeiPleQggkWiLS5PNf0ImKxnunytNmy
RnaBY+194b81+jG3rnWIXcqeU1ibZA4xLzYovyifStDcsMKH247s0wqPLWojAdq1VRvWkLtSJh+e
A+CySMmTrn30KwE2UA8MN54MGvEhqrspnR9FkrvcbvZj31YIlNkFrRqsHieJFOO+x1IZ1nd18FS2
xTcA4zjC1qdg8LKPyQQcb1oIiWmVaJ4fuox0o0j6zlkfQQd/OHP2hIwW+4vGbjvoClmsumMi90vp
8mI7QMzRzCNF3ymaO+cRRXB5jNeQ86YqCPcyHwJ4Nleye6H7Ad4eUfMm68g7QpLQbDMBnYa26r5I
qzuLKKxUGuLKJowIjDE+PhSn3wFk4IBeOFAlVXcxaOpusedi7g3MfGMldGAC17hLxXRuGDFsfaqj
3WzQXrYYaoecRGAaw19FkrTTAlaVWUVz8jzj943CeO3fjJrpVeof/GyBL1r2hyFN+CzBjXLYrm9o
DO4aQC0bRULdzmXjiGhvMaCCUOx8DfL8XauKh6xSpwA+L0DLGphM/27E1ZO/fnw1mOhOD91d7/2M
sX7slA7KXYDOMXUXFVUmlqEy5uenoCGXmJXMIYi5sd3bJWZcKXx5MLtKbH11n+iueXIm73Yp8oh4
N/81D4+jH78YlidulKL5jDogPExtemuUHpxTumOlrfz7ujyNZZ1TtGELLGV+VzQJdjXQV8Kse6JW
imbHwQhzCjFlNreHKxxxhVKO9Dvmt7ghOtA/KOZJdjguFEUgUgcyFqJycA+KgJed60PvGyBPVBK3
L7Z70Bqxs2x1kn3QSWOI83PwLM6nWu37IUAS0ngPFe6CyKchsnF6fw9rp985a+h905bgz5h78ZxU
BMyOG0XZS9YCw4dhDfgYvG6jpwZpupU9I99No3rhnC8S734izWzkp0RSN2tzAsKiznnTWY5itaFP
ULXMxjKe8CFEFBZ3/XXSMC2Zu0BcmR5Xmtqa40/f3eR2epXOPqx8HmybdC+oQijrLeFeYU5sI2FB
24tBliOvRMxRkWBAvmi91wHJ9HZvfBsUaz1jR3lwA9fcsxGqk1c9ZMyJ4DPl6LtE/pXZ9yoSwdpT
zbneKJM0S0B3DiJH72EMqyvkPbTxfXY+O0QZBgQah+dHCgqSVllymXT6zqUQW8kCGOEDF5skb3Av
xnRQG5LrPx+athx+MYmNGZcorBASm/m8yvZjqM9tek8sMXeUMln24KVoKwC7PA1QuGsbKgRd194k
8S+8JubPuxfcvAi2Q7KfiX5xPWOm5lLtNiDJh9k3cRDqlVQa+0K5up9rdw2xAj+64CtuvAZVN9b0
Q1B3Bz80nvCFMKHW2U0BG92gNX4YKUo3MtTbALcXqcdH9CSPJGFOWCx4YOaYeJyCT8gM7eAkhfNt
yPtXoyHSsMhGbh31FqTxVzAy9tE27bfBDS+6HEnNXB/3z9t5va+VZBTuENe0H+BPpk4yb5htd7ua
YGCOUuvhlnYnRjWyWt3vlKAvaQbUSOQfi2ZnL/F7bvOvSzjcrp1MiikPa9EgGdwv7KHuwF9buSgo
o1WHlJFeE/V1QSXJVYfIjKeA+Bo1PWszQNKVxiRVTQQElYmLelE8ch4dyCioSBMi2Cgc+PBJ/DvR
m3oBKm3uoWtKAp90gMZoqfYVioNw7F/qWD+TzIlGool/WPGA4cJm2pA0vGTF/G0zKHXgNgm36CGa
OZ3BasVQlWPKCxJVgH1O0AMcqt4BOEJiUUG5Gbd1r9DwF7JkVI73EM4PtjuC5S4T9lxizTe9RlXc
Dhn3G/9FE6gVCSWePmsCprQF51GOrm3ItsKZmqLN5UcVLs+f36/gTzQ8YMohujHaI/ThShrGgzYp
e0Mk4CDY9IHmfR3ZLbrRxYvJEBUe28IaQpswmNvYBdaD3fgjbTWo0MFJkGnMh89duU5ntZlbyBgE
qS5LtabXL3kEDvvJCOpb9ECUli5RSlS+DUOdz90xKUd63B7FPk1ud2da7WsXpHyuLA8lhR4gjtOs
c7xUCHQy2KZZnLINUiqOGYuR2YlXiAgHE91FONiY/BiFfF4MO44/OJR+7stG3vo85NsQMAxJtRaD
bUq0OoCAwbTwKM3skMpVhqwBnRqufraM6VYMZvCQi2I7uKNxKwmRGJYOe+9a6xosH6makVGxLrW5
ePY0m/yQWsweOKE3V9pboZZeYuw/T+TW2Mc3fWHeff4LKRE8AArdAEyL54FRrBsqi3zn94XY21ar
eML7aJjVKVaDjAyT3xm709Psr3nza503Swuo2dIcadmiyvRRJLr1PlANHwqR11DShge5VJepTj5Q
XQNbKY3jkNJRgQnEpsNIGlu8xFUNcZcB0LnHBEeWjnlaK8x8Xp6XVjBMaOvriSJy6yZ0O7LqqAJc
35nNI9HVSb0f3GPOzswEglUeuRkHf8CcnsflIdEMaxpoE9pKkj0ElNpG+MadrIsPw2RxgjpMN9Rk
2GzgHsPOiQvIVz7aS9a46LPEkwSZ9zFLn43Ym7R6dCI2wYdTi17PrspTQNIdBQcpCVCZRhwOMAK2
VR0ZDkQ8s0ChRBICSWDPssFvgtt+Nzo8qb1zH4QamA9iUc6rxrYTnB56TgRVm3QgK/oDgpAPB/Zl
FH71kuU5SSlDCLuh9krCB+yudynskWGoiedCkact6uzBXsv+mLmqBWxT+d9WMLwkIGDFjruB8Wgr
6nbDpXRxU66NK4NrE5tkP1HjwnxKI3TatBHtB56OM4l37s7CjMTOfJwbmvko7rYd4AjkVoj9KQr3
og7qrZGXDPhC/4GsaICxbOYsjHl4ccmYqLyCyGf5mpjDiaHzcw19GI0WGJ/aTfeJkUVy1P3n6hgQ
Wsgp8gJ+VZOVxFGztV9aI0iZaG3GmRh6/OqcCIP8w0iwPPs8BTFF7efzZbEw0Om4LmEhMfSiIOiS
3fpIkC68JjLor12OrtwJDmnZ3+Bl4z4JBz7knus2WmymWTatckJ6Eu14VabeeyeprEnkuIhpbSel
3LRFk3187rDK4CoweYcq4a51tVZwUsbl3W+cSLOGIiqkPMQiR6rTY1iO1OkNlxcdIce9ikUR7tYH
jRoQAljhm5HtsuoYV481gpjZYTsLuBsiXbPSjB2EP3zuBkOtiH2X6ycowtDt7b1sxNFWBuwR60mz
lQAFCMxC223CWU59tBa2W7FZQn+S2blWYEKnvvxZ0mdF8Nmg4qzA2lshTpAAAN2GGUbpzM9N6F/H
jnNWFuV568Ow7pkcLS2PmOTL4+K0OzvInjIXom4yPIOhuImhiK8Itx9VWJzbhv/ojgwPy0QTgAqz
J11WZjLFFaiWbueUQDMh4m4QWwGOo428qyElOQ4k7MljOiAmQg58HHXzuHzV2VjAz7+VZfnm9oKO
ecUoE2UeOGv3nBFCtJ9YCHdTkr75IXdjZoIzUxiorlwpd9xE79VCkmUrO47z+MyqmacpnFxyXqDz
O9xWYwYPqutz79cjq+QoSR8GlL89ybPSy9cSstxmUWzOTTzjKoY5EbFXACqBGRpjHbMlyGEgIxLc
rui2SD+sO6zY7JqciHlYv5duTXN3BYOmjjsSvjEK4svSiWbtt8C1wm3LlAs7JMdp0aTXPFW/1h9E
Y1Ko5ogbi5+tfc3qJ5HeIv/PN9rlzRIaRSFhgYOs9qnXLkdNDktkLjWKxC41toVo+afwu8NMji/G
mOAbGoMVGT8/uu06/539/bLk4175T2JaydRBxTXsejhGUNaJa/mpgkRComBtyqxfAPTxcGHjo3t2
zDKTRO1meMKAEj7EFFgOD8/nJkXjgI90mCuarj6DYtpSDjKAFjyaP713gS+uNEHzCJ/9Hwi9bnmc
hz2wkY20B1phmRHSwm63yPuoIhyOTFmXMKapWwJ/QSAQaGyyjljWruPQFWV+oI8ZcVubsmnQfZqO
CXGUmQQC0QsesZozKOG1PftSO5QEfRjlcD3Y81F0YXuXmKxkqLQOum0zUqdgkXsWm77vO2SnT/gB
AONCm5vY5oueutzgft/3La2eyW0ZiecYK7UGZo6d0twx7pVnixNhXIvD/y92813/53vdzG2Greqv
hx/1+a380f0L2Zx/44du3/q3XdVnPdPTH+388KPDjd399b/49cmPev3qhQYUsPr/2zf98Q/6jx+f
v/lpbn7891/e66Hq11eQZHX1W2qnadr/wPr8fEmfr/ePfkLxxtsaPvjRUDttFya3ZbM6fv75y38U
dQXW5fPLfvjF9nACA38Tn3/c337Uf3QN/vjt/Xox//h7/u4NvH2UNGp5Ytvsvf/tJUA/6vzJi/AP
P+M3F8H74gaObaGJ/KcXwf4SwF/krvf/TS/CP6O+/s6d8LsXwQy/kKsnAtcJf32X1t/fCd4X/Iyh
w3X4d7sF/FDw2f36sv7h4fzfT8Lvvn+eBOLifE6w4p/eBOYX/NnCFh4wXPC6v1kkfm8Z+OPb+1/3
CNiO5wR/bh34/XfvfQlZAzzzb8+5gN77m3UAIrDreawUAVTg9c+vj9yfugh/4ptYVdfvei9+vLV/
/R8AAAD//w==</cx:binary>
              </cx:geoCache>
            </cx:geography>
          </cx:layoutPr>
          <cx:valueColors>
            <cx:minColor>
              <a:schemeClr val="accent2">
                <a:lumMod val="40000"/>
                <a:lumOff val="60000"/>
              </a:schemeClr>
            </cx:minColor>
            <cx:maxColor>
              <a:srgbClr val="C00000"/>
            </cx:maxColor>
          </cx:valueColors>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 dir="row">_xlchart.v5.14</cx:f>
        <cx:nf dir="row">_xlchart.v5.12</cx:nf>
      </cx:strDim>
      <cx:numDim type="colorVal">
        <cx:f dir="row">_xlchart.v5.15</cx:f>
      </cx:numDim>
    </cx:data>
  </cx:chartData>
  <cx:chart>
    <cx:plotArea>
      <cx:plotAreaRegion>
        <cx:series layoutId="regionMap" uniqueId="{6A4B1CA6-FE89-4845-9D1C-D06EF5D9991E}">
          <cx:tx>
            <cx:txData>
              <cx:f>_xlchart.v5.13</cx:f>
              <cx:v>Sum of Units</cx:v>
            </cx:txData>
          </cx:tx>
          <cx:dataId val="0"/>
          <cx:layoutPr>
            <cx:regionLabelLayout val="bestFitOnly"/>
            <cx:geography viewedRegionType="dataOnly" cultureLanguage="en-US" cultureRegion="IN" attribution="Powered by Bing">
              <cx:geoCache provider="{E9337A44-BEBE-4D9F-B70C-5C5E7DAFC167}">
                <cx:binary>1HrZjt04tuWvJPzccpISxaFQeR8o6cwnZo8vQjgc1kBJFElRlPT1dztdVZ2Zlbe6GrgN9A3AYZxD
URw299prLcZfX5a/vHSvz/anpe8G95eX5Zc39TSNf/n5Z/dSv/bP7m3fvFjt9Lfp7Yvuf9bfvjUv
rz9/tc+hGaqfY4TJzy/1s51elzf/8Vd4W/WqL/rleWr0cO9f7frw6nw3uX/R9qdNPz1/7Zshb9xk
m5cJ//Jm79tn+zy9+el1mJppfVrH11/e/O6hNz/9/MdX/dOwP3Uws8l/hb5x/JaKmGGeIvHj581P
nR6qvzUz/DYVDCWIkr+PefPcQ79/YyK/TuP561f76hws5Nf/f9Pxd7OG709vfnrRfpi+b1YF+/bL
m+PwtXl+81PjdPajIdPfp3y8+XWNP/9+m//jr3/4Alb9h29+E4k/btH/qemfAnF9hnA/u3qyMMP/
rmBg8ZakMeIpEejXn/j3waBvMeKCIAzf/xjzRzD+zcn8eUB+1/kPQbke/kcF5eG5fXZT/Tz8fXv+
G/KDvk05SeKEsz/Nj+QtZA6OOWY/Ipb+fegfkfm3ZvTncflN1z9E5eF/Vqq8myZA1jv7/PXV1X/f
nv+WyIg4SSnGP3Ye4d8lC0dvU0qTNObJj8Alfx/6R2T+7Vn9eXT+0P0PEXp39/913vw5zv4WxX73
xP99SYFtTzEE509TRrxNaEI5RO5PU+ZvqP9fz+bPA/K3br+b+P/jEvJfl5d/VNz8eXoufi3Vv6kw
/7r11+UBf/hD139VZH7s1fHrL28SQgn/Tby+v+R3peIP5/afer4CgP7yhpO3HFANIU4pFSLG4s1P
4fV7C2NvkUhinAoCmAi4B6Vo0HaqYWz0luCUxgCXSRyzNIFOTvvvTTHAJCEIegpBMEE0/gdNutPd
WunhH3vyt88/Db6/080wOXgxjDH+eOz7GhnBAo4XYYhSFLMY/9r+8vwAVAyexv9rGiZBrU/nvWno
KnvSX+qyld6935YdG5Z9x6rbObx6or7hNbmfO/H0/V+54tMYogwrdiSe3dRjdNcs6dWNKZdUC1Rg
v1a3KyG3bMbdO1ahG6wOjTLXwWxqRzzN0hI1z1HlR1kmtdv9JhR/srCUIEClPyyNEIA0njLYWkiS
70v/zdK8o2pe0nnew6hbTmJ3CmMTirkZsOxNmffJchvmpNk5n94P/bKP/NCeU+STAvP4K2bzeBJt
bU71NH72a4133eTHMzYfY9qMF0TzoULkzhpHzn5Yq0wteTlE/aMaq6Nl63qavv9SLnI5vJBkM8Hr
2bMxU0Qskhla369d1Z7ZakzhLFLHmYQgmz64OxvqV126G4RTfF1HHhVlmvR7JZpzQ3RRklVf6hFX
Mhbjqab98livar1dsKhl1ZXF0lJxWFY1nVBYKknGYdqtOpZ+mMqbciNOVix91v3UHTpUH4MV/DJT
duWl9580Orgh7NU264/lEOdc18mnYYp2UZ+i3UCY369mdPnMbXNfr6neVY5s161svLRxEu+XZtzO
ZT+pzNSCSafX91WN7wzVo1RjPd8GbXNvSHcetaWHLdBsRhM7LagsM0q6h7FJDilizc3WCXTtkhwF
iNhk+ziv24rlI+lpRuoWncbUyrHH5DFdXoOwNzSqN9nbROVrT+NsHlQkuVpd1i0TzhBumtNYmRwn
/Ikz1xwEmqPMusbvtFNx5mv02cxYvZsob/ZpZ965JghJ1rnPyRL0ifClOqz0A0LHENU449Uc71sf
D7t5HlwWD0Xs82E0w5H2G85nihq5ou2LhgyUAa27pNz2yo1n5s0iDYgH2df6gExzkyxVFqf97VKh
J9YEmfYSYRWyZBmuEWJTJtpFyZaUMq28ObUTeTckTbxDNPmiGlEeyRYKrfl2Wi1932G35hNqHsSi
5iM23F5K282nIcRFU81tHtuK73EbhicT0vNKnD1Xcfl5HJm9JKR2cuFVeqZL2t70IXzuprKUbjO3
y8T3NiJ11lpTJLQ+xvEm/dylGXHCSsVLJRe93bNtOka4viTTqOQ09vckVEUbdTpTIt3pVr3zrblr
2vlWtVHGU84k93QXB3K0W9zIhaGD2uJcdXUWIP4ynW2Txyi++uCkSFyf8WDrjJmWZOIlYjZkqObv
mR4GaVJd7aY5rmQqcLYWwqgy16K8aKU/0QYrKVx3xBQgbJorOCFNJMs2qeSc9LrQQ3LdunQ/0HWU
Y9QNUkTDMdmWi6b2RpH1QNOkQJA5WZXYvcNLZsvbbm1vRmsvqu+vLn6ocfKS4PJEqXUZ3bZrRObC
tGzf+PLQ1tHR1TpkpCdVkcy0kq1q3q1IwQ521BV8uWzO39jStXB+lqwK7ZettFZW7Xwc2m0t0lys
aJbV5s66UgEaSA7zzak60MHJSLWffeVwVicmt5iHPB66XpY9+TBF9pNybMzTiPYyblgrsTuRsby2
ZnuIorNG3ma6GrKUN7LW5Tke+AeIJ4BffCSIUelDGmeLbvZzXT01DYLAzNtJj4LteippxS7UvG/6
6b2PAE7pgqSZqiPM84SMbTLUTTnkzEFbdYpG4+Rm7TWthxZa6HWaupw0apS43256LtESjjFBnYxZ
n6fDeMcSdBjc7cBDIlm8fg6CpIBG5RmOGMlooEKmUXD54KGYxQI+tqT+0K3haje71/D6lcQXWoaL
JWyf0qKP8JitiG2Fi6r9qnDhB6hJKeGf1VBNsmOfbVO/x429LYX4tq7iNRKbkKpOjmNTX5oyMRmU
vI90u61d90mtGbcf9NCrLJl1L31TpVK0/orQtK9RF+VJ4vXBD9FNu8Ice9Ux2dTjImPSfEHxx8Wy
j9HSH3ggd6xyNsOokpS6qvDbqjNg6rdoHh7jwG70GqtiLmsEMBZ/5fMCgNd8KCPtj93cw9EtdSOT
RqBsjRKy1xXbHpFTvZxZyHTdCtnjqC22oX7dNCYF5Rlra3TAafMh1K3KfTQ/DgRHMjXRvd+ml35C
7KB08glp+3kxlmWaRaiYE7b3FuAl5pWSXGwor2yjcsrnEw2xkXHn+d5vUPyog49DO9VyE2VSiKnf
rUO/Fb7dHjYtsGwjUtRVHLJ6TLu8m9urmsqcG8hq5Jb7dWiNdFZnZe9UZms1SbEZv0vdIuTQQXE/
px1yO0TCLBvz4saW5qNydD+bXkuQqPvK1BXARCoeg75BtehlQ2YZajftKdaAvHN6iiJ7WoINBYPS
AIDj5VbZsdA87JxYb+vKUTnPn2CR/qqEIjtlQ1c4HG0SJerLsnCclyP/sOJ0Z4ZByXnwH8fFppll
9iai5alNyvFL6j7jzl5xYxrZWNNm89R+XigvuKOJ5LyZiihMx7p384nY9J50SS/JBCF0o4WU8em4
n+PSXX79xRErGoXavavrIxUskcLDPHAfKilsp6SuySYJxm2x8MRlponCfnLRKK0rUtJtu2a1btdz
X0tjCZbOLTbruu8HTNyaedug6A0vcdUCCjf+blhIL+tFbEUKJ7NhpsmxhfCKNNnDkiSOXJVTZrIe
sHDwAl5qcueJAHJAmFRBvEdlJVG3bBmJm+/4d0PjtNwRFkFBpGuSrT1Ks7Ch29CvwyGw6IOOMcTK
dA/VpJ+jaAQuRk8ED263MjZnjs3lrbLNRTByqLc0zZSP9AUNxGdpl3QXHCuVV8uIi5b3UVb78l7P
DctrNnrZpZPLfD8/pit/qoPfhSnp9lSvWtJUfKsDXoAito9mPvJkG8+jSJ5s1cT5Nm1DPpRDJbdQ
lrvouRNQcbcxHPotGqSnuD2UZX9do8Htm6AeFPIf43VtAYNCKruqv3F+LXgYtjs91iPgggXyFsh8
UNiHvRD+3dzim7giVWbGJNmb5cnMkc1p4qJsms71OGTNOLOiCluSBzTf00T7HVqIAO7Xvm/CsUWa
3QC30L4K+9gD/+YqZkeqvVTC1ntrp2wcE1REvc7mZD2Vc1ceaRLt1sCB9TQrzmhUQuqagqdj/85C
kVHt+jJyCmV1U92uCih3af+Rj+GxW0sG2VDVxdTXMWCAKeYUtpwuqpNJH/X7Bn1uO+CtylenVIUv
XKU0B9T2meFQHHUi4kfBzT0n85WYUd3P0ZzcVNX2Doee3nnRAiPqxHAcu3jcdSvZdVEnreprGZrx
ho7JdSppUXYLcBo8FzPrXFbT9LCVpc162u57zuu8TZcdL9N4zwOoBOR3fgti12L2ZaqBPA0MXbw2
8W2rpuvq2upChii+FfGBk1Dfpr2Dlbi5PjQ0laRe0L6eqT6WIXRy5G28X1fQVA7bsEMhjrOKbzwr
u4CKJOna29pyflYan5Jp/iBsRWUzKCBARMZ9zlgU72xaLA2brr2tnpK2LfzYHIIl8wOKq/mhqqHC
jN62RzEtVC5mqHeijOdzO37qGU32qGLmJnG43lWwq/d9y5Cc27nfGw6p0y7x62jri4oDz32SwAkx
C8+0wnHeaLtcl6FerhtM7NDz+XOz9t0q/3dDhACBQiuOeI3ckQNKb73ebWsaPSRzBNRt0ZOkwmxn
tQxzIdopylqMh4NQ27tmXQuntvQJADG9aedlkGws701T2ocusXUu4sEcKj2dPOdqkMrdGcLIk6tB
2aTjlrd4XD6lPD7NmH3uydwfe2SSSyweEtvVN0u4LLMN+dytRmoeQyJO4bPZ6geg6M9sY1/iNC54
XVlZNvyL5cD20hnQsAtyQfFpcwxs9hUojBnl4iuA5fqcelZmooNNnNr+uLahzkrhd1WM854lnzea
3tttCFKs3GckApqFQUl7YDMNfWwoYfkUD5cVG12wAUnq9c00lqEohTUZSOYMTdW7+pO7luEQoaXg
SRxkvd56ArUx+jiEtjv0JImyeXVPSy0jUg4StQIwgwqcq8lmtFoKM0RKVkNZdLWuD2Ehq7SQBpq1
HyqWHLaEzYDH7Qsr9e2SlHuRthDwtVGgZPpTUJbCxpAPaeT3gqNPaRVd62YSd07R3M+ly92wTtI4
fBsYHWVlljYzwMKOU+h2ahhzZ8fmsQ0USzNwsW+60RaJS3A2j7O+UR7lU1Sawow6Bc+hf2hVra9z
hUA1RhNQeEjCPCZDk1Vi+5aMutp3aiNZj5N2FyH1ZfAfTFu7SwsrE9hEx2aTfDT9XjDTF1Am1C42
voBoddkKoqZfPTwz+1s4p8H6pkijFngUFAczIC2tQcsFKtb8rjMYAZVYUuAp1ORVQ/mja2e6S1qf
5LFvyV3F4sI1ZXMTRvcuxWvts0ByCP0dMnN1ULPX55WW+iToJ4xiEi5bgoJM2o3nTQjJgemVZJy3
sHFV/ezjIjB+6lx9ZUOdSptsIBT0lm1bQftZSKBVtziqC9RO/R6QPp+Gme7b1xBL1g7LuaxH2Lat
i3M6RSBNIicHM+dsKL+qNNkyz+LD5rfXDU3vRkGeEVul518SMr1guzWZ89Nj0gO32IYIy07zUyPA
YjBtVYJuaG942+ViSy4mIbuW10+lqdosiaf7VISbmXdWhqq0+yqOViD09H5N510Q25ytIyikMdj7
zU5bNvZTI9u1m7PBLJuMS9Xf8BqUHi1XXSjRgy7ez1yvO1Z3Nl9FMu2NePVjXF91p5csmSKeoYjS
AxrVgVdjXrLRFIDkk0xRz/LSYbBjuqyfdACeq6YX0Hbdbo2ndQfDVdK3sdgvGohL21Anabx80MT0
p+o+stOck3nGcq3csBtiABzuXTZMwZ8iOoqzGdMqj7ZyzOa+sueWAp70Q3rlnGSwjaW0WH2ZLT62
MTn0ak2PypCPfaSyDgQppF981KaSTZokt8RcmnWx+1IPi5zHfJ63g+iaOefW34pyBANlwzsTzAcf
sZNw35nWiq7+O4hN5fRxQhORQz2iLMLV+1J8MywqxAoCx0dUZa6pG2Dt9FPD18e1XJtsUdbIQFMl
wWHIZ0jvGBw06VajcjIhyex2tusMElFd/ZjufA9Fmgwk537c4ICUuaiGK4nsLrQVCDq6JHKAjK4G
k6/Rsk8X/lSRzl9al8iqJuWuWXwjVRJHF8we26ERUg+gf0CaXIDW4j4uGEltFum7ilN9SkS/K5W1
t6gKTPZVO2R2wRNU1GZXVcpmrGpFMWvQG4zEfba14h64lc382BEQw1suQkMLFrkrXpvriqcVnEdz
lyY4uUDl5+A+QPVFTTOdJx01csBdecv6BWXJ+mCqEd+bjgLdKvVDvfRPXPQvC7C3i7ARzzHZnrYJ
2Z2dAv5oGP00RnF1iuNBSyLqQW5dMmaDymDD8QHB8cwtMOrCKHQc3CKryfCM43rYx4M9fj/qmaPt
wZawzX3tYikYbs8D24h0wTw65r8BW+4gr4x9LKsyp4OxeYLJcJPSE5REdo5G/j4Nq9uvVj+4oUt3
ggHp1HHY8m0W95AadQEe83Z22CVH06IdtfxqjYGTOm5ftmgpMzWWVQHD40S/610J52RyJo9YlQ0l
kLqBKAFVpPf7IXyDrO+Og0nKvCJGdvF2IzAJZ76yx21QL3WClDQIDAo2qK9Cje4hjtdn5BF6p2ik
d2VwIARMu90QWGze2E0VtaUkh2L63MEfE1wwIgeo6eZovPOyFig6gm1zp5pyva3Ih06o9jukgIoI
qgSijtdDy4wtemSnjzYxD0BR7qwTy6Fr+Xyfhi2SdnVzvmwxIK1Vh0S0N92y8qJqtiTr2gA4ONyv
FhQ6b5rHEJoL2ZpBDr6rZR3FKousas8qPPXtXe36+pA09lHr5Tq4utu39bZLFWPgocwd2KvDuxme
Kbama+XsyScXkeEVfMTCLoKfsYI675b2XVjrCYCggOGAyfg0yVQcJ8ehAwa+qcXk4PBKCwYiwpMo
4KY73dmh2XLexe9xTXYILK+Cdp0Ei6+GaujYrYoCl0HpFWyrcZNjrGUfJSIDR/CpAks70z2m1wXr
bKHjLpiu3wc3goviV71vWLOvRH/hHTlrj8c82TqTI/D25NJX71fbt7Kz0JcrW+5mnOGxPGm9tmch
zHVW7KNwft+QGFZOd2M13E7VeLbYP2Agggpk11JdZtEdFhz7zJu7CgqLi+ZdtKEvmi1jRogA4DYL
OFr9SwSWfZTaWfZxe9CmTqTX6ryu7sHOd9xDWkAXYCz9KxAkuaQikiv442qDYgW2KkogKAiOlZ7u
xrhpMkL7Z9WoJ9DRFtAT2IG21wZqu9a0z/lGRhjA5Fsaj9lY0j00s4yC953N6YGq4RMkZx6Bi7Zv
hpBF8QrIpy4UgJ1jcksc6zIgzWsWNaqUVSKqYqGA04KXuxj0Xgu72KR9Ni3g94ijQmkskwUK0vcr
gYX5d7DHtyBpObwAKHO81lBPI35d4bJhWclTEvlML00ideCzpDODm4DhfdSjJ6wxlmw6x/14SmIx
5KmYgOdh/4mh6Gvr01dq7XnhE2DQJ8IBgpULHx1F+y0tBSCQr/ajJV9C/N5RfCxn2J+tP03ruIvq
p6ljkWw5LtIJcHjuydWruJN7AaK/jWXN/UO87PGEdxWZbKF6ft/PPQirSmdwxwVOHDif3xxaLZi8
LOP6PcHzRyP4h3mk5wT+YCBjoAgzM6F7QLcn1037iYxn+EueO0oSDoTWGdAa8yyhnoA672oQEFB1
DdZfy433uQ/xaQLKWDTTLBUQVO/ydQi3sWtvhB7sgYyh6BC6KevmvTFg/nK415LTELsiMlYSBBb/
3C2PipOXdsSgeMRlmsYPLRizcCYuzIqzj+0rw+or4fOQazPez6L8wGoiazPfRXV4NcZcofR8m5lq
shbMkzBcxo0Pu02gXQpqbg+nEPyToQBxrWQipjFHdbhNOw0u5+IPXaTfoyqFwxdFDZCVjoI92bSy
ZJ9FWsZ5j7YHq1R1Li3NyrFiWaRoUyy+tFJvOpGlBz84SfFHr8rXboqBDKaz2GHN0hwkudTTZHcI
SKleuDsoFuTgfAKm1LVJ4TglZia5me05Yp/c5MPZMnwAk8XkgpVbPo91V3Q9/ewD0JeUt0fH42IZ
p+U0mO8wOUY70UamWF0UH8t6BVOjcQVdpw8NwsDKO5fmcasKA8d0AwX5Xa589JMlRUQZmA8c9YUR
y7zjfPOynHhbKDqWBamjh7Y3RzeoD3oCaxWvfV8soDtwlOBT7VYiSafQrvIoAy9szEI70YvogXLE
LM6MAJoV+YqcxnFEe+xVdAwpQAZz6sRRBFmlu6wjJcqXriI7PSf+FLbtaErswJ9alyuuy3xx+pxE
rv80qO1xFU9ti8r9gPoaHJ952kUkMrkSEVDFPk1k8hxh1oDNUIKVlMylxCycALM+iuQ4lQ0uqjGU
ckTqNUnT89SDMEw/rEaLrARZLT1azl7j98RGYLtpSEg9usMicvA/TJaUTb5hO+VrGcaMoV7k2Dfq
DNbOzYZJchjLBWwGSj2YPulnXUGVsTo8B/CEGQEcTZdZerw0+Rq+xCZIS9cvw7LNexKpU0yjOGvs
COqh3PoiROQ1nfmh4vm2CnRjTbzk48pKQFgWg4QbHxtRfdUuhhKt0W29ECBZi4oBQzq8G8fvcDrw
fj/E4IzUU20yv3rJmarez4R8m/vlDLKeXoe23tGVgGuouM7LGSY6AgHYqXUEelH2y7FS3YlPbXvH
dfPM+n7vx2SSUQIKvI6bx22K0R4uWc0pgD2YBm6hKNVrgaPyEs/6idoS7TTias8dlrSsejAwyy6v
6+Fj+V3pJIQLWdr1FSrEDRhJPZwk4fLNmz4Hv7DRQBZwFMBfhNOZzQ4VQ+RVEZG+3UfVyE8bAuOz
iXiBlqjJHbNobwLwUryZZt+37nZSPtnHVa5QN96Eyn6p4lqCoKxvp/C1pYq/V+EebFQUwKIGYy0U
47wdacMuk7XDiSYLPhlDnju42ZEtkI9DuthTY8J4R1D7rS7xx6FraQGKDMOtLzAg5E02qUTtXkAs
mMskwD8e0a7rVQ0FfwWYmvBysGY4OTxuR50M5ORYnS9kcDcJnf3O4F1TA89fWLPecIBhBhfOn4B6
01O3OvM0zwy0VDdA0V448ODSwt6U7toN1Xx1oPOzbe5F0XQoV/0w3dRlc1i3oXsstYZClsy+WOoR
zOZt2M8KiZzV/BudAHlj/l40ozh6II5HP9o7EJx3SuGwM2QxeyDkIzglLpDbGG567hgDBWM8XOVB
snRAWEkjo7Z/EX5sz70W426OxIkBywNzbXpQ5TLlXZQAX6CFh1vLlE8vjevoeStnLRsvAGpKgrIO
41QmBizTUs25WEpbrFv9Ph11XKz9+nVo4SJQA5afRpDWQLjqphC6fkxMgMehsGQtD6+ohqsKGic0
r0oQASnwlxJ8qYwTuLxLbQt04T+JOLPmSHF2Cf8iIhBILLcstVfZ5aW93BD2dFsSqwQCgX79SX83
52J6Jjp63GWjJd/MJ9HlUBO67x2GTt+KuHTYx7m2vyHwbx6mjcNB1ffLSY5rlBOwFNCGjbsnvYW0
NyxvJYxbU8umnPx+2/cD0nNe0dJZgYgOnpExXZW1tA8zhowl7+KhBFrh8HDHcU8WrcqeTgwrija7
qEqjzP9yFDt27rFMk/Aa8tkhGhpcqQzkpvBvNBTygFEMbmaYymImflp23UvrN3ndcnOp0himMoCE
rEEsuKzQpn2z3NO6M0+1ijtkIf7L0g3+cR470BoCB7IIyGsokFbS+CdeZ3Zbe+++DAsSbeL/SaMm
3Vf4gknc2lPl1nxptMm7dnyvnbpOXNavq8MtH6r5eZR1dSKtQarSamj52ftT91Dhpkf8ZXBTvkdD
iwSY1ncClGPveVQ/RQFPzpSx1yFi0OPurYr7S5xEN7qqv+3qY1ux+7bMRTxX8C7ZjUEi5D4N7/j3
1RdeIbYEvkBv6swbk2IIvNwP8EMfhmEqAri6a1o9MZ0+2mrvLfTdq7d9rfs0X1L9TqmBFA2Tv6Ib
66yP7Gn0NpItLD4mONmz1Ute6mZ6l/JvNQ9fkv9wY/s9howLHeObt23vti9JlfaZ5OA08PDfApY+
1SltcIY3IpMYMkNyTxZyGoU++/0M9GFM1qwZ1Fn6LhOh/Emcek+RgmPC+Rmd+AlxwFTIcrN+qz+m
CbI4fid1tP+RPixbhj/tSz8p6tH/IfV69NfmFEfbV6qiYxNqUEUkuWEAerG+voxpcAxke5nM+rx+
TkOncHO7LbPjY6CivWtkRof2I0RGnm2BHQqR4D7B76aT/I8m9tE1fiZTEBNLcoRS3kpbpTu69cHZ
S2uS88qN18HvxWM6wmPybkiqgm+kvFekEPRPtdU/mwEHktbQRotm5tpapnOm1pv0amADetvbliPz
BOPzvAjv2gas/lwwF+dVxaPC1xRTch+PDzWJyIWsruxJ1OO3pNthHp4e4FCYdIth4Cbu3Ln2uEr9
XTe1/iM89mjdB5u0X7p6G4pZgndQdjDHlfTFHFH5rCipkPoFU9EGDYOnqtorl7Y/8JR8+227lSNv
6tvEl0sMb+kSEHLpWDy9EJw8GaFS5EbJqahXHZZuGDHmpVsWeI1XNLPxS8agdCKefPFAeTkn0WmN
EL03lAsMg/AYVmbzpJ1FvoKd2OFzs5NYEPp4TbDXfNyZEQZkQ9XBACLYkwrB+zas6hSJpcv4kjw4
S/l+jqzLO+zeQk/tPkCMyuGMFGOUuEM76JsnU4XQESpUbdNuqoL15JtPL/D/G0XHCr8z9XlYNJwg
WRUUxuHTUtM/3F7jeR5PqgF9ERg8rlSJYxdP+Fg4v4swZlW2+NUOy9W/ytRWJeH6pGORexgpvjQp
ItF3Wbyk037htYAL7CD1OgQ+tLPRrgoxmeoWuVuHkyuPYnY1Ude8sFCf2rWtD1HX5rxe5XukfmDT
2gzxKJAaF2PLqRkB0O+UYvm77Ag/cNb4iFLYQ1LjGKn5AF8Bc/ISZ1Ul14+gWsEIbYk4Nz6ddl5w
SX9Jl9VJ9yiV/4y7BgBN73n7OgErEHVjfLSxjYvZxRTb1u6X1JDTHGOYrCL6COTCnJeNjju9yoPu
YdWnxJFSYJA7Bk5p2GoDQ/5ncNiPpCuCjdWIotLqBk6BXNdsQo0iF1PqPoIeSoqSxNwgJvrjGmAW
ZD2H6wmp0qbRdglEgjR5C+M/SYVwVmhV5SN2VsMG/3M1sMHnxf1b6u1ulubUIH24zKkRL1OyCKjM
uNlHElFRPatCiw0YiZTFYpnMNY++Z4v/fxx/xZoE//D7i4tWxI3tXW7JayraJwg/eB/JdrBA5XLE
V6+WiS3b2vZE5qTYZggyyGVWt6poNZ9zwdMg61z8EHE3ZMEAHVKtEEqNhvUAM26ZvfUDbgLmDXzB
NI4taJ90ft40u4SsL2r4nB/RLymx0Z8Wg2scjAAwyGe1htEfG4XIBMOjxya3i1LxDxdsOINCGHX8
M1SszesFAgW5b0qjp1qkQIeW4W8/TbBsdIp9b/tsSRR8g+Z5iCVMNXesgNvs3BiSA6tslSdivONG
m66rWjALA6k6ImC9LogZT3Q2752iDoYVgMI4US+KinanEzAklHo1ToV/PNRHr4947gQkd2CWx8ZL
ggfhyXPQAo+YpVnLYd3CfRNc6JL88xCljt5S49ZCLt8l4u4DvEJ4CQapHmZcb903X+P76tdLtsEu
u6ztiXlbkfQ1uyRiuS9qOpOoeg+Wtcu7XhywYpJM4N7KcF0hrWX0bpP0RCExkYxUmaXTUKh263Oz
8bDoTHrTMj6TbltzQZAh4kJoM0cQQ4FXiwMExSvr+G/sa3Iv7h7YTBGS1DGCh+2ES2CoMyH+9cLs
VcgQwggsIWQmPgKcnMicieZ7avsqo84bCqe8tSDTQIHveBiVonbNvDmSe9/XeQLLGINKE+wSD4ND
XQ254pjYZ7U8+FOlcLuOcqcs9pAalq+V7lat3oQKQDCycNf6dMs3OO644lOaj2OIkydCOsXapmjx
sfOW9XfXJv/pevlj1sxa4/ZIr9O9szhfsPwgATZAFCNZPjWpt7LiK+bnAEE77wFw1bi3vGDAUTTq
e9pZaPKYIw1x9CcUcAQBMkIfjh4oJ2gs2we3Xr4voruM5Lxq/azs5iAdYT3UGAm72dsp1z56J7Z1
ZTVjJiZYQRn1yFfsD2+h+moH7Neoq3dj2Fb5oKc8Di1Cq+W9ZoufsxoIha+inRh5ERj+Qa4WrGSl
Rjxi0j/b0EdKM4RgLc14tBt5Zj5/BxlnC6Z+5qZfMjNOU4ns7j6CZMxIP7alZLhZJMel1sTPyq8/
TJ02eboHQINUSo0/xqqfKh55voLpMFs4FARA535e6R87MZelwaxKH0ZQt0E092Go9u3m70iLLGY0
I6zp6BOB3E+IYCKra2QMPI6/edwhKfNvrVtOM6M9ZlTP5CuSZlgWGBicex5rOC/LsOUIW76dgLeh
xQSNj0yujxDgehxKSytLysBPz1NN/vNc+j5h3nVTMmYpB1y5zM1Ty+j74MMLnAegGNslFf5z7JII
pmTq9lp4b8FWv7A2M2GAvzm2AHkj/mUVds28bMeoeWmG9R14bbDDeiuaysBSdCMO4IUUPmAMCSf6
sI4QirOLwlxG0TtS3hr+8AM+aOHxFBLXkX3K1X8bT5oyybao2UpgbLjkox4s8zq9dWG/a8y8nNNl
K2uJJG4L9l1l6MWI6cOC192Yu2F7DJkoN76CqwMViDBG77vYvE0CSzk4Txtx33iWrx6T5jZP7LuD
p3qU9QDRatIcuXNYLMC6C8Q9RcMpUiUDHdPGNxjTmM71kj5MQHAbxOFBN2z3vkIqmXQZCJjquDlu
dphSL1PVXrs2YvkS9diR693zk7XgfUbGcb0k3vzURM2UjzUr+2Xjj7HtEBeNL4gyfmDEh5mFHXAB
zcv0aDPlSJc3g9G7ZDVlw8EINZW8ziz5WcWUW5HePbshrlTto4MkBnc9gANLguZElvYzjimceghk
Q0Q+NS1iL/fLeIaPjXWvli9ZFQQvYTLUxQz73y21K7DlyS/HcAolK0OvZdli2mXXqOA/C5qn5RG/
r64qGjWqLODzvfajx9Z0ALuANTS13Tu14IaU+tarkMJrak8TnRQ2WVMDISXYUSyvID4vXTHW449Q
GKYaHuhSgNaD4hCHbl7yxtXuJCTGcynv4L6+VrY80O6cIHjLA3gOWWA6sAa867IVRwvynZI24Bhj
kBjZIq787xIOfyc91Q+REH9jo87g8ZZsos1HMiYvdsTJ723Ng5Z2O3PYaVIR+JY1MOn+0ISE7ZHP
PBGH9I2t8sIXNmcQnRs0PkAkxnMggmEW+ekA2RkWCWaXkYGPpEPSHPvRva3V9C3qRy8lL1vAXcYq
nFTbL6XN2ksLG3Pm3n91Ov9v5qmzCZdj1IllN3M9FNhJ/wQoQhjlD3xbPATl/sF68lNHI0KMeN1R
GLXL1jwONpYZOM1dTWuNH40FIgujvmzCP5VZ93YGsTNFGlbWVA+ZsUifl9m/+EF19OP+XXA6YkWH
CoKiK1yVShCe62lZ0velKR3ufVQomNur9RQ6jidHw6JtRFQY0bxRGbWIXK9OpmGeqA2byU5luFVT
ZhAvJn0T7zY97WoEMHmfdqdpIkGOP62hTj+B7EyALYpkpQ+edjzbzPCQsqIbo0fKcfrha1yVBuq5
xA6TgzEvzQxMYFTBSzu+ppMpkrTKUsP/hE26nro2jAs+AQLn3dg/VLZ+hM6l2ejW8I1OSO8Q2I9q
lHuwXCAW/N4/jVo9ybDargkz5dxN01c/+6B+ohFwJI6anUzGbddp5Kv9ECDMpirIbJfO+4T28TlO
trWA7EA6/8u1xBF816YaKVwQMX8iJz30LjwMcSRO3KyY00WHG3VsEH77w5LPwxAAl8OVS4PopHsG
UFebYeeHvT3Tif6ZWN/mSbqS53D89P0ac32KMyEdfdwaXKgd8hSwv0rco36IDxFx+ynkOO96F5xn
uYpztfBLaE8tld51GJqTBAhRUAUcE6QRLTDWVWhYDPwCN+oTiI97WWoMjIwMU+kPVO6CqDcoF2h9
W6rgiFYRJqxOGRhXItnZpUOzZx3ri4lxsciupYXvQ6ZsHv0YTVNd5LQ+TxVxQBvU8uRqaNQkWcsx
xX/xlkUXMJgY3wPR7DYEiXv4HNNBRCN5xrgARd7/NBaegsOAPEl14Dwmd2uBipNZiVx7/YUwfzji
AYlrpwYsWp+fXDc/hbPQB/SIXiIBZ4InE+ioDjgBOgTyPDB1TVKLEQz9jsyDoblTpEnL6r1Jno3w
y18awiK0xqU5FynbsBVmkgkc3ruof+63PoWHB/Xt4GRzcMg95ow0XN/YGAJnKyBhb3HVfYQrpjNn
zE8SAuLxf9pKnMYZpYA1xmYRuG/3Ku2v4IbAKNMw93yUK6ZWnCU5YXki+JCYMVZg/pmZ53fMn3ni
KShKPV4bj/9EYXJZkxUDKccFGK8t0L6Avk70EgNwiifoNNak4GCs/z3hksrQ0LhJsKhoQ2RTEhNE
Bx+LA1wkBxQ9JnKKJlcjzJnPTVJzkF/NllXtXDLbfw45Zh84RqVhKPxUf+pVnFSl35PGMLByuCDJ
UCT/8Sm5hkN1bI0rVoLCBXFf0Zzu1KD++Qo2hBpDZKCy2c8bJXnPOomPw2VJILGT2gHeboBw1k16
NBzrtGmRDhgSIWWdvNoWaedwe2KUzldvcWc2ziaf2knBMJz+rR1ThVw4xcRiu7I0nEbXmWh/b0X7
F0FXWEXHNOhg4KThKWXzkrm5hn0pRVJOSXUdZYX6WEiLuFuC6+LTZIfdtpV6Y+WkJXmpXzAdJYdJ
As+TSBqL0PNfAjUjcCU18BLCT/A2RdGMyi+CJAADp9icV8R7aWzPLxFhgPsczjlZN9GBNRAuHEM+
S3z11iwu3EVr8qZ99jf6ZS0ME+Mx3mg5jqh51COAC0P/xkpFH4w4hRgf1LPikBhdGn8kxmtPQaxt
MTctIFRgQOsa//WpLwpr1H9DIuxjkzT/BF/4Plk4oEm/sWd2nLSWd3g8+8ak5OoJTpDQGACose2L
dCBvcvtVBme69vWt96b+Zr3JuwKyRjlGXxOK1MlXZ3i59VVHfMS2lNhBtSmXKDq5JlUHRcMnfLuY
ykY4/kNsL5IQk0fT8h7C5py85r4y/9U2IawljyNBbHCSAK44smEttvYWJ/Gh6/nr0j9MW7WrlcWo
NrUqQ5nQ+GhgiBhEWqJtHgmkg2qqXnkFwS0gB/Pml2Fl7YlCzvE+wZJao0eCSAVJCXY2i8/gMHO2
SYTCSr5wi0KLtukbB9BmBvIfFFW3C7z02QD4z1cYTLjI5ZkM41KuqbjaxbBDrzCYzm5p7rFMDwgd
nxznn43WArYCSLoN3RThodY0zPB5av3DyYImQIzQRqPphCQFjQ/ks7R3+MvFddERrHjwgYdYD7eg
A4eO5sa5vZOk6mF8o/7RRqLsVg91MOnqgpGCxhhHw7T6wyKWFFWq+xxCLIFPloc+WhFk6Lyd1sk5
8JEwDyAEAICi+uDnemF63/PhzasSNPB6Wx16mD+/Ejc33r+tMvjRoX2HAwP4im7NMZED0K6l6Gg/
4/r+/WVB/jwJfBy0BHOKuQlYNqbESYL1iZYOl0qd5Namav/b1ivNCiaVpf3XZFWNeRGwEk86kykz
vgo3DUjR2D5ugPiDjeS7xbYflkBt9BrfJcyIz9gD4aBcmhkX77zUP6tqKLYxfgm2AUWjljxuEWSU
QUPBIcapbw4zQWaoiPYzb7/l9hf1liG3GrrQzgK4XAvvgh1NF4qsbeg/Mo9XFOtaJF0d8hPLnzzL
k4Mm+rSs4CrlboG3D5cvNVhkA0dxJ7jHtAMEWKkS5xhk6kpwMM8O/CrfHhY0TDLMdMOugemZInPc
61l9RAQrDvLsH1vZJ6UWcqLhryCiAEyhd+hvHuBhATi/cer0+w/yFdSgIsSZIxLDwQKI5deEbzyr
PEwPMz4Dcgtvt9a3VaA7i9PSFEAD/YxGyUWOaXMcNw1sh9Bctmt/gVjGOBn/spY0fsIE8tUm+P95
ZwsoSHjqUCuDAd8V6rZISJXsBKjX1kYOLP+zP/cnVGLOZAu+Zurd5l8fMjkFtQQMvoaHOej8bGrm
O8GYCufwgU30gF2VbxHdEVxfBhfg5A0I3CmAAiRotBzApfjUna2Jj2Pwp1oC6DCKSMX3HCyINjg0
9Ym5/r+NVfV1rfz6CoMCNyvKEbmSj+H0axhuw45WK8J6aLkinNHf7DcgqcbnEgGMP2Nu2n5NNLad
TYNlVemj79MaVym0SAejeY7ezJqWSH53KkraDCrusFHgzT0gX8B7v5I6eALPGWb+hLsihjKUcs8o
9wGxyU/ANE/pMGMAa+cc+UWfe3MQlhHor2xMSmJGl9f+1hUyOYKhgOOf3FHQzkev6UtvmgA5Jmxv
eoFBvH8WnvkbawR+w3gP+dhBJ2vwYsOnXFObwfAAttnDlnDzDrg4vQ6V9nKldVCsqoYKaq0tkin4
Dgf88Ab9HVekOnKx5aOFV2sWrJRZKCx3fWlH9RZw+8R8XCnrKDOe+vdkGJ9jWIVB557IAHtSIkMx
GnMdUWB1/fYlXkL079p2LqbOL32r9GEEMQKjbihbvXmZ0eq41FOyB6cvMhMJoP+UmydPwxIeie8O
i0ZwuOn2JLuE71qCr57EHQCPxf8zueRi2+CvgRjeeeFvKY1PL8NYvQkdnFDsO/VjdMFY+GbaIav6
vtRVdJI2eG4QmtdcYSBr/0SQJ2H1LoSajq12UFYtGBQvzVoMMrn0lxeN1qTYxJPo+OcWKxiANXAz
7b2EaVxGdP1b9XMpSXoC3JIWIGgRIXnLiSCKrHgIL9DiLg/cHWjRd9uaUsHxwX6fzv2I6k0Eh7Bz
v13eoMfPsmEn2s2PKZ72Hsk45il/SnMSufiEGPaMElRzmkNb547CNAmSwSuiAbhQrLd6N2tf7r3A
W0vtRScjTPsoB1WuEftclzY+RTF4YBg9uBdUBxG9ACzpt/ViLPhwRmS7I6F36kxkC4LBpFg/NRV3
ZUDNpe6UePquub+vKKLRUHpF1Y7/0G9BJ8Vb88A3eM4DvK5Vj/tOKTiQ8XZkbfu6BLS4DVW4PQ/V
A3pOLaAgr8uDCiTWRmCJnbe5b3ephsPauQU0C+6sTKFX5QYU3obtLI0dck3iXUpJgOlrSNEC915X
iky/Dz7ryXvSXfBWx1gJdbsC+MBpm862cCvirTjJHYm7MrKD2MmBfcgUft8qQRLWooHVP7BdHIOh
RUACt67GETSNRcBEfFRpckKxFm0XfywmKMpc11Bpolne1K/eNsoClcZYzWDAAiOrqivF5tKjmk8N
WLDdLIrEr/VFb0t1CPz4uWLiOLuW5HiL1K4hbCy5d6rEjJFkwebr0DRDBVBfHN4scNqEPSardxm6
Sj2EYD33wuFMT8WJUN7sLciNAg7hVRudlv4GQjppMOhbeEiHIUp/r4IW5cit2s/NAn8glXVpwyFE
4CXMkcYjhMnvyTOgShJiulGMBvuk74b96IeHpjUQlfD3SiCS/7oXhP7+HWbwAzaLdxEIYIkx5Eg8
kHLK0AYJ1fYfTrz6Yrn92kwldsKO625UYVOOngXj11v/FGtgnx0Pjj2IooMdYUSxZLiknn0E1hHF
dAPUGcDj9rg7KL14pezCbSeXQV4MhzdJiYlAy0fu0s3oOv+uC3CCy2n1PRzUcf9jzTaeEsmvJsCr
C2T02+COyBnz05vuJ5Ty2v/SCSVDvZpnb/b/eXir0A5H+zepFjRNYacHqyZ7Cdi4GIA1FRceC3tX
lOUzn/EQ9IXNDK9BUCvs4A0Ubw28GQcbrHs0tkYUOdE8mzgc4FnFfo4G82le427PHTlaMz4Q2E7H
yCWvXK672uuqPRmjOu/oBdy7vdWY2lK8FaGCWpFV5T5MgNSIjW5ARcti0pb+8wShU4BPh18CAZ91
zIOP8LBV0MFWsiiH9EsAR0Y3iYO39OfpPYqWb1+YZ6h//zD2zyroShgf3W4BIJsJoANBZ1vwKKhy
zUE158DC83aoLj5bXkHVmAd8zaeG5jHUjQQvNpsegKzkYNBWp48K8xr2E/hAC18iJRpAiw9xuEIu
efU9YeFr5JBCsHDN14X1+dfmj39D4t7DVDxUUg+HaInALYThF+wJ8OlaiadfIkTQ7Yvg2zzrykeM
C66lhPd7iJ0Hn0XIF9bhe53X5I8DxYNVHjwmKQh5q+/0t9wOmFCWdaQ0RuPqr0vx5NnwD+HDWGp+
mx2IrLTdlkI5kO+IN29Q7iD/Ngz1Cw+XoxJNlMXRG7KFzyWsv2qwZCDXddb4SAvD1vSnjQSfLFlD
rDaEvn0t4yx2c7+P7PbEalvfPLebTASLnbs058GkSqnxOSSu1B0n+Hs3Lz63HHgcIbwgi0SQGfu/
1S+DHyTuboowAQCiWmvIJ4tQZIb/lqP4HL/iqltyurUgmYg69ygPHJv610tQONxqttEzOqR4P8DA
73TFyzJwXt1WGO+7VoPUYZu+ctUkh0b1oHUS/xN1Jf1Qt15JmpV+c2T3TE/3MWmPXdJv12GJPJQn
e6RGdX1Yo/ln0M+br2BH+GVSgbyMov+sUwOkVfIPVWlaBNH85s/to27MR68vqwGEeCfWx4YAQbSq
cg6kf66i9Jux5FNvfQxMCSsR+brAUQ1Vh5COors/3fRaTuqXzEjoGV3nzzV4rCSLb30b2iyY4hzv
uPiOgaUhg4swr3Sv3XyZIwFiHC88mCr0jr2ePtEqrIt2wz3T1Ahro74PDgMG6diS6ivcRGFwDOKS
+XVjIvWMLsF5Y9NtnHH664DqQiM62dtkAnqmnMn7MfjX+EhnJoY2Zre45LoicxcNLIAFyAOSQUCo
SRjdSTN26Jwv0+vQscdpmLrTHDFxFcgUMI7Xz204mwxwsXcAmj7+ZuoTorRtK+TMw1NEu6ZAWrvu
ZB399k22/8KY0PNk+5/B2eCRA7rch5gdcw/3koQkt82WgPhrv5agRvWKJCLzDcpFEI+7BFWprJXN
oZb0jP7AY7NgAGuUacst+Ni65UgpCtouUjEep3xMFrabQrDv0aiWcvCjA41ZchybJ6PiuagSMuO1
N9Fer97JX8WQzzX646hB4aO4CpwGLDfGyXeCBnS5DkENQ1j++kDvQRuvV5Tbgh7FDgybWznkAHvu
jRzw7qEW42tQgaZs1T5KgcVu8cSyuSK5xasFoJjjRxmhU0HC+DrCcYklinO4GbJEhMM5qvsHQdV0
WW3bPAd6/ZjRG7ZDgHfNFKbmeDNNHU+/QFRb1IAGVmQ+GaeTf3Qk+WPX7k5iQK5r/RYuaIs2a7m1
1VM7G7xMpIp3PQvIngbmwRP9T4pZbAeDbwvouasHH6+TCPWht9N760d4p8ZML6EHYAgaICjxehyT
29E8EX+Zj+PDKrm7xaanN26Jv4/R/toWeoBbiSxjRdtoaTj5rXfk9arsIwjvLsMqKeu+qtEqSvVZ
0O51DtRLw01313YoOz4tj10fQsM48ZdRhr0DAG+/0ZSCNIRjlQqMQQOavLeFoPgLzBioDNn2C1n5
vUVxPiRIlaKuQlmNz/IyyGArlE+g40TQHLyGAzrq+tv//zJF/HHFeLSP9Tzux9hrL8L6JpcggM4t
DrRlZs0lVGkpqqb6jLEXaxo/M0bEU9V585k6EZVIcPGqp/bAg448oAamHj0n0bPCfM8fgFAkb7hw
4TUu+GCYn9dbx377ZSYdy9YaXLsYoU8i8P7BoPPRdjXdkcv+7qlhOy0BsudU87sJgvpbTGiq1Mtj
pNFkN0v4N40vrcRrcDpG1LH65Lr5qufhiGFWXaMYDB9j9NxsK9r0Q/BvQDV6N0cg6fD8kjs6WkFF
Hv5X3gYPPpdh5d3JlPonin2QM0y+O+LpNe9SFZ+Dxbd4mkOIy3h2pdygAuuh+lpa19/41j+mXgpv
A+8BRfCJOqhmZJfQZNoJ37On1CIORFbR7KAKcFL+H2dnttw2drXtK0IK2JhP/gNOICVqoCzZsk5Q
HmTM84yr/x50Oh0ZMcj6WZXqxE4XQGxg7WGt931WWuk48MJ8J8NUwSIerXs3Vu5Czvkr002tnTJk
CquKbN7bXu3gYHeq3nBM1oWfPubNckz2lRHnqNnd6tYdsMgjHb6n1FHvtdDEBNckxTYizbHOUrQF
uT+6eGD76oDAjokP3zyu/qkAaBnmQWCdkJVUOHUp3Ce356zcSa7xc1SfkfhvKmaLW9kIG0dtKNq1
rUfmy5KqXRyK71lqeq+Z7uFtT1z5IdTGN0+qzJ0Rt+7NoDGpEK67yI0QMkwnQVtWN5qH0lsoFMop
sH7R7Py2SOPmhn13cRjjyc9CfsTJgzsRSsZp7JJDq0NGsCp3N0TM9ML3917P+bpr9buC6fpuSnJt
2ijjNMyh22krob7ImZXgK+SPnEugUIxxs3flwd74qqhO67jI4k0RoTGM9HR4VFgptm1qrauhM44F
BxofalQWtlCyUvx2flHtZYqdL2Ffv8vD0RgRHLdibG7zocUtlYxHX+jqXmNmgLLRbJCQrGt/eEdp
rN4apvFeKU9pF2ePvOmbNkIrRZY52qPWL3eRLsBgEXRMKeJOTV0KlsVPEujFeqwC+Zh74SZvW3Vj
9mm9NpsgdhK23tjKZCzMKJwpqSW7ZrDjnW5NRqFUPsmBT1qPjDaEjcARiGX8Qrptqvqhz+3ACTqs
FWMXuI+Nku1iA1m6b+KMG+tVBlyrQMf9qaniU6swgcRFa95UgXQfR+qpanzi0ajTfSqPr17DbIkJ
AmpTsmn1ONxKXkKYpfd/DSRzCtk/0+NAh2Cs9FvvLgj9g6k3/W1O3kJJZdhcVsxMNVjujajG57Kv
d7VN/jbU9WGf1NU3z+8+B7VUPOUk9dehsrfSUj1ZFKL3flXBQUBBNFLgfck6CFAW0UJiRC8PCtbH
A1WDZp2UpbiRzJS9pdKYN0j+flqkcYLOFY8UbllFOjnaoeHNt3kQaJx5qr2raMU+69CexEFdrLtI
AzoRWQ5uRs0RmqXckgUo3VH/1JZ1+jAUyinIbxPSAV+pFdl7FakV1fnBxXWk7oJoEjDr/gZWzI+8
6LbMKtqbbARrUy+1gz2M4c43cDmWybiCiqA/SSaC+c7gXJcb7DpJmaWizJHpsssysnrrupgRULOt
AAK85KjltkoHMMcIHtzM/wIGrF+NQ6JuIRIdXZl3VsJitnTUXn4l6m1seQ2kNkfLM+u27IL6mCOY
QGSHYhI5frAvk3gTpXaxDeP0xUoqvP61CUSsx61RWetEVhrswog9RBH1pxz3+mZEa75WivpXYhbx
Wy8Xt7mxZa3vj4N6g3m62pEI9jZJYIdreF/m5GTyb0av+6wLFz1FVYM1qnCNGKGpHdNBig9oZT6X
lWa+GhYlGq0o2cVMfzTF5w4C1pcgqMRtVxoT2emHH8X9UQ2q9ShYRyOoVL7nbSXqQocRbIMcIfb4
lHI6QWFo1TiF2xOy1IMHd3AVKtkXWzb8jVoqT0hdXiqBA0sX6ddIHl88KybtIw33sWptdOXBq+QH
D5KLKxvViixlDDgn/pk2CfthPW5Ii6SfUbTelRYuJlkdNu0gNw6l1bWRD/XW9KJtD+oHA0yNuLVU
j9m4L0394GOe35ot8Bs7YKdzSAaTmVUhm1CNSb4rs8wHVHLnWzCO6rD9pVbNIW27k+W6Xxur1Mkb
i5c07N5USde2KSnCxJtEAeI1ivSjR1J8pVZBuiOPb2m42VnFPWANVMw7BHslH1zWnnCE/ORfalEe
sulWUSqvSMXwq6UwOBjSdyvVSPniboCU5XE0RNhCtqjSNBB2dRtv9DLHJUV60Y/M58xoJMBS+rMW
jPFWK+6SYuIggAdDSPXgd8B+BlnGLRQi+MBxKQ6jADODKTfeKHV225pkKaxccdhw41fs5eRQdGRf
6zCrbhJZJfcG9afS0PwMzX2a5PBtCjTxA3CM0miPPWsJpKDaB8fkjjdVqB5NgncvuaG0abkf2yO9
2ZStot632VF2/ZMehOMXGeqO2eJbl4Ks3uTog4u211bJyJ67JFKcMHn2x9TcFJbqfxPevq46XFal
ELvGND63YSTf9U1zynlxpID6VdMKknAdVmr2m+ODHYf9lkJYfVBYkEg/TwrrVqvuZEXlcD5iYrXN
hg2Zq61MMrkcPVMF4tQ75hvjRi+Mg+clj6ZGwaDCJ2Z1po8C3Rof1Uds9+IYeP1jO071xsDXt0kG
/iMrZeUmGQt/pVd67zRUXddVhiGCZcV4FCiIwOfEq6APm3dvx3TBCby0g4fSqLNNKvrWscuMhDkw
yw5p2NYbAE50Hsq7rkEbldVkjJluFQqCqJPKEn3cMLQ9TDlkGWZdiHVek78ws8Db5wDH1vi7m3XU
jJETlCJc5XKa7voIz6atIIDCo9UVRYeD0F5zkE2ftV76ViSadGOxF4ns0D5WShc8TLUoMUb5k4Jm
VIr5jgvXfkwlysV+bXlPvatv4HLa+6rzTvIQUw5CQt1FqThWjUwFoabaF3R9uA2I1h6wFcUH2X20
29pGKudV+zI2vuKsVvZ8feiRk/qRXdxk8yC7V2NoUxrM/kopTbKbMtpFoy8QBSFp7WvDPim1G2Jx
LJonU6My5RuxRm5KuZUszIlji/2nKmPr2avQrKODjOydWwl2aoV5H/XihTREvSobaIQtjqxQqzAH
yfn30M3lo5Ghtk+zpN/EiSttvDH39m1G/Sk+VeUpqcf8U+9m391ARZrafFerN7+NO0iMuJEUY8vZ
Rn9I8cRKrV8cLBnTltqioxnBp7R5Nt6Q+HzhHJnexC7er1DmMJ+/hqnIv5UJx0gv/2zUofLMBv9r
n3mg7jL9VtQcm8hhgoCCBLvPNJccT1MWBD32pYhkhGHV+q1X4aCQKozX2gTMimNWzK66Ha3qpq4S
8TkpOgqLetee8kT+JUyXRV1W3sayoHzb+5gBC31rJKq6k3Q1cvwUdippaoAX+kDeXfGSQxk+jrq/
N3t8LGGA87QyPsuwZtXS5axsARVLtS95hzGhT0AdKJBNyGHIO58lmOPVUbHdfaeiBwh8f1NGeNQ6
lhdO2jvFqIONhOchJH80uZFfhCAdkKajtOn1NYkFbw2j9M5LS1ZhabL1SPBQIIKtsuhZTbNHrVSU
Q1EazHuevrcCABT10Onb5nas2mEXxSrEwMJ6FMxnMXmqoWy+jo25LQfKEuhR4pXi5q8alMBVtkMb
cqhLtHSo575h8pRXvoKXMgle7V5mApNgahmytWLeoUxaqN6x4/gsd8nGU9DFlSEyRsuscMWFTEkW
2Y/GP0qVhflZC7OtrDyPQmctyr9bCfMXEGpYZ4MxHIZEnAK0zJu8MMRWYy9BomE1on+9z43y0ZQH
/IoCRfqgNzdp4+nsUXzMaebwKc3YWiQi3uoh+6+BAL4ZYg7phV9jlwlrTKMRSU8rhk7BroEDSAxZ
pau3oWYjHFDJPId1cRoivb4vy3VRUlAOEKPL2luUMe8bhf9ojWm7w4NO4Uftkbl1iC2j4Vcba+OO
A9qhNqtur4fBnWU+KUlsQ4iqV1aK/ycbhfbQBcFbU8ChKHDKB0JkN71XIt6sSKQXbX5bS5mykwWJ
2N7T16FnkxscqaiMlpftwkQnM0WJ+SarJ6hsBjljgE5xKIIsYo0T91Im/eIQ2GzxNg1MOag9emGR
ZRE5O4WYLSKlgi3TNQdloWNfKdyWzTk66toEyWUNsfoGL/y5MevhkAX2uI7rHJSKBqGUkoOj5M9F
2iLPrJAZWk3Ybg1c16sKi6SDXuhdNBaGEE4kom3Ke9t3f5nTTBVwsLw1svRTayotZ2mgbnFbipe2
sdyNjGdoxZkR42XT9McwLyisuPBqBo7zWmH7nzCZj2vVw5yc55gkTDY+G1UDYITnwEdU6iFCGFAi
cjRRqSh10aZL2+Am611HiA5ibImEvATXsna10rxR8/EbE3R29Br+YRkRCOCQk1A6cNq23PEWZoy7
zTNVYoHtFQrPMAJIfZiUuklfqnFePcQB2omi9tP9QEHw1BdCOrmyuQkrDXEKuptVKtXKVkMadxsP
WOKUlGKa31vy1s6rLTLQlVFY1qr3tdOoAL71C+a/5NgGPuwDBRO8YtpvoSLIRFfAO/C7wqM0Dm7C
Hjxz21e5gLOsDSRjSW3jMKCKPepGtHWFAey3/xL0wKoER7eVXFjPaZtAbK4POTUVXc0emuIxqpH5
WXL0lAxIZTyXjXQuv8pKdypJb9zrNkmNBpTKKpbjY9SX360MLA67yCH3vxPI7IJEsDUKqAaAYjvw
DtMp1+YHewHABdsu15Wvf7YLuAxaWexGiYOJXvMP3NBIFMhfU8WXkS9Cn3Wrdoer5pBU/iYZyr2q
yreFHP4AWxDdeMo7JyENBQ2fklKqW08T0UoJyaF2EZsYICJrN1IfbfNV9vzvOsxjpmWsBEkQ/FKN
8JcoQ38NoA15mWTcxy3Scji5p854G0rvFlvBNkYUFGVlcHBLBR5quYrN5BhD0sAD597IYfKYAu6h
UtayNUypSw2Tg9rg/VWxvSOFjvuPc1KonqIDhvV3MfYYuUv72Rt1akR1xc4LSF0T/lKk+nUyU4L1
Uann6CeRfUJyReaobF7TOvmOD+27nGU/E59wCYzvXaA8oOqGAsf8xbak9nprI/XSuxah/bzXlKRC
kHnT1vWjbUu46blW0lL8UBM8/IIdklp5vySVQwXVi2lLCZTE+5QBQ8zt+lkGN0j2/ICk+k6ME1WD
q4Y25xC14zDNzvEUCiSBUmXjR/Y+6ZW4C31r2DXs9TcAGk7a+CmVbScMVLEi9c4HG510tFnrvx5R
nn6KF1XbeGBX3vMpDe5zwLFE1etXeaSA6HO8gMb5zMYZA5qnnoqsZ3fmpu9G+HmkIruSs5gyqvYc
wmuLXWmba4x8q6I8dKtXnMn303/b7ZNpMv1r4pY9srvPWsx68YSrVDz9O2tmYzUd0pJB4/Erjale
uZcLvz9YI6p05qxtyWF3j90e4eso/yiqAbPPwNvL5UNrKVN1yt11PZWvCj1Drf2IxubxL8OB+SgF
xmtfxKitu2/4zu6aPuzXgxJ+qlTrM8C/+xELoaA23djZQ5x3b/kw3EUBImNZ0/Z2hoJGF+JYYyey
5PibrWkvA0Jvfazfs7C7NfTEBM6lumvZGst/4+z/bnvwN8/+3+D+H1k+lIHn/93i6J8//r/nLOE/
f3Xi+e9fTh2S/vunu/+0Vjr7bznv2dS4o5r/S9Ov+eda/Ji/f93U+OC3P2znXRgW+iw8vU+dmhb+
z9+aMPz42K3oP81FpgYFigLV/58uTP/TguG3Bhf//Pv/brxgm//SZAVnvqZwsJM145/GC4b1LyGr
mg2QjXMi/5N2J/9pvEBPBtoFaKZlWYrFKkqvpurfjReMf5mGrKm2ZQraJkytHP5/Gi9wnQ/NCSTB
LTSD9gTm700JbBG0RhX3JvpcH2bKOA7DF18Y/b8bNfGCaGfx9+fysa/DdJnsr+4P0yj89/LG75cP
TSka+PzZL0IC826qONQhA8ll9daisLeBnXUgT2ulxgn7YeD/cEe68/zxjtPff+iygNA3sjDRg9Dm
KB0+iFguBpDj033VGFf84fxtlsZt+vsPt4FVZISdlxpbf8hbLDPBaLEBH0X2dv76SwM3NZP4cH3T
LuQ8tAc4EEqu3Rm2ZFpPNSfv4ThYNdJVyRzRdye0PXg6f8OlB5p1p8hRErfmdEPaaZj9TQaBGE4o
SdZge/4G0yv/06fAR/7xiaxgpKbTqPqWLGsWvriBr0JHku2IY3HJEWMwVoAegB6dv50iL9xv+vsP
IwjIAQ5ChQK7QbpEmklYjorrAP+LHUtfkef1IdT1rqcHxWBKR8rllhqvscKJ5Hj+Jyw8sUzAf/wF
sUdBNNY5THWW0Ndqmf3yMcEVMqkpemDcnb/JwnuTaRHz8SaQKYzOInu3hUNmvnplaW4HVY7p/vXP
NPaHaFp6hNn0EFsTjlKF9BupQfAu00bvWJH2XMmUy/Ft1umwO3+jpdclT7/gw+vKpE7PC1/XyduD
cnZ747PQa3Pt4TBajzZVBrQ03iY2yKYgPHmJEBCfv/PSAM4mjDJGzpYLDvHQFwGbspcjNZzrtupd
eYPpxh+eTPSewhkJBo6BlBOiRRQlyHNxMLhX3mA2VwgM4GlW5RIW2cE0Hms6bkifTEmTvQtz6sJk
JM/mhsqSG7nrdQLIdJExBEgFSfD62DySsACVSR5k74ewiK57I7OZws6iKXOIDC2TrDHZdaWCeKAP
kqx1zt9gYY2QZ1ODqmWu1eWS6dR1I+p9yikT8AUuamocFOn6C8Hz59vQMev3F1/AiXDVPrEcKhrj
c1QO/kOBRP0RT53/cM2T6PYs+ruotxDG6LaDjDPYakrhR7c2qCbrCZVc1F/1Quga+fuD+BBtI8vM
abMSa8NBSgDf295UNz3/EH+OQN2eh74Ly5oRQltvgvIiRdlrX9Ef5RcWnqXXMP39h/hrWjMzLdhj
Tgup+bmPcBuysrIlD7CDXTlCsxhvAjUdaLdiOVrVRgHnFnSYKxCDnKfPj9HSQ6i/PwQcN+A8/fQK
ilK1d4XfhDJ54rypbyL6wRRXjtUs0k0xqJUiUeJ3h2S8E/ZYUD+11buBkupVW0LU1r8/SWID08CV
QfBxDG02umd0OTVBZOu3agGa8AZUtG2eSNCoxlWbNd2exbs5MGSyrJtOW/KaHF8nrbNJe1BbFyL9
z8ukbs0ivQ+GwqhFaTqK5KnmKhNotKjVNC5JhUQgjg8brQwu3OzPszHZmN8HcPBCT046vjU9aXMT
fmIjdcdYiLblkGoGyn0EPFE+Wkqt9F/Pf33Tc/zv3o0a+u+3jHvPNZGLgWO3ha/ck+0fqx+VGP18
K1HxRnYVihhmpwCXe5RDqlmvCIZU/XT+9gsThDWbIAaXwrMVSS7ufKnZ+FosKEjTLuj81Re2Hro1
myD0tu6DQhS2o8o8zHZE11tvLS+MB8ejsux9ySWtS/Ya7EzAX5zg0jvBgS3ExCh0/UKALz3jbAaZ
wCR51gWak5suKCtjtN/zvu+KCxPU0hc6mz/iUjWUoafZk6YGnUPFLNwi0UyfJCsbHcoOzYVzy9Jj
zCaQBmWyFYae5njyGL6FViE90q7DuzA9LV19NndQMUhpNmDaNELr5HANwIsSSRNg97sytmYzRRVg
2RR9aTkUQXAuayaCr89FrtJhKw2anK4JaBu9H3kyVuLCm1mY2c3Z3KF2acx3hIvZAClJQhZXApKa
yCve24Gp8cLntXSX2aSB/yMq0JyZNDGKo60BkICmcB7d65T8um2bbs4mCQysMl2QetzkDVoxERgt
qTTd3J2P0oVXb87mAEMBYtezQDg4zXGD1JC6ofOL6z4scxq2D3sETlGZpYDTdEjbgzr0lS8pjIML
b3jpp09//+HiioFUGpDrCN5SGk9dmwq4IZ6EK++6oZnFth8CzlJLEDmSS/ZZktVix3lAu3JoZhFN
CUfPgdyOTu3SM1JLWM3oCude+C6XJl9zFtJWKkay+rxXhYK72jV75K53SQJuB95Ub0kOTOEdCm1k
L+bh/HgtLKDmLMhDWSrlzq142Xn4VaYsufKafgC/gObfxU2ztuv4wq0Wwm7K+X189Sn+nXFU6GfV
Sfo7x9uo3dEnK0+dmvYkF4Zw4fMyZqGttmabhiDckUUa5ZNdZ+FW0bLowgljusofln5jFtX1RGTp
RqNzkKHRXrEY36QoOnY5VkdVc1+rDJWR7YYXPraFV2PMolypk9i1YK85la7jzShVQNEjhs28STZu
VlIs6OMLD7Y0bLOQZ8V3IbeqtPLIQoThpS6gRPnIKzbnv7KlVz+Leh3BRiTRcWhrkb24qQ28KkBF
41u8JumF1WrpEWaBT+JWapUmrHdl43XVJ1fxIu+Y4457v+4RZqEfKUFbeNhntz2QVYph47NpTjoA
F9/e+TssPcEs+kG+RpplufShjH0StBX6cqqAzYWrL2x6jFmgq3moCZeOC9s8lb56dIyiLmo/5FV4
U+dI0q56BH0W4lE+lpJUGX8/gkbxjMaggK6vu/o8uHUa4Fo+TcJsJMsrMV29unqA9FlwR3Kbu3HF
1aHqgFDPh0cvN9ANRzg2KNJf+QyzoPY1DHuykMnhaKjf1dSiXbA0Xjn8szCO+iTGu8fFgbUk21ED
r+11oHPOD//CfKTPgrivyXjFQ8RPF1D77fJTXwN5obnwrs21L5UJt+C6G81COYHGl2aqjPo/1EGj
ytgj8C70mA1UdW8EyYVs8dJyq4vfF6SKhkdI3rqGRiMKrX/hi0X2XoqLtRFJe6+Ut36rnZJA3xTo
/a57tFmMyy58mwH/OY0BBvYPIaIPvBJVH3zTIuWTafe78/dZmEv0WbQX9FehnU/TYN6jeZ8RBvEk
gzQvPMXCdK7NwhzTieQF4Bq2mSYZO08ykFnRiO2BuTC+8LEtPMDU7f3jZqFvNJFqJpgoUPoZDXNR
HoGV6H3T3JwfoYWvWZuFO04mO2lybIM6CPsnu9RpipJYvAvc4Su5tPW7ZEBGeP5mS08zi3olcEWZ
9bToQSYS07i8UjYVXRm356++9DpmYd+Ubq56qLmc2lbfcJTf9lUSrFJLujBUS9efnurDnr2vhjAZ
Bqme8N/3zLpfVdc7RTSNPv/zF1YmbRbudhAkppKaNBZhy7PyO6RybeY/tZZ3QzMh9cpvdhbsKa3e
6aMOUqMMMKiUtJMjGfVQG/2X80+xNEizyKaS3eUVe/StKINtWrmfaMUJ2Du5PX/5pclKm0W0FXSe
xBZhcDR3lB0Vzv0aBw+SFiWLt14WBo7pwoXSyjq7Q7rkbTSI7RfGbuENqbN4bz298SOu7MRsD+9B
wqYbaMxiLw2Wie0obg7nH3LpPrOgb4pYyLGbNQ6dVR6iBEO0JnjWHOeAUdi/rrvJLPBdKygmMX/j
dG1OF+tyfEjgFa1MkT/GfnDdSqxOT/ghZOwUTHguJbVjKeG70ejBDROO+Xj+CRY+NXUW7zC1axCo
AbNJ290rlfegju1t3vRP111+Fu4jjIjQ9aPGkct8YjBnW7fL3mKEr9ddfxbvdMztu0Dl+hbcgihF
ExRmN4rQLqwcSx/RLNAzmvt6teohSjVoSyAXk3AJ2mNNo+0KLuCFkJi+lj8cBSeZyscXrCh5jole
SOwW29saCwf8uBeXHlQeoL9GFBf2KEuvehb1YMRwKGSMVdSwoXPHLUSdnUv7svOvYmFdErPA1vJu
QISrSNtsbPdlJ1BuXngLCz9czEI5H1AqZvnkT1RQTVbZPmG7MGrNhelw6YfPgjiI695vGn446j85
p4Rsv183IrPAjW0IcWPEe1Uy65twi/vINvfXXXoaqg9zQlO0UY/Es3ZQDKLeHmrhhA2otvNXX/gg
xSxqLYRWoRzbNbR/QH60kq/jWwvVMiiEk6jEdZ+9mMWuJ2pPyjVZ2jIfo7tVJuDit6KCJeXJBbDc
+MoPcxbEfPVFEcvsCfSRJkpU+4q11tIT5PxY/aXo+kP0iln0wh4wa01Hy0tXaac/+HT1wHK08t5K
+AEP7TYFnLWJT+ULKLRLmbaliJiFsu/5hQZEv8ZnAl5FDt50UKurTHK/n3+ohesrs1juqCMOQ+pW
W8XP9ygjjY0rhU9gGYcL737pBrOQLptGprzKDSAQPALBRyiMSt+wr1sW/kd9p+kDSmu72paJiug+
+h6L+K4y9QuXX5gxlFlgY0oyVRo01Y7dqdq9kenVvtB640L0LSw6yjRmH2Lbx+sWswOXAJoixk+a
5ruJFthOpRclUKsrX8AsxHu7AWpnM4GYQu6CtRyhddromGZjvB7QMK68zSzGwX4CewuJPU/Lv9FQ
60unZ6+yG1/Y7i99RuL3oWqRppeGylDRAYqqyLQkSzHbcbWBrnddKMzCG0sz7Fi750Qh/GM5mm9h
0N1h4X85f/mlT2kWyWFiyprpq4AgCvWuDKVgG2hW4Jy/+MLwzIVyjVeib21aDls6nGGANJZhAWUY
L+jwFn77XCJX6lI6eGpSYezQxVqU6htw5OK6L0eercqDr4Ckwx3uaEN768fqTdZlNFVMLoTwQpDN
ZXEweEMUw5i2os598i06nIXyM2jIYl24xbg9P/5LN5ney4dIzgD12i0sKbpaBypt4/O9ZXm0FEl+
Smm0O3+PSTD9p92jPItkumVXWBe70jGUzEkqxL+6QstSLdF/qp1yLFrX3qSef6A4g1EPaNgmkPNP
mlQD5XflS4eUpU9tFuidpDLj4kJwNF88VDX2ds18rmz18/mnXLr8LNDrjgZRuZFVjiup9B3X6YiS
H+TkUvpuYcMjz4K8dS0awsQazZPqYGuKnpZXbnXy1LJZCSu4q/TywmyyFDKzcA9GUFglFljHxs8R
acN9Yl23S9bmqrhOKkWMbqV0/GTC45emMcF/MSZ3oSBBeM17QFr/+xetR2mfAupjoIYaDgxt9Xzt
i5RHz+cv/+fh0eaCuB4hbGyQe2BGaYHIDcBq0KmqFwb/zx+RNtfD0YFRZy+DSzvWlC9Qs55Q7281
Kb/wjS79+Fm0+7AHQVr6laOLQOu2IsqA0HqUkKMLv//P0wlgoN8HXwN2YDUABJyxl05BAni/yB/7
NHN60JfnX8DSEM3COA70gowAt6jc9q6wvLus6fd1cKmwtnT5WRjH0DKSoh2AEanmDxkjz5p+RPVJ
8WBGXfcAs0gWZgsnL+ADbWiVTmcv5dYrIOKg+b9w8lp6hFkEJ70r1X3l8wiaV65UQzyALH7wS/vn
VQ8wl7zRJbdpNJs3wIR6i1n7NqKJvAUs/fzlF76hucjN7qDehrR1c9Io+Iza/AlI5iej9R7y4lJd
YukWs5WbIn8ps+cuHZlaoB7FHNuBzVnJsQNyef4pFl7CXLhG2rV2jU4qHGx/XwzPOA6U/mns9Xrd
5afbfli3gR0nkZeHLKmM1cSn6laebnnrRquum0etWSjXalhIIQ5pMAf9S9+PJ5ATp0ayX84/wHSZ
/z2TatYsjGW8dEMK1NCxrNiAfxcWRBqA8k/nL69M8fqn68/iOAxtGkaFAz+/yF9GMwEZWtwFUvVd
LaQOqrjxAiOrgQyk6kA56YtExkbBmR5e+XyzKG9D3XATSy2c0S7FWqm0+7ajq8v5p1savFmEN1Jq
ZXqfFQ7kULoYr0y1oFuCZdPV7qobzJVp2pDJNlXzwhnyqs7BLhdFRQ8WrbhUxFl4AnO2Sg9RAysG
WC18NE8GZ9+bEKgb2+zKC0O0EOJzSZqSCFnrbCl3wPD+JHN57A1oD/QrupdLOd+dH6aFIJ8r00yz
x6HdyrmjRuWLHgz6SjZobqdyrr/wGEt3mP7+Q5zXMdrNSk1JbI1j+t6O/XCjjCL6huc6vaTEWLrH
LNL7oDTKrmeoAKKAVTdKCCDiqY+Vq+Q2mjkL9VhkXSKZTe6UqZXvh0qudlDI/Aur3dKXNAv0Vm3V
IY+htYWuDjMncz0AEFZ+qTq/dPlZHKvMsroAWurYqUtrIhPMrAZnNDMunSKXPtRZLFMdjbI0b3PH
MtPQqUhplqX1kqXpN9qiXrmvnIvRzCgRyNRLPiOtplNOdfLr8YttVRdO8QuDNNehee7QQev2Cshk
9luadTTI0LRLpcyli88W6wIAFZ3QkhzXgFS+SYZCK6woaa/7fOays7yu/dBU9cxxZX1NRlfegNox
tufnh6WfPovecpDQXMRc3MrqmoaI+iFKL4rYpkznH1Y4Y7rph6mhCGAj55bInDAcAunFgxhGX/AQ
rr36ZMiNWt5KvmvI68al7dRjZbpmfihsYcAJ0ugJd2gKESkRxHa3Gxx8Pmq36bohLL/1Fv0TNyn5
bhbKqE7DQ9K5Xnnj9RjkHGkMfZ1OCRGVV1sVRvsm11EUfLLdTK9pT1qZFv3vDBqXdb2tgHzQ1Sr9
2pua5j7WmiGF32XPiJqfcWr6ZPKiukjuDVIEgPyD0KSlArCfbtvlZQ+Rr1RsHeBbAkfUHdyi3Cmp
OjR70rCjt+/sNkkxBuSGfOjgmtqHzJzI003f+8qtDAPaJckA/DG98nXOJrKk1xp+uZo5ErXvVUan
G90asvX5b2VhFjZm8xiKyoHtIdTa2JiaO6cPcC9uXDO4bsNozOaxlhJSHwt+uw57pbLjGzOjiadl
b6779bNZTG8R+kAvyh1h2z0NRWwwKn34Ewf7hUVkYXjmWrtS9lQjog5JaiWk4xRTmNpJb0ZYPl/1
APpsQwIK0G5TUyaaZOgU9KaOd9gBg32m1sl1U81ccucbAT1PhFE5JmWew4j5n9NfqT2df4A/J4g0
fVpfPkwHZeK1bUtfS8cCIrNGuBvesuUdt0VfisOgBsWxUeSr6rSaPpvXijSoMQXZDBaubVqGFZ/L
tFBWg9tceJiltz2b2+hxCUzBymkvUBe6t7EHPaNddAjXUg+iK/c9+iyclRQgl6TyzRpeovdbeg7n
73nj9z9NiUe6EBjTL/7DLD1X3dVAxFzJr3ktWvwL7TS9iKvrnD2aPovpvOnKthjMjJNyZjynedK8
RrQM/ploQ/d1yNTs13Wf1iy4afM0qnSsYWoq7NFaqV5gUj2UDHEsopH2u3SR1gdIc13/7fwNFwZt
rrjr8jRW5N5ju2Jlb03WdE4QBFeu+HOtXU4vmnD0WJTVoS7XdqMYrPsg5q/76bPdSidjxtcDMl4p
DW1ufHpa0iSokj9fd/VZkFdh6kUuvXscPf0LIqvKbxxyhwthvTTss7A2+6QYk4qtaOQCV2pSK6Se
Xl+SIE6/8Q+RoE13/TBBCTVu7GBa4KzEutHi/J5N3JsaDJ+bmq6s143PPKRLpW96DscOJB713cdQ
8E5zR1ja111+tkbrQk1DnxYejm6YrXSI7FRZy+7/cXZuzXHiXBf+RVQhJE63QNMH2+1TYju5UcVJ
LAkEiKOAX/+tfq9m+pt2V/luKuWBBqStra2112Otf0XncUH2BsP8f78jNENzHugIhtHdOJQPql7A
6+Uh7A4z2zcOHBqroxOFk5cHA9aTQxQs3XKQju83XxwDZ3O9CylyxwJZpV3gUJvCohs1RJhLGZ1/
6R2eq+sCl67YjCBocXpy/QO0OUKRZIbJXfa1G5yt5Ks7dmjF9uotpQQWkLMtLEOJB/asVwbZhcWJ
nk1xIC/Bi4Vb1bYX6q0fyp1cx1c0ZPz+2u8/m+OgIy9DPK711nQgk8+CfqwgV1357Rem+LmYTrQr
6fsShJnJZbmGGaHn9VcytAvzm57NbwCJXGHhUAM0PIStMFPYwvX/EayuO0d437/2bs7m9yB1Jwja
6LaxH1GYHkzg1omuvjK9L33Ys+kNMjK23fi2W7U0661wyXyifRffWCS9K6P/0i3OJnhfsLphNam2
yNeOIXikPPC2EqyEr72fs9krYHjNgq7B+ykctqMAS+20MV+sIpzr52wZwJ62pNWWNaCOLWztvjUF
m3bAyoM19/kTXHhB50o6FgNwENRuhSQZGBcAU+GC7j23y/q1EeSdTd7O1EKAWo03xKS9jQbYGmMd
8h6+9uvP5m4MgspkCVb/gko0EcegaKx7ORRsySzMCcOPz29zYRZ7p5f3j6UUhkk8CqhAkA5OGLC5
jiP42jqAi1+JoZe+wv+by6pvp1hVW0+PT7oh2Ti4T4Lwzee/n5yG+3/kAufCOtijDJELa1J0c/dZ
5MQ7Uk8PLQPuEyQYGPrljc/uYGD34TZtgn7iK/e99FhnE7wGS9opoaXcwHKT7GgJfNa0OOYZ/tv1
1yb4udZOK8DKXK/XW1hGmpz0ACWYioLGqEBX/fztXXqKs0luVqdyeVXr7bTq302rbzwHat8F1uJf
uv65tA6G8PUyLvjhSPojoKOsMT9hwdjdrzqGA/HXbnK2SsMaiXM44ujt2oXvvi73jZTPpliuZFIX
Zsi5vI5NLo7S0VKKxugGNqBdS+W3cByuKRlO0eI/xu+5vE55fV1LfvoEtODoPTAtEHzDWwFm3kaX
TgCKZMWujKhT7Pive52GwT8mO9BH47wChQD024nP4qpkrDq07BE4Y8Ho59pm8tIbO5vyMciRAFch
5Sd2ICeGFLSv8Nn12v5Ku8OFYfs/ddA/niOaLDdIn/EcMlgyUlJ23xsw8FYYEXzxq5/N7yVQOGmw
LWzIiZibQ+ES9+h54GlfeYT/6d3/61ucLd8Box7o6iOGFbocKvSTArwNVxJ4P6JRhfgT+IKm6TOc
v7vltuh4hL6qIpLNK/HR/Wa0MGkVMucphCsrjroWKAMBNZCxo99M4xGbW2Nlm45+Mf+mFTuZnRfD
YVFyQsce/EgBApcKVK5KsfWbJGhVeuy4XEFadCGIPRZGOiuYiY7swVSnHdyHPd5MVxLTSx/wLO74
a9B6p7b2jeA4RpuAZri1QVHtLHOL1y9FhXM5oHQKOq3TBE/7wn/puZth/D2WznLl+114gnM5IDaz
S+UEttzStTdA7bJ9uw5vcXtt83QhLJwrAmHHU4m1nwETULX20D+0dMMmXqDFyNaqddZDiJ7taN/H
TvFFtcS5SpC0sR+wyS9Rk3aCDSutzkVb5UGAQ/UBLVJX1oQLQcg9C0ISpT1CO7jct0YoeIU6CEDe
cjDAJQQWiMevff6zGERAWB7Lbiy3gR7VMzTr7D6SYv41F8S5UoS9NATOdhAuj0Phmbbc9DMtA2Di
5yH66BnQfDsFFpF3JRJdel9nkQhaCTFOAdxvhMLpSD76M4HKDQ0DqlojL42mqwdYl2oG58pAIVG3
4Z0ut271waM3yKQ3w0o/TEGBYDb7kkQbaICOQ3etgHbh4OncQ8+ZDUFJoi63a+3sJJEZvHgACnTT
FRzBmVQbT7f5HH1tUNBz1WBIOVBVOgQIQ7ThsI917+dNFEOKEIhJu1cG+H+PC3jr/nuV9XHtQMGl
JZub0cCsXLG0HZv6QSPDzj4f3f+9wgL6/O9bwE2tVWrBEVoY+kMeKCJS5bjXNk6Xrn4aif9YXieF
gikdidwGC3BnnVrAqdLi42s//Wz6u4EhWoean4CjBxegJNYEV178pd99+vd//O6TYykIMLj0ujK0
TCEjJ+3281996ZuezfUFToKqh8tsVirvppPDLm4fuuJLqyGFB/O/fjd0lG6IIcMzU9j2gP7EIp+V
8yR0kX/t15/lGtwP4RlLnTibR5gNRzUos9RxfTDH5d/P73AhdMAJ79/PAAfejvuwwdnWdffXU+0b
+hOPsFR47Gaacye4nycJhM0y/K3MtXH635ERUph/31MEoQAhalRbDap6PjV8PpAW0bGngqQ4iImu
BPr/jlL0XEboLDOOkKpOwemT3nTg2vOJ31pqATQAbSEytxh3a1KPX3PKpOdGecDttmNPmzhDPcqx
eX3qXIHXZLRmn3+sC/PkXFAoIdVtNatjHIQHtwJ01cVvf3zt0meze5EgqlUCiZ0eRnTSjzVCufaf
Pr/4pe9wNr8ndEgAKNzwrDLhC7dh6kxvUf+zQq2C1t7TtABuU10T01x6SWczfoVbVQ/WukL1WrgZ
4IfjB+/q+Jru7kJAic7mfAy5NwtLP84iBjxLMhDZ5iCwfIwTX53k8/d16RHOpv0YANETtjRGz/kK
gtwjAUT78ytf0ETS6Gy6MxAjYdQm5JYsDp1uqrKo6K8wmCESgX6iO8jFh6rXgZU5rH7X2Y0f7dA1
7SZEY+7wS662Y9sBCXr3pbMGeq4ynJ2WwB1mOG3XukHsy6muVF6E2jjp50984V2eqwxrpYYgIjLM
xnh1/AOAFsucw0UdXeqf3+C/E356rjLsBqDDJg5y69jAELPk04Pi1bHk3V/ftfnYXmvhvBA0z4WG
SBl9aigoQqMpJHIs964sRA2wprOrWHileHzpJmdhwIA11/MBN5nAxEmcihy9Ve2XlbzGpL+yal66
x1k0YHKEO8uIZgBQQnLAqh5ATHkLA/8viinvn3+TSx/9LAY0ZRS5LuXDZvJkBYSLA0ebmbn5165+
FgJEtJQucyjMYNCgC5RWJ446pMPL51e/EGDOLfEYSm2UBC34UyfEkwo4NGlDTFIZsWttUJdez1kQ
UJ0lDc6mT/ROWX43wI+IJHDX8ErOdcqX/3+FhJ4rDUE7s+0wTjBa7jBAxx7u9K5/56loVxu2q0X0
KsNrzYMXHuVcdoj2b7rSyO83KiZV7oPdB9zOVX/CC3P73P6OWo+uuhz6TduIjU/8I6OQWsd9+zES
9KsVy5/Pv/ml+5ymyj8SYPCNYRgXgqoE4taTAhC7CuWNNu0965fnU0PQlfB/6T5n09svx8ChLb6M
JeS+wxEyjqGetAWVMax5tqhr4qBLX+X07/94Hmc1VcuBytwI9DJlMfr5UgT5a55rF2ZIcDa7V7Se
cDV1/SY03rvS7BFWFx8NoIOff4xLP/5sestKVk1j2LjxYxkmjseg3V95s/n86hei37kIT5MSmssG
27OGj6PcgKi3wId1rFSVL4Gnu5x1xrtmdX/pe59NdD5RzkiBRwGw4Tfc++9QL3ybPB+QxCnam/la
p8OFhzpX5hnJw2EIcB+nQlGt9e1xNjOgmjLaRZDSfenNncvzygKBJVq9bhOZuQOWfMIC1bVTEg3e
Q1/xK0fYFwbXuUIvhtfDUPl+t5nKEdg+GYHK6YT6VizEfm0Wnsv0gEMOgrWz3YagFpCgQeH3yorb
Ssh7G0zvpAXx9PM3duHzn2v0VlmxtUGlaxPHuk1KxxyqEqhR4Yv7cNAfdTtd2cBf+v5n870Ol3AI
QeDbqHKSiWG+SIrV1AnQt13Sze6VuXNhZp6r9ThjuiNFgNsMLfBsoiQ4BynGK2+LXLr82cQfybLy
sROonEBTHJY47VxoXorGpjAIvrUWXeOlM7/6bN6jnfkYK9bmMEDtEtL6+eDP7hfHx1n6zyluNUI1
vpGAWAc0UrCzM8+iJXcGFoGAAH7/fHhcet6z6IAjCxwMLHGcM8dP4sn53ej62+eXvpACnKv3SuIR
8PXaMG+DsUpZa2tA+3y+43013oBLOr5AMe5ty4rL/PM7XniYc0kf0dA6rnCxy1c+az/tyQnbHBBd
R1cCw6UbnCbZP9Y000cj9iomziMZbZq+BeXwiwklO02rf1waVnbtsICxmk+et10VuLhhn33ttZzC
3D8uDTiM4jJs8VpOll+RQGtS1Y7hlZF6IVie6/lgv4MmkqVh2YxuAb8ub+vOPLhBeGVGXnrlZwu9
60MoRquKZfDnyGffu2e1evz8vZBLI/RssvtwzZIdrRmM0KO/nrb+H3jXj4eR8/ip6ac3aosfo+mO
Qbcu21lO466th/KphFnSZqykm8xL0yREgySpKXukceABglhe80+8EFHPVYC1IW2hxybE0UpdvOlW
41xwJSsUyqQ9MBiKPH/+Hi7d5ywGKKc0LLI8yCvjADHNxqUGkhWdOztRrVbeDch8rhUfPO9/ldH/
2BqcK//CBZDGqWj1RvazreeUaKU9s2l8NFb1Sad9glEKLHXlpbLz4hCg+HJdsItwDePA0sIPAlSN
RptAVrkhoijhx9rynux6rYL2J6UW0kxs8osBAMxOWDDrO6UouYkleFXHqeeWBPsZvg8tdIG+Nfo7
Q3NR860hJ0ry5IGeBL8iF76ktKjc1qQTGdrZ5MtqSCiypZ0skHUsbrDR4KpxkjmMigMt6ZBCD2C+
+yED9VWv3Y+uWdkHcAXo8A7Bsg5v4NBd8aTAVncFyn4mzQF2ZPJgbODeLXU8oBV1UTM2fVVcOf22
9jlTP21EjHOo64KJEdDyTh0gwQq2tmZ6O7qyu/f6BaeJpYL2fo1kCWhFReFY24RLlaO6O4q0mK3I
fWcFwZKpvZbx+ibRCPBaA1wazSLXQb1vos4/TbEY4FhQyOeMc1qlQQFeczS6qQ7Yhnqx2sP4atpG
de/lkKVmpfH/mG65legQSkk431Hb5n6DlgM+2e0y6W3rxW3mTh1JVRSmvVucCNP6SQZe2rV/vP6m
aGybNHOfMpgngwF3A2dYUBHyuJXbvtWHeXmCs01akwLdJDdVgxUXjtSyTNQIQ0vbYOUaYd1d/gTV
fFt6bp+O/Zj0/bvAmlOBSAtZ6X1fzu+z87snxR/gHN6p846mr7u19Y5zZBJT1uli3XzQeFcwDhuh
STI/p+kPdpTB/GS9527pDvBTSjrwXpWHN2a6JFi+97HJ5NrfRtOLFfKId36HppG9P1fvbjz5iA4z
hvGiEl+tD+heaQG6BepwgGBj1o16gs4XDl88aHZzjEbk2Zn6IxkGlkaUN0fpCb6FAJvqJCh1t2fG
p0uGsYkeZgFCsoMiZDcsMV58b7JlbeMjXq2bWKx6eAYczzYN+00Xb9/X83NRjEHSWf9QdfqWLywN
C3qcpM7dJbrz+PSjm8T3Qk5/aeBrWGabDB2DJfpxLZpyHfnqLeLbOPQP/ooh17Y0iXBItqm1fG9W
/xepnVdYQbz3a3ynQ5U2i70Z3TmTjvfd0gDez9WSuq4ED7iVbxEMc9ASnZXecNSqxLiopt+OLXqg
1uMNU23Gx+cqEsgfc2Hg+zT56G1f6M5V/UsZk2eqaMZMByB5Y57oCiPbeL7zvVcShDlYDpu58G9r
L8RBEou/T1bfxa5+EkCSLMV8q8No45sJlI02c6oSBw571DByh5CjlpWBw3Z/7GE/JPsuE9LdN26x
g6HFRo3RzpJ5C7eSGyHrpC3ITSuGezQKiaxRzWaUAvh6kIJL9QPTLVk1vxdieeVun4GjBxz8j3IN
Tzzy3AnCBHq6dMF6jzAoIXmr8d9FHB8VrOXcaEpIfc+aZjeswCSWZgMd58PYO/kYmKPAkFKm3gD6
s7EAVZA+LrJu1PdCdbtR/w2D3x4tX9Amta1VhOYcZI2lf/B4nwYde/WUxI5WAve7N7F69iJv7xrQ
bgS2VYAibD3WFRk6FW896uYleEJJq/BNo87q2976Mhm96B2o2jyamgc6ouPQTPQdVtkoskXvnjHH
9cTSmCdwmOvbJVZ5B0BBUrm1PUWMbwBxPdR23QnuPVczllK5oAkRvalI571YbJgbPmA1gieM9WnS
UN/kwejyXShBEo0D9GqYvgKMQK8YFGM2Ye+czcGkEjHAX250GPuxlrx+BjIuNkk9zCvfjKNXfxsL
nDclkNKED4MXsedinmNw7G09PtdELVkrG3z+stPpoNAkvvA//gKqO1DsQ5Dib8fmeaoW54ER4MYT
1TbQkBYOwbyu3B7d8TIqw61iVL6yCjiR1PPjBtACqcM2CXy8nJfYgnWaoCkBPuKqYGGFjnrDATOn
w/iNTVP9UsUCHreEIaRmK+zUmmSSptoEvat0GjE6DzdWLcsDhzUu3SwceqKD3wT6V4RD8bcoRJWt
6Tp6ZGxw7ry5YSm3GinU1M6izvt57JxNRWKkM/5Kym3l+MMv6kANHi5M/YCNrydSCLabt6aW46nr
n6VyWutbblWULlVV76WHK2berF0g3nU7+lnF4XC6D4plim9NxUn5N3D8fnwiRcWeZxFDh+JpR9Nk
MI751c9y/sW5V79E5eAiTBi2n3FuegdDv2XeGKz6fxdgmEnW9ia+Q0/bW1nFzs0QAgK4GfrWxxSb
nHjMdB+hfxRaLHpgpPFzPox1lxd6iBHLR+9FeVHxY+WywbTRWDCfh75v9kNI1HO3+u5vIWBAAeKT
nOntVMXth6h66m6AhBp/oBNs/quqosu4FWW26pruOydgx1LN3h/qTczgO9JmJ4i7HBW+4s8SsiXY
xg3dcQJH9Dd37cAe1lrH2x4L00PFgvYJnh3181K17Y6NcYc5CDB1nQ5NgBofnzt3x5s52q9SkGRi
VfSqcCnM0rBD3sD69XsP3UVxiLwg3LdFqzJwcX52hPX1ppypCp6auFM/Tog1L3FRF/09ON6Y92Pc
e/uhB8/hfoTT8JzpCQsxANkN5heLayxMC9P3wdz0GwcUs0dpfftWRWT+zno3/NYMpDrgBMDPVV3b
rRmkyuHA7e1iP1yOCJjTr2Byuh4oCltk5TBEOybwm5YF+rUTEDmN48h59Bc0lSxBAUFviLeI+OE4
S4plbvrezaQusqZY/AlHQWFMb1c5VX6qhkZ/zGtbPfhFv8AbfZI3tbXhW0hFlTpSkhQyS5pan9S4
S4sVDDtAGYEWWgLkrv8GEmcziHdRDTLO1rZt1x1VxMicrnWH0AvAODVPcAmZnRTdc+37OE+RSxPk
jtFbF8fsVSvuyrsWsGKB9mKw3d5r+FKrDBBEEqaRK8i0L2fl+Zu5RoLDk3kFWGQ3ozN72QDmPjrJ
Os3mwYf+t0/IHMJePA18OIXlsEnHaassXSGS0EjLPzQGqnUSV6+6FfCdDMdpBEXdoCS518wOY7cx
HtxYKm0hwoolAsSDguVYlZZBiUUsjqq0VnVfdSlAd04/pa1x5AiKOWjhSHhr+qSKwvupKcDscAlK
B9E6HBvOlj+DazVNiU95gNhnw+rbPHuiRgIYCdHuBYdCdw2kjwSGO4psQn8ZnNRFiq1vaE07k42I
gk91J7i6tUXpp/G8zl1eLbNZUiCGXecXEp5xuXMrEXvbOPJDr0jRY1Sz2yi08fh3HEFNfLalgwYM
S/ohPtSeJR2DtAgWyms6eVWsbpQey/CxYYD2NolphrG/tZO33CHGgDLvAdOuN1ZVTnxoR+s7GeiS
1H2yrbRwMsPL/mFQSoyQI3qTC9TaQL8DHFBMqSgBsAfXvSp+ifm0lbOhF8VbVrV1kyh4Zq2JW3v1
q1sitchmycGWrvS8+lnPkDBWLhJ5yDNrFR9jeNYtWc2Nv94VHXhbD1PB5nHDFkCxNxFggTPe+Szm
TVlFS5hJS7tyV3N4/GZLU6u/aEMZi52pSNG+4tss8I4BT3JMqZLumHJM+Cl1WwsjNeH2SLAIFJLQ
0QI8WeKMcwp4jnbfsE/RutzQG+YNkd7VaDwZM+DZVnYE2zF8132N4GOWQjab2gROlUwGTfS5tdPk
H5zeovTlu83AMrhXRsWu75qxzfxWzkGiPIJ36DG5/nTggKaTYl4l3/irN3wIS0kMso4f6N9rI9Ur
JpbfZC2cte+jnhYrys+2r1NYylReMqEJrN6Pwxi6aWRjbVIw/kKZo9e7We7QkdNHKf5Xh/0eSlab
FE0b2Hkb1k3fwcFE6OawKXpfDZs/hoiur50iekjHuIARHz5MVO8AeVrCNFwKBw4Mpbce0fIh8gEt
s31mpiiM8kIaLbP1ZG+QYGyQcRsLZwyypiq5e0PRI+wn6FjD3whAJdTegftSt5ljs7TZOEeAzOCK
tswpcCSQQvaYeOQg2q6gf3x/wMbGx9HqT14pi11BSZ0/RdDSZWuCanJ2TIHWuAMuYX7kKihNprWn
ypOlvucmYeUhvImg4FXmBapl98SW/EiayTlA67X+jjWB5YNFi/QE44c4hcwQ+R0M8SN7EJFlXt4O
hPsJfFTpG+KFqHLuBRr+xTqajk07hL8WpEV1IvExZTYTzv7W4azXo1CmHXcgx3vfOoAioo0iDJgu
O+thOmIJWnlSx00wZwsZmyB1kGbwnewrAVEbGUMvXcQUvq9dGfno1JdtiMb6uC+TCF/R20nqINES
aI2ebguvCMnNREuM2Fmz0uRrRzA5cX7I4iMduNvk9STaORPc8ZoNoZBp5o5Z3AgbIlwbO4gG0uli
RUiHlxpvYc08lR5PcAQSL0c5u12fomGMrZulD4YVq2ml+ye4vk9rWq7uJCDNdL0qp4JykoUQdIVJ
6Djrqyr7mGdYSwco+llEXk6j8gGNSfBaL5zKkAPqacGvU6rpJUjI2ZD0yuXjDiEO4mUp48KkcVQa
SLqZR7wEnUdBmazcJ3xbLp0Jt2EfQyVgLV5c4hfL+N7rqh+ywcL6Mxv6Gr4YPa0gxQ80kq5DWcje
zRiWnzELA9kNt5i6dDiIEU2IEES6gOP5WJXewmiWdcqwocTO1Yv5QzNIVx7qk9lqEnIoJ9O+Zv3H
2o08QB0jNHdRxwmyz7nHkNWBnGFSG+LAKnVDtsDxXdTx+0iHpU4Y9nDVvuSiDjcr5rtOWaHCB1BB
h5dlPjWHO3qsX61j/MdygQ5KOk4xJC2xfojyiXBR+4FRerCvFbIkbH3BakKsiYj4hoqfVhC6lSuk
B1QEq7oLndrpkwVA+o6jPDSEc52Q1ZzigA24Wsuk4PoUpe04Uf8F6MwOZRQww8vyqXDHngAgbU5r
5+i0gzvmPr7N8Mt1Bq+Yk8Gytryxcy+kTmbwp+MdXENQ3J3hxiGOPhZm/RSL0QZ3Fvl3/9hrBM/9
NKw23o4V/Kyz1np8uaXg1z7Aylb03xpjOE5aFpzcU9jKIMv7LRWrgpt1aiL3iLpTx/OaOV57aMXI
dIS9uh5skdiZRux3r4TS94TCKGA/Q5Xa3TU2GBTa7AFWxXYpXpLWdjHZExr3w73ft079y1NzpG8D
TXuUtmpZafnH2K5rbkfIRjTaAxaxvnCHFMOjLitfHtG7WtA93IcCfTd2HkDbm3J0dYBmFofyvytA
QTM2td00vk8ggCvkoBFhxUEWw2J2BsohTyToWJjcTW/gFJNMGBnec40k5EC9irZ7nJJP3p1rFPjd
aUecEike+iVs1lYhnNCAWLF/UZeosOyCRDqYpEKjPMXirTz9u/Sqxj4yEwH9KiKlybOP8xn3w0UD
hLf3HYYiwNBhOr6LCJLuIgnLplTvE3TqDjIo2pazTfs2ZN2eOJO7vsP8Wg57buTg3der7ckWIOX5
IWyGet/jmGW6xR4hkD/p1AT81e18Ory68wIJN+KvM+KlWypWFNTMauBXm8iArJ2btHXtVPdROKzz
HwcITApRDqnRNZrxuFa+TkMrxuBG8dpb3ssuNOIw0AgdKqjw2jpOBL5VmddaieivP4ycfMMWms/5
hFx7enCJEznf3N6L+KGtdNHdxcov1yycpFs/apgxYBMJTSPgMUkfoOckuitWLKU2gS+sXrPGuuvs
p1EfY7FDcHfc/cB7t9I4nXWjoEkipHETyimgCGLTQVEXZTvh26DezVBYsyyQ0imz2o0Mf9eBsSh0
0Nmt2qORrfTiBCyR2UAtGgwIa5BVGXLjE8Wme1K7MJdfjYzib7Px4LgWkVIO3xzaRBh2oetAkKkC
WcDd2KcrqqYI/+uN0U3jzCjt+Z3GWaIoC/yBz/rublAdfstJAVuKuxZIZ/MNmaknTMIKxNADzPaK
ARKN+hQJRIdiaJCCthnQTedyz6QAnozla1FCIFLd1iPvlhiVFgy8F4OJRl+6olsoKnouVm+ahpo2
7itsxBZNMzGEPkJiGEwaLTiua1DVdKaumrbljNnww3c7O+VeWGqSIpXr54PTiKFAOiTG2xj5sh0S
SupqOkTaRqpJq6DCobKFFG/IaETIuHP6ZfVvcP4c+t9dGpvRTUbNyfQEb+RiqFLbw57mljntCb6I
Y/ZgeS0tUm2bVlwXOKamS4maMNJDBmnKgFOw+9YLOL2TVMT2gXjFUkCt5PdSQ+1D4ffWJ1NtSpHH
yH7CLZrMxIAURfdDkftVrYoaaxVRqHRETVX7DaraZWdvJzPHIkFKTdXGLUjr4sGGId6g3W3ESDwV
MYBFCHqz8ed4MDvNtIP6Km0HgSTJwMxDnuqiU4/9XeKJRnmPyq6mv5mGwGUHmE+MKwoFdYssoi7j
Khu4r+gBgkTabVBW6P7wtaLRASlq5R4Bf+qHvFybucA6Ds/iAzerbDPhQdP4THpP0Pel8p0oRRrm
eDujjGK3xlGzA7rI4i17L/ZLFEkUKeL7lo4UpbbBGf0NpVRkpCV0B1ezocxXTAMY3ONsG0fPFTFy
J5Q/tanvuTJAK15fqrvG9YcXCC6wr+QFKh5ZJfs2yBecV/NNJWyD2V6N2FdCcsVs4hRBtT5y4MHJ
BjTvCEcWqGC0m3HhNP6G1tRR78PVlerPsDLUG0qGntyEY4oOP1y0lnh5U/h8eCpDbAK+h4QE67Mk
q09yMWHjvAcKDXIMtGMY8E5qRitk9myAzN6dAxRT4WPhYJXvYjel/bQMLyg6reMRfW2UZLJ2Fc8D
pqfbKprnfk/hfNXvFHopq3sUurr7Ri2i3OjZJ3HeC3i/5VjgnD5jE5xaACZfIzfte6TCMrGNjm0W
dpE7/alHE5QbnAifZCk4RxmwhYv87gOFqLLIkcQMc4JGN1rf8AHBbyfr0JK7pnAi92VunDh8Kf0y
3rNmRJ0URTWxCUMBNcu8UMFuBZYRnpZdrcKsmBsfLXJztxaoD4BytsPhkFMnsC2q6mOnApzMTI0T
IF5344w6ImLGa2BhOv4SWQTHNxhgYvOaNGEk4bOB3VOZmYWi51LGmr1phTV+w+EH9jTCZQT5Rqwn
+wiNedm8uKHyX7BpwR5klgNqmTGn2jvathL8AyygmX+PYjH96hSMNTbjLGy1HXHOdNK/43TlZpjD
AHXpKYjE7f9xdibNcSNpmv4rbXluVDt2oK2rD0AgFkYEd1KkLjBJpLDDsQOOXz9PZNVMpziZ0kyZ
5UUpkbEAcPfvXeORY/axsD2v55gQy/ppcSpwDsuoEuPJmRPVWIFfqNiygzIztfFLkSpP7jO9KWJs
6CKd9xao/vfRVCZrnr4WfRxg3V86KBQUql2Asqa8Gf20O4/87BzMpanQcFBLfjvXDth9SabcfdJV
UC1TPB5qNbjXgnaxO0MfZ/POmA0oAcOePLBQp7OLK7yxawvs4prvvZ+uO0+N/qkSnv3ZYVje2tOi
tlYKaEfuJ7CwkQLVDn4PdaCTTNbaKPUtf+5PMAdkraiuOHs4tLYO/28zOKu3aXqFPXkuaaxcTRRs
dd6Zu7kyfVBKfbmT6AteR8t0UR5oNT+Ifug6Lf0S4HisHutY4arA2/puJUt6ZTRQTk28vsaLmiKq
rOo5cBo/fjdHL/ucLU6x1dx2YCCZ162WZsbJSYFZgpWd91x4vjnADVW2uSUeaTpqljAPdW0QwqVa
i/o7jK5h4vvxFy6n9jmP/SoGpaGDeK5Jl16MFcFM2ujddzutaVi217F+EuNQ3ciyW3bCdRipUmlV
y1YzuilnY0gaI0w8CeNmJVS0InO2VOS7trhCo20fhDFleyMzm13qtCUWR7t6adp13maz30Z5xq8J
cty9GeiwZeaQWct60FTlFSEQsiD5Mymuq74cTr4h831ej0AtJPe10SzNdmNxckkCfVyp4W4qxoGx
67UbuynEWeAfOAF/6pEyLiDZsOoP1lBlEduKd6wMXQfwyk3/La8cBle7VWKr61W8pcvFeXDXLLsp
GocYScNwN5W5FG5gDfN61bn6EmVl6UdU59Xkbya2GQ517eSBaE1ye+UgfJbXSRXkIPimRdtGn++U
rHCkTdw7X/tkwFCYAcf5jGmBT0hiJBMDUDBevHuGZPslzZPM37AklGXoO5Z+a2up5wX61LjfMo1w
OKjnialOlWUZdMXiBcwTNW1P/pRuCsRDD4PfiQn/hCG/aKamzvAH8Wc/X+xDvnrNbUVI3hi1hCZu
inZYN11Oef3iaOJMSVv93UguXJbkOi/NzK7pcXBm7LTN6QDGb6ComoEiYG1NIu6DZkxWIKmG9HbS
iMrxms2bUkfdM5J9rg/uo1UK42hWWY/fukxU6OqTp18KMsEh68JGzlpiTMT5aM+biY6mU5e67mfl
qeYc59BoaVG5V4amdBnEHNJPMSK/SBFYd5WspCSTWAoHW5I5FxYyS86T4eqvQPIMnZ10kzevTPLQ
N4XaDEwdR83T+1uPieUltSTx9hoZDyYmnMws1cbJ9Yu5CbTPCiqi+k8FRYhToOqeo4tlEoGvCTd9
yjVpXjeZV7RBlzrTKXZddUjbeoJbYMu/i01dexDm7PZbL5Ywp8T0t9A55Tzswd4uYKshOcr0sjv3
nMP2Q1XM15Njyrs5tzPQYFhS3SC8Zm6yszUgrh/ZC3a2vthIDrP1qK0r2iVQXsPmLszLjBOwNHMg
/FLf5p6dT0FHV0pYqaY69l43bqd+eUl6dMMCMIZpofEODvbs23VNviRqWpCYpeR3562902a88cXs
TSFihCEa4fN2wrfGsGF/PeVTCe27as8DLxMVTCqCxqivK4fuTxLpUJhhBMZPGFdb3V5pXMWpEnRe
7+xJrYTa1kpKhEWq5K4t3W5bYoK9Hqe5AlTp4yvdXszvS1xr11hjL2fdzpm/qnkQV2OdC+h7T0R+
saa7bpyMSyrLeKu8fLp2XN8A06ksrwyEzOuNYws9YPI0N71bydPiSue5zeC3ceZ0e+Bvf0+IaHfr
1Oty8DU/Y1ZbKw5D/vAgU8phu2SCMVqzVL27pj9uffTpofLqOayZTkN3pPnCNn1c512i7bWpbQLh
+jpbrEgBwZT8rsvxwaOnHhe9LrcpaP1jUiovaBMQ3YCFMIY0B001uuTeYKPdCgM2PVjdVM+uAfBa
WlZELtNzTRiWfcvW3TVbMkxfembiRG2Iw0uHndVVGR96WnMMvkExplZiRpykbOOwAN05L7bI1bpL
HKHGa1FYi/aylJqS2yF3plaHa42X5F66wxKfTdqTmO8x1SbTYWK9H8oNnKASNMFKIKjNWiOwBDhN
LHeuAvzeNeHPrp0Ub17D8fIzAbCTijrb61n5UkNxibwM5UIGNrHr3BEAg0M7DaAnBpklO/MdVEa0
9tSzWkgyYtbgoOvdQT96Czl/T5YJknSlFm3hhN9OtZ3tVVun+Z2jWUn+nfZ0fIjCqTvatgaYqfIb
U1PZm4GuOjlxh2fkl05D2+pjkCYEvTwhtSidXYycZD0Y2PDdY0rWRM7m3/dmcY7d2MsfV6Gs5t1N
x6R6t/xJllmg+zxl32trMitO8TMNLlt/6hxjswyrMGmwMGgqmVvVyBz9wFSUe8fz7W5f53lTEFUI
FJmHMmNRlyHd0P26n5hkqrt0jedlJ30x1+gCjDQ+dknapK9k6nbWtxk5a6MBTpcyvq/7DB1YUNel
ZzGCpbOrXYbtwv1WwQIs456jlBqQGgmSum+EtcChgTSLRe57KgAaULwyHj9rxjIUZ+7Vot2vlAMo
lOsNZKQNuuq/+Y1JDm5VG9zPFb0NSWjadi2eW62v4P+UrkaNUAS5FF/AsFo2A5qNSLNvXZLZ94bV
tsNBZyNvnvylox33qhQWA2dfjk194ApQ5rLRc20xJa4kKds3Auz66mqJOWRmgcas1H4yy7pyT7bU
tfWZ5FC9OxtyGcqIG4PLGqIW5e73fP5Qb6TF6LXJSRiYrxyx5NaT7HRWpqBI7FJ/F/7aZU88iXJ6
wDx2aRVPYsfurgwiOVAfONR4gUp7yndftYmt6zPBwVb1SK6K0tlYO9mPz54Amka/AuYZaS539a0u
SRq+s82sb6qAA36sAAlEPZRnRtpWO0ryqdT1mvilOrlLU7Zk43ljM/SXkZXWH7MUY/JsrHHdR3Us
ipoFftKMWwuCRroBnKfpHonWUc12Nsmi36aSqlnW56ZwxnPr2NIuA865q8bBpIyL7JD3g6O+TRO4
Ludzt1/0R61P5LhPrdlFogzf5qxb+ueTeK+s2gUGhXBf9SeiFv0a3YltFVcyNZcJTngc5iffE2XV
hJrviKQ+VP3MaTErlD9cxZnpmoG52kSGpEwezR30TAMY2npVbMLy2ZATLcBikddG1OMN6+3rchSz
P5+5dIjutn1K2ri1td2sXD5plSJ4JEj1wZTjFjBqAr+Qq6MXn9O0L3N0tFPCs5mrOEluOFf3s0Jo
YjqccawC/M9FIiZ95UR+tyY8qzYICyMnYgrZIHpJm5xsKqCn0bspfR9Q/YCMroEsWM3c7fpNMvmj
UAFkuzfm0exao/dImklVgUp01lg8NxpKpluwlK69y7s89t4Bjf3pwS4y035KdR6Qx0aNhX7vCQZ8
nueUULKvJLTHy4JGs+qBuAjIWDxzI2xn8I5zMy3JqUgLzznp1pq1d6IZyc8s5ZLOUVn2ZQstL0Qs
wqJuxv6oMk/lZ9dAfnIX2828fFJjk+bwv70FxT1WHoxyP5BOUNnCnR7XEnNYeBFw26c0tVbx5ukX
v8oeqL5wIfhj1SHqKDV0Xp4xNvvWzGxra1DMO3/1+9nKoab82Dq2cTEh+mjM3p6nA1KVxGcRdoQd
BwPNTzrQKaR0F3ZNnyxhVzIAA+Ct6MmuEF5Y41lRulUnNzVWk+LU293oPbcd4EtgLZWSUTsOwxyR
UVrXUV0ocUIPIe7zMkUk43cIvzaZri2fK21Ab7TMoO9RPTMxxdqaPJgw7hSEqQqu2M/utYS1BgTW
MGYYnFpnGEQ7WB8vGMnBAi5TZMaOVrGbuc/bYBwwMF6BhJnlURkesM0wtaYEUo2NYeOoGXHhYjQa
gHiZ2DZbBODYbWeQrXPtA/v7t00FPjGFVk9hRHLDAOV21YlkSUdRHdYItYqQgjFHezLmZPnalNxn
TpgO6OyuNXgGtDTrVMoN+qg5DjQ3Y54yLvdpGU7UbJ08ma7MFyWDPUXDuUCC4lC9EAqfz8hoUTtv
U+kn4g6o00q3JYKuT35JEMdNAv0smW/9Zt6g3qjR+nWKoyJdUYYB/xgbSEACiVu4Yam0M531q1xm
97Nvp8X6BG0H9tsrTGCW8ufpMdHN5jPNmfLWT3zeE1ONO1/nq1t7exMfX3aNqtQtwqnm7exWkx19
V+Rua58Kh88TMCL3zn1a65oK4mrtxd5ih4Efy3rmmaSc55dGs+LyXLSx/qkrGTbDJO+1NsiNeDRu
dAar8tR2qVXfSmG6+Y7Uig4pRoVW4Tr2UzMOuz6TzVtBIwlA8kKw1162WYH7um2ZgeCam3LnDont
3GoL4tLQbt0ZZRPckmw20qapJRwquyJahgM8i3BhOw9W44pXKP4qB55pnDgo52IkhU7DBhSMdaJn
m85uYyYMZ1UPlidbGa6uuRZhDOrnBIq7VByUH9ufctci8C21NCBPDWeAtrVZzMltbfXppXZ7EKe0
QWzkBk6v0qII+iq3jd0oFzk/FOR8JgGTJ2H3Fvumtk0xyrt3du2l2o4DKs9rtuTxFK2ZmX1d12Vp
IlDtWAQ24QpiX5dDs35j2crj0LH4xFE3pKAEhPbqRpQUlHKfY9nz/zXVVq+OGvoiim2em1JUSCOQ
HQukkLCRaBXTflxDARfjR2wbi7uhUGP87sTtYJ25agWDR56nb1ap0+GBdjBpw9yxCyOcu0nVIctb
DCBSgfqFDNhdfqV8e3S/L3NrHEcnddlX6gzGBCm2cu68idVw01qzkW486JjpaC/Okmx6CdwUSZVZ
R4sGKKjVQq7sjm1/OXObwpHoYoyi9cKyXquZNwyCf3D10lkCl3mqf2TjMfJN2jmlddN06JDCklMR
fHfFDwgEM735uPZMUmFlVHOyt6Umvnql7F/ZC0x9a5VoNUNCwsciMoekOY4Lut+NHLSlDKFu/BsE
dJUWzPqav4+NK6ugSBvl365IGd+o/2PscZ2e+N5wsCWqWVF5NBGlvkvbgJx6gYwOxEfcmxURBQCz
dovmVu8E5bzlTOLbaTQcJXAmsPxF1hpPl/P6oFubLPP7z+w4eb4FQbYQ1jma8ZYuFDYiCZ17J9+N
A1B8SMCXXx472l0IO5qxNmySZNSMqJrntaM9Q3VH0nUmedATTX3taotjgFItsxgj+JresMaXyZXU
U7a2WTcqd4NKIR85WEHQc7+49XKjoRX0wkor0MnRLzydfUYmp9p0ad6tn1O3sO5IP0/fnWQBaAta
jHxVqGPgGr6McKXeJVfSHoOFxjX8oeOEYo0KoKR7nApfOFcxwDt02VppYZf37oQSxjOdB7yfUJDS
VGlNmWPrrc3yqi3sS4Hmy7hXQeJkfXxamr5tnpcWf6jHadn050ivQJMXhlZYX/juAag7D2w2Yyh7
K+YgXAdoyUd8mbMYZetH9WI56WtvjwofltSlnrXEsLE8g60kCN5iqh7dSdM3nZkWk9r8O6H4PtS1
6+1QyJchW8SKGNZw0a8kdHe3Q/tYm9QE2Woc7waliahKMyjrXrMjWnLQ13PUQY+kNbezaj6LxRu2
EDPjvSgc/wiuO73OseHflrPQi0CsEyhOIYooaRx927aG2iMEqu/WkpTcqUf7LlxdBLnm22HuKUDd
AZoDrZp2GhGo3DndYIdaj1gmyytoe9mMJi0czQW/ldYeMKp5xoXePExTNW3SZHSPLScbMyhRTYD0
An6U8zKDhWfdM/KqkRahuadP0Kn25tTET9aaJFtP6DVyYEsFE1NLMHQ2aIe00qvV5bChJ418LoXf
fkq0YglaK9Eb+DWpkOua4KTSLMJy0rVw8cDVXDt1wj4uOjTRy3nFVBMwEq+bGMDv1hqX5bFFzUnm
Yxbv/71bvbKJa7PcI2GzaEJO4sQM2q61UXf6OSvLz20uv2fH/pnx5GID+oMPyuHgXcm6L6Nhm+xx
9e39rfEsIsMJrcjYcUgPrABD5q7YTGF8NI7eHltfZH1rQpYkgrd/8T7+wjD1MTfaLs1pgRMpozh5
ER53bHqc0PH9/EP+lYHR/OAjk7R7+HHmuludhTFyEJxSESozNJ6UGwcppNwntK76wdPbMeKYVwRN
jdd4JrJSBi5y5P1QIPligvr1e7oYif7si/9gQKMnggZ1hRPQnzuj35aDZ6W3kh0d3NVg5goApFd7
TzQ8ecLTkLhjiKQh9UNIYDn+4pv5C5fTx1zqZFmHJdM6d8tMSXd0ljrL2Y0Re3OAsvYoSx3v8PNr
8FcX+INlrWt71Vum6WxXQD33gRjNvNroFTKFfZFJ6NOfv8xfOOPMD+41SPbWr2bD3kIoGCiF9Dpq
YTb/xQ/xwYDadPbUk0hpbye3QrGgAwUkVeA2vyoZ+Ksv6YPpbGiTtmqSmPwiMIkAh8wh9vNrAmd/
lRf3F1/Px5TqAfMnUkfH3npWG+EBRVuNrfoXN9Nf/fIPS0m8wK3aDPvbBKFA4HUTK2QKZPsvXdmP
4dRG0ZjodvlujLVyAncAHu1X+fDzX/4XhnDjwwLhdHo14/rntklBbd/6OrsczhxFBCusAd6XZsQ0
DmY12M31z1/yr76tD89/6iWAZfRCbQGM7U9W2/XXuQ7l+vPfrl+eqz9ZXozLy/5hXXdzZTqTSqzt
mMetG/Wi9WVID5ZdvDlVzckobr1kQPzY9MYNxN2av+r9KuKNY+RmckytvEkeLd5WtoGNnLXkH5fx
P74t/5m8y9t/vIX+v/+LP3+TjeqyBDb3xz/+96Os+O+/Lj/zf/7Nh3+ye5fXX6r3/uM/+uFn+L3/
fN3Nl+HLD3+I6iEb1N343qn7934sh99/P+/w8i//X//y395//y2Pqnn/+29f3qqs3oBbdNm34bd/
/tXh7e+/ub4wjcuC8x9/fI1//oPLh/j7b7sx/9J9+fOfev/SD/wS62/oWJCOAm65Hskp3Inz++Vv
HO9vus8hzxO2LzxDXHJ3a8lE9PffDOtvrk7Kke+A0l9+hjfRy/H3vxJ/Q2xPnJVuGVCIPlvi/353
P1yj/7lm/1aP1S0GnaH/+28/rkuuJXgFzxckYfk6nJX7YX3yjWxy+nJxo8FO0SCtq1KffNUYGyLd
880fvpl/vvYfX+vHLenyWp5jGa7h+K5j8OE+vFbvCCefE9L91NzKr1q7yG2DdhewfqCUNqmaX2WB
/B5M/T+Pyj9e0eG7R3AvfFP/mCLnV2vhjUXsQKQuPt6tChd3iMWvmoPaNevN6E7upzzxq11q5rYe
IGEyk6BWpr4DhM8OaDWTo95ORlTWibjWilkWSEaL5heRYB+e6X+8US64ZdvcCi4S0x+fbZTyhZoX
BKaxq/lnB0Zl54HgGYgbXfIYECGWWMSmZeeKrv88dSut8hqX8z4Zx+KpBrjmpLz+qgHp9yXl4/fn
mibncjZy7kTuwh+WHL8VFDWDeY4MSudhLpEFzYZMvzvzkB1nA9+BWRfTURT5/FTBem/mxPX26WK5
n3BRVjdqSY/UmB3w7tzleiKvYj8ujvFE0npgZX7xpllsiaaRt/tSGvLrmFyMWqpt7n9+6+m/hxF/
/Ciey3NjmKaFFOPDVuZl6wxfb9pRM5bpqbv4hDUa+65KPY2fpardO0eUbQXcMnb3aFnmt9qZJVBM
VdPuhiv9oZzTk+ixZTVuCQnI4AHV+EXzywxBsL5PRH4ju+SAqbGLRG0uWyBLQSKQm53Xbq1CM8UL
aCG9T6un3LL1x8LM90Od7VHsD0HeMxPCTlNhnbdXuSHCoYnbsEckFGiOd+zWbDsCSvh3U+t9oqcw
DfACVIFUxsPYOUc11VeeVz3kK5bLsdrFWC5HwjrQmESZNSIXnq+zMXmss3t8eeWVgFOI2/hY1qUT
1PNwM2TipcfYHFqZUQW++obIH+txP4tAVRJrDBctSMz1mbnsmPrOVmAmcF3rK5q8N3iHzbSmj3nb
H/umDxFFnEyZbXFBMTWN6bYRfR+Wwnxq5+XNmV0cj6adblq9OK1rfI93qwrSqnZQq7suqjAPFBHw
4WyOow+S2GdFigjDbI62067nAUEuMhLTEEed3W0JiovmOaiTxf5VQeHv58sPN45L7zbyGVTaxNV8
OEg0btUXdq/sSMcmfiOhUZCizeLkGd7OrJYuRJOlPfgS6Vh0gVn6aOzK+TtalO7r0lbTE3Oy9gb1
VuDqtJIImsBG0zFU1UaLzeZWprLfT9MsXxIMdCYu4Eq9+eOsP4xNLI9+CZeqU8x6Eis97aNVmfCE
a2pHrpV4R7gmMPTREb96YC4rzv/1sd3L9ofT0mYB+PHRx8PUTBj6HTREvjrbBZGFYW5o1qFhC7vV
FDbiVr9o/PVyvTOyrjtV/ro0AUeghtJey3sqpx6VDyrsrz9/lv9kG/Eue4nBtXDQ7X44ZqHuqKbS
nu1oJicwNDv5neTYQyuApeYl+cXK/Cdfg2f5huEToufp7Fw/fg0yNZzZUwO5bqp3X5Kuc6NLhu/+
X/hIf3iVD4tT6eUQamZnR4WZZe8ChPTU9ygauC9BkkhzUNufv6D+44z6+4bj+T6ILWcIGCLjw5fI
HZo3jdHaUW2bxnHxirIJ7H7MrzrYh2dPWg02kdlDImxU4gWOqL6lErjb/P+/Dd9yLZ+DkW3jmv/4
9Wqz3bSpbUdaEoO3Lc6zYQ8uGnS/Clcf+SHGhmRTOuMUgI0+FcP0q3dwGfD+eJ/jcOIsZVOghMxK
eB8zCAHwdU+VuROVq63yIAU3OrcDKW5spx6nIFhAHzAJ8m8y7ygAJHyCUql4649e/auitY+HMWSN
tmVxALB0ZFHCvJz8/3DCXy18+qPDLZYmZRE5eOmIbGHoTfXG/Mdh/Yez+s/OYhwznMuuzvLo+NjX
Plx/BAEG/kQNiVnpINIvc/eAlHA+w6lQOOsS+feLK80e++Gbhq3jZMO5j1UUCfnHb3o2Btuo9DmO
StyEJGFac+jHy/yi4R/vUXPGCXgwTgqWUoVppxuPyTB0m0JRxKOrxd1xtigjYZCejFhoBsDpxE2f
+n1IOcN6RHKOitn3L0ZVKhro3VNiQjrkO6HSyuyb0ZT1JyxbHkJ5bYj0Vbeu4sRXzwptVyA0Hf7a
88zK2Ehjbc/zMKdvfEPp9UBM3Xs1mNYrjfDOts3s92ES6puv2TT3GnEVlqtT7ZpLuDnONmlxOEA6
gJRn2uUYYSNCmqqwTc3yerWtmkibFGfc4sQjxGHLO8mtNcgmL30kjq/H/4SvoaqQdUE+6Zuhqawi
HIByD8PaotYCBjYkwgPlPsk+LbSgKPRsCi7C+SRY3Dy/EuXcnRrTWb67mYoWbN6L77cHtfQbQT8w
NAkHURzjstjOllInYacS4/QwnWOj1Z/bPDfvpkzREI2mfvxmEaR28D0TXWYvjBMHhpEwRQQ6U9HA
WGV63G98aXvXuVdle50s5duBHOS3ul/7GyBACKpGFMV1ssb9nn5oUG74QcQanv5SQ5d9qo1+sbfz
YKn7tiymW624JI0tiUhtKJGWIJBuEk8Zpu47M1bjU2NAotW6Wz+qFdlJI7XiWmvaZI8FV0Mh3mXX
Y05qGi43saEl2t2hNWyuoSHHqJiJaBsxt33RYr072CSZn8sVIrbUSzvAZmd+XsYqCUnK6V/yRCux
i6/jK0R9DWdVxFdT7hYcqgr5rUPu8WjgePhO0kT7XHpys9TTDBc7aJ9GZ27PaxMXD8j4SBwBbf+2
qFESJoPqxUfoaAEIWgkGaE0gN5t1973GIHikehp3fzIbwTz0KHTQPxRkxVTemXrr8amjwoEKqYnc
Ekw2oYVX9YSfK950fufsxdR7B7eXOaIxpVN2nS6vfmteeN16DVzHXCOhp0T1Mm6c7MSrD2U3s9zY
yEcLrI4hoD4K8lysc6hZTbw1tCR9mODjo2mZtG1B8PhN3DcFaQwaSyRSwfNQphmZ1gMyIUkxR92Y
600nreSql2kPeYH84tj6afHMdEzW3Grrka8P6Tb15zmcYF6u5ZJkEdwLftffXxh05pNs00tFljeE
CgPiFlOM2iiNEBqPkKEnVFbJlZOq7DZb4/KOcIlyOzv9cjKS4aUrc3Wflll6kCb0bDwVHo4NNPsI
Lxa40sX4RuIVJ2KvzTcD9ivUg/1wbWjkUdDljIVvKxPHusL0liZB20NPBl0Vi+0lV2GHu2e5NsWi
h6XKjLcCT9yd8mLRBWXXJseKFVdFiDbdQ54nCPIKZYcQNvlmRbUUDhh1olYYFNVljX/dp8t0niqc
3hepSX+T6kuDhLeECXmcGq3n5YbU2OPOq68TNOu7wZiJx53N1QjHwpkPCyOtES6tpkViGu03aWo8
PzBDCM7t4URLjxHJzvrSomt8pc1mvKE3rUMzrbuvqS+6PRkL2XOCOG83xixxaKPmaTMaWnY0bX3Y
+ou3oqtu0i++ruVXZYluCHYvvlrIs9jBe1snQ8iL6EzXyiPtuBqGBKTReIJJQ3U01T96g1uHjqZj
DiOvBlVXYt47SeEdG2QcR0WHzBfEY+Sz1EtxlTV2+7K4I+4To9Tvp4VdQCtsMyrgUFEhDtlnmPeV
O7SjtIkO4Id+bfxDVVrxda978my40/SpHurkxaYChJQbu39Fh0i6j0lCFPJmQ95WiTmfFkqFIjYU
Bjadoa6jA/bstfOu9/SFhX5akQnLczaJZodvIDvS0Yv8DzN3fJx0T9v55DEwFzYcDWs5kciCawOc
v0Q/lSez9Q3+QzsVViejS2LVadWRFLHKz1o0j8J4dFNkZWmNdk9bsLP5bWHuqkqgA56krK/cXoC1
aq5ZLgdg9UvbSFLUr/Ww1nz2cn3jYq04vzR9qHDsWs05T6b1UHtEXdWeAbNdTJ+0RhtCAHrzvJiJ
i82n7OoH+jJ05DBpgcwjc79P5iQeW6MaDippyDOdPRfJbC7ZC4tcPMkCPecw9MkTc4KjB1Dt1BTz
CCHI7KcOB5ofP7udq993cKMnQgPdKy2u4/OCj+aNamCB0b5N08e5XpNbTVj2O446/5uXpfWVsWhp
JGlzOeqxp206FJZs7bazXvfFvL5iL1RfTGS6d56gYyAYHG0+Y0B38DguK/YDe4oWrtYJ1s8Zg9zU
GsKKvGln1dbwnZJA55D5Xr+3tAv56a4mfR5JnZzRm3bbWuBNYnSJz3FlzWVgGbM48iyJIJ41qw7t
3kDj2LrJTrUmMri64HwCL0BlCuK57jU3s/p58nDSEmIgW+gtW+PaohC0H+aRDoZCZNo10qtpK6q5
ihoVd3RLxJr9atW13KJkli8qrosrvNDWI5E30+3aJf7OrgYXGalX8aL+mpsR6wB5OyV9SjcLdKe1
WZFgXDGPGVsyJUrURMl8GIwMh89cTfkhcYdx65g2zWnCcHEnW+OMXJR8mOxUeOWyzWySyyRn2Cur
nkuFMVpr75elqL5RIEGTszam3wenGp/dGHA+iFMNP3aJVAifdoG/RuLv+d6hf5G7Ak/ayS0N9lrP
rs9D16QP5EsQgUHS9lWZp4Ak6YSKCY5/JC7V8ry8AlIBDfFmY7zltQjdAPkq7pdVcEN3szD3pEvM
70W79l8wl9SEho1Y4pvG3Wdei46nL9qcAdlYkGXWcm/1MxfJjv0uKjM1P+ucmCOz4Roi2EW5aLgx
WYa4Sz43wmhuhGHxOVCD3VblVER02eXd1vlf5J3HkuNImnVfaNAGOPSWADUZZGixgYXIhBYOOOTT
z2Fm/zNlYzaLfz2bsLLqzqjIIOD+iXvPrZfxZ9KZO6/wh6e/4XH0mwWuzsdiNeyLWdS74AbKfhxW
uVv5D7FImmBeSNLECjNguWlnuYSWaS17Py3UJvNZm8OgQ+zhAxHoV9rkstA30tJ6QzHWvhTKBbZQ
28PtJS7Sp5rKFx3twP46pRT+rdiOfKCKk9clktb25qsE4te39d5GCXyebRtovY5/7UkstfpdI8Ta
+pi8QddZ9kNWet4nyBu11XGuPlrCnNYjuthfBR7jEBKAe5VdXv6mzRJ3PUo2zk09QlRQxN/9pGkf
ZVwnj/1YSpsL0xCHRSIGQeHoP7uLUk+N1uomh/oksYJoVljAVtwlwzg9j6A7wOJklrXxUp3DYBzy
cJwruTerhOzg2FtOhUrjO2OJ5X3t33Rvrr7ASad+OaM27t4b0tBf2Z5732hESMlxh6kGphV56DoG
C6SINVd7yT61W+l9kl4GoPovOdS1nwlbz4GtpH71epFcZx0lJb7lOeyc2Yv3nIn+kXGm/rvxbiCg
JYOxafJk3ScaHkX0FuM8xGGLvthb4aurSHnXeEWw9pXtu8ws3VibOhLrFdg/3Q+p3rLn3rBRrFPf
YhSD2AvEoqR4NaQ5XPiw/ddReHyGeoxRwMvxCR29RRfnkbEdx0l0czQXZuKdRydfPvQkLsvDaGF9
XieGysaNjZMefb7Kpk3pmuUr1uO5X9VTWSOASOV3UZZRtYZqWOlbT9LqhuTyUcd5Jn64tTeYTCDN
BAF/QSSkHmrL3MvjgJEdgIMXyQdGA/8Qj2r+3C4Hf04BfC6R4c5hMeODvUVRadrln5pS/lz+kmop
WsdyqJW3WhyZ1YEW4TmBBYPXAJCRsVNylE2IGojC66/oVHMbY534EsQH9j43v/6Vnzqp7bCCiN1Q
ItV+jqJb8refzU+FPqkr0uZ+PWq6sxql668y9OdM6em84P451XRq66h9GPikQHdVAHhgNC94pcbB
PJVuubyKG/qBJa9zVkOfooAbDBuvsGGivjJwLbddUbSrf4pcbS+e72Q+T1SEel0fBnvQT60ble6O
mxSNGmzO5qKlVnIZfFO+e3pHJe8iAPrKshZSJx7e6hUfE24wN6m8vaqH+BGJ23RZcLetumnJybME
mfncscajw0nj57jniWOMhdnYSevHSWUs8BNztj8J0DPCChqIOXbw5Yd0WlOi+BvdqN9duSAht9S0
HaF5Qe/x/eRi+oP/i3B4/ML0sIfeU/EVLymOUOw1drMS7VTsZpz7ewBdYt3OHeqwng/q1Cdd/YyP
Zdjh/DGfa5kpyl+utd9VYX26oIoOmSXtL0e4zbrz8A2MY612oG/y3Uyk2BVxENYIC0CSjzmsSB8w
gnF1UvYZ3cpql6Fck0/CYTkNy9kn/OWLhK3xU4dusCvkMqxZO6K8mccyKLs2PojZRXPNiHZT6FEU
+CS90fjO8uT5jX8SwEl+ycVM45UjjGmXmn28cTXVbKpS97OVonD/VkVTH+ZOlICc6vKLSXuEkX7p
Bk57uKZfRZZyyFssNfwHfUzJqV74FZvIy3QU25OtQ960EI/ncgJnKiALeUlUvno+Co7cHPvNTNjM
CgBeRUPlqOrB6w1kwdCzB4BYdQyArFIDanZNoQgr5BBD6avj366VJYHojeKqS9d886jDDh1ioZVn
pLxGhZatvXG+WHH9M/j2rncsL9TnHIPyiENypWMwCfTOlYe49GmUcIGsErehjogsBHbKh7Vn42DU
Ov5vlTd/mN5cr2gg2zVXmbbFzzgE2gS0RRXAclYjVzfPe5+bdxXIi99l6y2A5oD88MyLJzXBzsYT
RDVvektgupHaQsdiB41rnHzJEo8UQ3vTRHQy+FTUg+xD7Fcu1RdW8LXgYw/mRmpPpsedHsjIa89p
emPxeqYJCRa1Me457VJhOd8gHcKlkzfJK5Q4u1wZNlshQhYq73Fw3GQvrCzjRpozOFQebKjRyPk4
2RaEExLMQLnarV8ou2f2Fg5dI3Ffg+Fkx27S3SM4dfY4/sxGA0sECAXfBB2w6g3tBiH0dCgyrjn5
W9pmFTRF1AZ6Iea70YzE71bpEMrjfnnQtNh9YWFad0EbLf28qr3C2nuxXgdq4i+78wfD+FkEUchG
6iA4Jg/kUuAfebbxUn5kdRajd8saPG819//KKGv+NilAi4CeJ0pCQL4xyINSPY8z/dYGFiokHVEu
8461H5/BjKqwJP1uHO76yhXHIolgBtt0tiTFT4KXwrdH7T4t5uwOPW90AEG6PMLYjK+GK90DOnxh
U6aISLJkEsbzbcWCXBr2rKznGBKpyqyrRV3Ojui/ZPMNtV8gK8AENfLMx66pK5zt/J0uiWiubmtZ
T3+F9BWWtm7FEEl8/bea3lnKcssu3tmwGPnyYns53gzy24HlzemPwJ4suOnaKMzQftnqAKvUb00z
HKAfnTUfF9BPgUjA++qiLtAPNskVJJJzu0iz4aEqZ5iKtljIovwvPb7Xo/ODn+OpuyUyrR3Qg+Tc
z3AAnNTP7ouxbl5bMdMujWZ+2yPU3qzRMs76AZxBtDXrwQZNiG8b4k1+5ueNeXyRxGdaOwdWYxoX
0pfH7eCy86IXdRC1Zv4UZMp2nibDyEMF4Xs1xyJ9hxxl/ebx8OjYM59SIZWOgg+Tjo+2oYPpmJja
bkavSuEGDaKLAQpWzR5xR7cZe+0G48SgFtNabKxllncpe5cP29DMU1onDP9cZNZhkdpfkCysx5Ih
8hdDgpuBoEW4GH/ODlk+z8Xsi7O3sElBSr5kbUeGc0ppIfPCE5igy/GF5s0PuixZ1K/elbeYKiBg
kfyOc8cY313B2PQOLnTjrqmMusMsBoBuEGyG24nJSWXFpVttJmm1Pykn0vvIduuMD3AOc5fNYmv5
Pd5Tn7ZoUFOMUNPCIhJikEuMzZA55rtW647ctDXTvp6dS9jQWb70GBIePDD+02rxVPLka6Z7Jk+m
erPjMf5qLdFTcdQSK8akmWGflxbscmauPEd6fShtiTOhE4Qkk3fZwV42qqCzUEGvUX459b1CjcGI
eFiWvWfB5frrjsiEzRwn7htCylJTXpWKu0tU1eWxwMz3UvUzK1ZGD1XN9VWPoR336XWoTfUBbANi
YYtZ7TgboIPAGnQ4YPwhe+szTUeGe0NyTKrBstl3yQPGj/pNjj6675HBScpgOuAs+pWJIjB9jicm
BUPIYGU6p7Xd8ksBIsxVk4hn1E4E/oms078anetYFnPM3535w6asbztmWdiUOY6WH+t+bJzjX/9G
dTsqyy6OLqiYu+8U4dSRzpNoxH9YOsCDusu9hlDRBk5tMdMFNzTne6cftYeZDSnro4HiYJXlhjok
5VB+QKJbXgB3MjARU/Yd1WNZrjsn0iB5pukhcrhbOQzjS0p2y5ag4r7YMGRp8EyoekpDOxPyJ4t5
gsMSwiHVhPJgk/wxjVglRa6E5hdQSrgnl375WUxO126zBDXZ6o+TJMUWEeRpnN//tZNkNtBAmH4F
7bBF3txDHln5cfGwPIaC9JMd6mXM7sjpYsTSWfY2umCh8RQWT3YSTUDPlXygjaLxHNoBZPg/zCiw
l6ohFDc066zhPmAVza2euxAMpgUHKwzvgjT5pajRmyqa0LCPxjILaLvTTxt8ExXS6FlQ627mFW5S
aEkj7IpLnUPrnLwS1lul/GBcRPrAkmHZVi14omSZBuwpk7j0xgyeX5ndWrcFbv5GtC9YiM21x54i
hNWdIZU1efySaMbDwPySl78KzNLxHweVMdBiJECbpfvrEpsb/iYpzrlNmMpct7TufywzJTE3B8CI
7oZBOdEQTcmhNVTamXpbe8EHMUBELSfe6LTF/+Q6lrlWMXyYsE0T+3FRaLRvzKHToFLvwNLeOs7M
fbe949ScIsq+QcPEYVIG9vUG9sS21Yr5Caxk1Qd/HTlkBLjAsPXMBrj0x5cz3ea4stesB7yKtIOt
ImOPWXOsr+qhEScNXDAHTS29T5TdrBl73So+/zfvTkOJ3W+jRIdTp+GkxvxndFfzT9U8ll6yNzJK
dVfqkE0LpjZ6WOO/nLAwuu7VmBb/VA1GhPEIV+84q/qhFq72UEBB0wLjBl7oW9e8/rftR5kjPPHB
zUKo/22oL452oJZxjw6xZQH9A3rlYhySG0w2e9Bcu31Nx5rsJA8YH9EzhofhVSt3yumNRz++0UKw
eq7/OIWABdg0vEUTigX4nzJ9FTLgKzb2PI2riAoxW0UAAw4qN+IjsMwh9DVBrnYGLZW1U7HroVsd
NYWNAJsc/i4t7bS1hnnybgJDCrw31z7zOHZe9Lxsd6rT/UvcLj8tGzh7BfOtvfy1Ik2yv4lZ4sXd
zDeLuxDJ/OosVvteLZrxO2vHx6XTx4e/DqVsEuUcusD9YVqnzItHdxDqmM+1fo2R7Y8oJ0h3ZP6l
N0c1G5QfAPTs1xa125d+s91hh/TdCxcx0hT7pv72qEuPepNDKs1sa4dthzYeXr29BWmivw4Q5rbC
7aY1me/vRU3OoFGH3djitknmNkzrbHJWAMAJ+fH4/vu5j90nkB3DQ5518wPVaP+W1053tWOH4ssA
5SPDotanJjBzSzA+7vQtprnyWlbxuNWlbL4GnI0bCfowgK6Vbli0N4exW6JwAk23wYZGU4qDcMBn
JEc6AwaRx9xxtGvPO1yxIFu6jQZM6QUiO+oXa0bQzgs8YxZTcxgD6bg3jVgcLR8EcFXG3abTu37v
+LHzpfx8BJWY3AZQGZ7MG7KhMllBZSku0G4m0UDNWwbd5AKwR943g55cQAQQc+DeDouizWnyXNv7
1GatWndGb71PYznd64wfQ6v10etg+MM7lqfWb2BT/qvr++mvZtQ13NFydnYuZ/3Wkn6xnYHZ33om
a9d5U7axDCVOg59pT3YZe1ttQCTFqUww0AKv6p4gt+7VrqCojblYVoXlOOv/WGodUBO5nmu/99MP
HyfTHSUqNbO7oBqfHOfjz0L7/7DaFWWmheLgf9e6PnxmKFqTz+qfGtl//6l/a129fwnXcX0LuaDt
my6qgn9LXf1/WTeFxQ2IYdGm3uJz/i11NW96VgEU23eEpQvz9j/9P6mr+S8dWrPvE1KsewYqjf8f
qauFsON/SBDIYmJS4Hg8aq7pes7/UKDWesNAjyZ8E0+SHMXfcCPgvUgjPk+k6CYAbZ9KXHa9Sdx6
nhHrZhZWepeNj6quiseWFIRKNDvDmsVuMNtPMxXLoSRrYMUMv1n3g8MwW0X92ovzA9ZneCmNaa7j
2n8sacbukX8E/cRI3v7pYwV8yZcW4MzcDieZYFm1/C8bF9KPDoIDyPYlVSXbXeq7HdoksMODsxx4
62kss/jckhqzji1dO3D5rsGJe+HNRh9awrDDvpocgLNTuvUG2zziedtLr5DHmJ4d6SK+4UXKTZRn
QBHBjbATwQgdIe28pLRKK9jVLRY7dAkJsI6HsRghcyfaUwVeChlo/eV1sb+J4KBuKu9GLOmX9l27
S5ytP1j22YbyC2fL4bA1q/ZUJFl/wYuVB7pViS/Db7Y1PJE1JuQpqFtqMnx8UdhB5g2VnaJ0jbPh
kntI1wdP3uHbca+2Zn7oXmqHik45VISdnnTwY2g5hNphqF6pqVp+MsN7cG5DOlzfBt0pP78n3wdg
AB9myYq2JXP3xaD0n3r7VPYVR7xtw0bJxHiwhlvRM1rHPNW/dDWM67Rx0ms0qvfYymRYMs7AwTSZ
IcqgUMAj3POcFyvTFBF1a59cGreLAA/RiSYD/7EGRuNrFGP18g721AC18Z1462AmO4CF/2os/Qcu
DmMcaYqgnIIGVkFhjv6nljp8zA0tN+WaCVQ7qoJlrBj6+144i/ED/Yo45qI7uThpq8ocUWmB1krt
FeuVp1m7G0qLkJq6urfbBbm1sesZnB/d/s2IJQCRImFiccE+KsIU1+wEcmybp/IwJ+NbsrjuTlnk
rkfaxiuKnTcCsKUaooFqnPfR0eIDlNgs8Ozh5OsQHMvWfJRwdUI0i2o/EUh0qfwW378nYcGZc7EB
tt+HCxCiDQKLcof9FJf7h3KYENqlMI+FPw3Bws94/POlXWi2AZcHXXoztzrTVc/AcKzGAaRZPFTZ
US7uWzdoNfKeIj6ZEXNNFaNsLWHB2I326kKffklvfYBnN2ctTreOLEl40n+o/ZLXpbMFEz0tPdQO
Myoqnc9cCf8r9dS3dCk60BPggFWyCoDRYvGzmyEwOtd66GRlP5R99GzSTZ48lGsnOHMjH/hcnQrG
EWnsJg+Qlq/JUCUnZ/4oav+uhYpK+6s3d2m+b+YkNN16/oU26Fl19XxPZtOzWtLm2Y29wFqmGSyT
IHqgmocdMNMrA4PuVDdKZ4OQvKVVXFxMGvILKxS28R160LnlU2TNdJ8yrnKT9B4qh7Hx9VLbdKnC
uCzVcS7stzxeajrWpj4avcHsdJ43iR65QaPb432hMsG2Z83QVvsGt1IHNgzQsO8VQsQ+S9hZdmze
q6E6VZ08ULfnV9FH2fXPP3mdwk5XlHLz598l8KHvRBHTThGAfBt6lys2AssRhzBiF7/5nHrLCC1X
vHpCPYMItTDjFcZZ70ciO/1I2zfoYQPQ/z9u60cBjnjQrov1yCZoPioqlyCC3XqXv9as0Zkrtt1t
nYSC3JL0+8z/S6h/oefEazMtgZTy5t5PjWufjOZhWaje7bqfSdCIZQi/wA9SWTiHNAta5ux3XtIa
d8ju93bZzk+c8z9mp+1bZTKYRLoTiEFY28Wqh0DkhH1YUWRsoqIx7v58YZVp3NVeYobGCCxcB3xV
FC5dUe6YGxAaZEU2h3ax+PY66nGGQcXaymEdWY4uwoXERYyoCwEvwMLbg0rzcpd/wUnfjp43Xfph
sjZVW2thkqOLCLMc6DM0rWY7ZArtHrrkPrKBnCdawnghwlVVZ+rQGktNZS858rDlO4R4LY5SW8k6
7QgymBVzrPptU+Y1m/bIvda38QxzTg9lu7GiDyE2PZuMRy2b6dyKjsmztpG6X++iGXeyQPuCygkJ
u5utVT9WFzcm56msvqY0kYG5GBG0M1bbbqqpe8l/AsHMwN548u+GG8U2Y4W9Spbh3VPqpbUmdw/h
dw5AUUWh6VCs0kdtPKeyw4FxzY7ZewX9xc92oCTWAJ/1N4cd+Cb5pAnEQ5BUrF5nkNSykKBS8KIG
i3wEUiaevKhFF8Gybk0eRhs4tBXHmikSHBRotZ5ZbXHtbnKyc4gjYo5TJPAWzGRipDqZ3yaqUNGd
rTaOt9E432TrzSnX5Kto7ebg1hWz0o45TWpF5sGQ4iSlrHYWxLijNU3lweCsU/BIzn++9I2lzlEs
ipPt/5S5n518HNyKMcneWyjbO6TktTVGzJ7c5Gs05JqGsNvLsk1okMiT6rM02g8ReW5WZ50KURbr
FjlMUExDcadJM8CLAVk06+0tiIvqcYrKFgBZO/7EfPsMJyoIovKK8Ni+L3kNtDZjCRTZ5dYqE97J
UgPTZnc8z8aoBaCbQwpz7XSDZp5Ns9h6DKV2I1S5IOH4vO3wirNdmtmmBi3JpvJ2x062Bs9HrwiS
gOXHaVaeB1AE7Hfkl9NJkD8JKDBXRJAS++nMOuacVG0B+FlQymTyzlGjs64YcwSMcAquPlYbbGQC
IkXoT5ruMwXFdYjpYE6kVHDUATDQGSrjQWjWQ+K/9KxvrvVM/pLXd4+2BgGi4QfQ0uqG9an6kz2z
RQNCe8i7xX+gDSHwauy2WimOmimK5yjN5mO8sCWJehDqsxa/1KA7Dgk8F5wu7XFuFqR83vTU5EP9
VNwPoi3Wdsx43RscbrgRQejYvqR1sVcOyj/3O0+zfptkdrfJ6YpWnA0fs0vWxaiDf1iSX0bb3PHh
Sua/sbGO9bDHN7zJtXKrz+zlhQCS4ZVFvE4FCVx9b+1zDaVFZM/pY2aXBP+0djAU7LGm1JoOA+jm
zJ6OnjVid0r9mrOqewLbra3ITBhfReIea6ih2yoHJtLazp7tg/1lCEwxkuH+3kPzH0btAiMhIm/e
8KV9b9mPbjN+FmqWl7iGy8edXAnrlcCnm3R7ujgROXKJ9orBJt94WrKPWrJyh2JcL+a87+CnrZM6
5+3SlmAsBpB6PpPQiZAhKKfwOwxPB7XtkU3UVMYvk4gfRFT1K9zMXTZoHVkrxY7SN9+BlN84CKgP
8BbQGDkPHnTQtw5sGaoGfhYMVJ0+6bs86tSZrUsOw2L4mBfnkwuFKAbslMBXprVl46HUMra5Unc5
8ZGVWBQrjT+y5PanVzWpFjTwRN02j9txsbYdJzk0nxTOd1eHuF6IHW4Z2uHj2Flw/XJwsX++awnp
mslk/EMNCwsGu5urzKfMg1ph3PJO6j5bVQNfbtvnDYOh52myrSvOtR/BTmdbuJV28ms9OpUIRup2
ORH/IddWq80bGNVluGg1QfdOWmzKVt3PY9ySTgdwMVV9y6ABJAxFjLHmKe0v3O3PyNbKbbro164g
BAVyFntpy9y7iLcI2XvQUxOMb6Wz68hQKII20EIbnMvBhMx0AJo8BpiNWH9Nn514Twx0psZQM/vW
IsoYXFCKteFDlDjuXs+Le+joXjApauS28MWu4cnbWB1mllvhh02foGsfUgSXgrDz4aAXBJFQfBR4
A0jKhHHun8v2FwP86YBAMKy53w6EmDwVywRr0hursG0deSYD86WOdZ46uYDOrJ32mLnJidG9v2Je
M4AqaaMzxIUnjzkKJ7SvH0S1Hvzp1wC/GBuLLYJKopgZkAQfOjDpgu34xrCli0q4FYGf6miLaErg
5p30yn1qlpZavCkWUpkWQSviPusMqeypkyyU+o0a1VMdYeQCD6IdCq/Tgl6lSWh1EKumFNTtVPGW
elpM8eUOR4XaAG3i0gW1F+hu3z7O2KPIEm6OZcVesKhmTBH+vFzgHa9EOk57azbPALCGMzg7ONg0
Ooz0uwXsqa7t3egXAJCLzeTqKW63HezrHXEe1RFtMQxKFjU7P7UesltzEIuheMyLnGgas5SEdml1
qLlQjUl/ADSSEjRi+iSS4iwxYZzM3eMbczp/TcJKE8Q3bRJrgV20dG/j2LbnpS0/IHcTPWYRMWlH
3V1ei+luqIHUIQcNOr3Sn9ss5RFLQj0y+ker9gijqaaCggp6kRwQl2VQU/iFL6sWRP19Y3CmuePc
nXqPIomCeDgnPFbQXiUieTR8eeY0WwhZZDa4UIwic+IHcAnunNPCv6NM80YWEkSiPfRxm69TRrqg
lAx+x4J1S8uI8Cxjcx/1E/BRA3OVSPx9VuaPpEhbLwX3wDqqZ4yMCWuuxkrvYxlzTEH1OzJYgDfM
+4J2WpsPCIdnXkK6yTZCQmUa2bDve3t+kizhGPCV66WBkjc6MfknxFAEvGD5sbLHz8Hq8yDtU8bG
crTO2gAeFyFxHML7UxvTsabtgmT+WI4abw68tS2zA+xlCghm4nJGaL1xGMwe7U8OuzbWiBYsJnK9
/zwlhCagh9f3OrjncSme5FLl34394BfV1bBzJrFQBELRzhFrKSBJi+Pq2z7tTOicPCUt0XpoxT8z
v+zClPUb4gGHbVUS4ZMrJMlxLUtILSESMCqPcwRAszTygkAg8ctuxRsCnmLXzk71mjGczajzMB0P
Bx+JdGyD07uN7NduD8pvmPKN6tL7viIMNRbGUyeM/KCV5Xl2+t+yzwijxZYTGDykK/g1p07LNksF
ilPhgNmnLl0g4UdkvFRsi+Kt0OG6IFrzcZx0lCA8tcPYv7AwlIfBPwqNqMW89b6ByT66rLZDTf9u
lFaudQCT0aBPG47F/ZiBP5I1T8zkGsmOTKDn3qtVSA4OySwNYntVOt9OXVCeeNwKAEjNLSRF/LyZ
CImlMQ/4Ao6LCgZjwPOBct+6i8efOmOM7ovxIdJYPTE0NTrjGdXbwOzYu2rWpNA9JbvWNOxjil3C
nZaDykwGO1bzPCZ4EwtlvAPNXVAoLUag9T3fjuixSKLFRwp8GVJ9N2dmCW/YvxfoHHfEa4TxYu46
q68CfewUiGPdO86lK+if0+HRsTB+2Xm1Tg2ZvrGmWeGzS/exYCUJPXI62Y47napaMDXIntkaU5OL
vqTTaYGY9uYumxAr+j45NXLwdxkV9qE72BiPtvTUzbpoRBXaNy+JD5A5QO+zIwvtBXS1iYoHFQhH
EOCUb5hTgAqL+hHSobfhpC1p+wLMbc3WSONvd54/x1nqa515O5A66MrOoodRdZW2ZF6RdMkV6S44
hFYL/RTCvMEWgPBRiNoe22uiEjoE8ObDRETT2SRAHEGkN5LRmWp7ZFSrRkobYB+0YhYX6r5ykMmN
Lb1IxKhx1TtAHnvDSdCDN+ZjQZpRwBxcbPuhKbdGrO/oR81vzQIT6VfIrXLNMbc3RFtgTb52EjV5
UROlsd2SwNoscjqKXlFRzUvHH+1PKRCuzYRUbe2iYN+IrpTB4GrGTouoG6SPKcPnsNE89KhALfZI
sJhiigmpTtLmK7uPb017tfUdB5VZZT8OmkZQq86oMp5/OreXu9FGf8XupVmLgkjMYu4x5aVJcs1g
f8AaQyCuLe4l8i1GQoR2BZ6q2mMKlBycL3PDiL36mpVZUn5GsYNmz8i7zTLbl6aTO+JVT5nWCzZi
8BNtnL0rlu00iwnbZBOy0qaw819ZlfcHwa/rIfGmK0O75pIw0nkySrhS8fwMg7JGlBQna2usST5k
wIXCaVD7pPcvYvTsnc0oBaRT+kRUGTit5NfgojFwEAE+Jkm2bNxmCWc7z9a8HNO1ep0KsiTI0Hhc
iPtTtffY3ChxTDL2XoKiG4bASti05A2JPWtVGJQ81SD2hA3SY+SYIkxGiAWk0D1ZibDdcCPJgmwI
KNmPjSDogQux40XJZvRM83TuZnPc+b2jYaDK3oD0AYzPSjbg+ndX5/dEOm4pVur9gnAKZEISQuir
yOQYLlPVj0C0WNZonKar1reHDTt6LxgWJiTG9EPvuMWg/F2PgGExNFNE5BFzknhck0e+kHctN8zS
ln1K0FVBbBLdDJFflHDXJpkOUzmxRqrZp7jaszUb90t5M3SgzliR+EqQWStqh1CqSO2BBn4klWRg
h4mdpvcewRW5LKPF4To7E4k76kneNIULQXRtak5IUstHu69h/HEYqAkFiGYAwKrQiqxjMz3aJSfn
hAGibjHvdXDdemd41IErg+xn/XvzcJ3zxQ5aQYVT9CXzD1vhq5PxafBcKq0Xy3f6vU6+CbFvcq07
DJC1ZdwvSny2WS43hFlt5pyqmGirdrtgp4Md5+1YrvlrL40+eUQQ1uCuI1Fv2wqsNikmawBWERzc
qrvFAqCGap0EBJ+ncPr7WxiPYhc35lpvu37TsjzFt0YB0BF9NegQ5vTUuJIUGrRtgi8xSdi5uW8j
doAVA+U1APzooFz5jAGZVDuB6zZCCUaNpG7X6k7PuzzAp/PSgG73O/LsHPd338Sv9UKKo0JetKr2
aUPDRpCetgZW6LBzwPLYm0TbTMZvC9IoUlE3dGrBAbGYbCDQB81MM1CGl6tSt77NordRZtMHps4Q
Vrj1Z691CKAxEtaGdrtGug0YwWTZ5nrFpoeWfT8a5v4WD2za084r2anX2XuHzmMlTeejLst2G+HC
vSHYNXrdxAhKCXkwzciGNoX71k7xV+RFaiM1PVprqHJXENreY494j1TpkHk7U5JtgA2p1OTWjOun
nBSYHSXBT1FIshlMlI196pEhnf5IEMS0a9HGEtZP/uVY6j7nPtVJiQ004f9SsfEQIaQJrdx7n+sU
246BV5KzcB5q91JX0Wfbk0LL0iiMO0OFRtdlvGO0OhCJT5FRjPxUhUvzxbytas8Tfi7XGpDsxKS0
4cSD6T4VA9N0VkVzzaiU+Vj30nXSwKQQcdQQYBOnbE9HnXTIQhuPWBu8XT6qB2Jjo8YtQUyiEjEY
pyozy8mnZ/oGUfJNj0knIeB+l8hh4/KUce98jqaJrg6IJfWzzkFBHp8e+fd94/3uxxE9bwYXl5Ke
oEID8ewTITzVgY4EmwkR9b5/HuMxwChwE66OWNyKc5265lZbpl+M7vZ5l7U8GfYvYcO/r+x+xIba
bdMRy67T8yVj6RSnL5KYc2YDJcnA6PMIjEB+k35qzLVnwy6Obp39J3Xn0Vu5EibZX8QGk0y67SWv
N5Luld8QZenJpDe/fg6rG42ZAWYxwGxmI1Q9vCqpJDLNFxEnnkHWF37lSTxZg/zJz//aLtdkllAC
U8HcFBSC3TUg80Lni1vve8+Ft7V50kCaYPfssRvpsADHlheiuBkdT8XgZH1AorXxWxhG45rCDWl0
4i8DMZg2zOsX0V8Fl0EMvHz90cT7YJhfbUfDku18hhFxMMMs4M5AiPI5GB/6jgcoTBlYioneXlsa
TCyz6aAp3fEtlKxNZUNbNQ1WNEyNb3hj/noL7konPKCmcbioFVuMtLayF/vKDEfkjqjzNbO4lqIc
wLDfh5TCTRI6E3p7HxLy0+wg0ooymM30lLQeyrm103VV7fQV5z+amtxUJXMPnX0AzOO8s4csC5qC
SeY0qgNgfYD8JmEbLM4ZU8jhEEqwrrK1AjoKYcfWVPwROvF0K2A3Rj3ADzqa7h6cMQfrjn86FfZj
hwapKudl0bjQhT2P59j13G/Tez4RvknT3wbjznplofTdGEi5fjlAKzYlRt3h3o7G38IikAPmlBsQ
gNixxqNodT8tL99oQ+zwAHHDcTT5zVE5OrstrXGEVnxs4fCAXf4VaVfvsll78yICyuHvfi6/LESM
ztN/0y2LOXKhIKQqOIxIhFifB4zdOCcKTX57Z3rcnS2tq/ykeqabSPpNVuMUIJK3OMkJaPELTW04
reLpqTSYjA4ZBRXS0N4H23v1pvoqFd+CSHnHhDbGYE6hAtNS/I18cncT7zAsQ/bi6BTRVa2wDrlI
r6qaYOC2zAHzqt71LX+9qXkPrs7ccef5l2yat2b0PmL6yDelSl5tyNqbOJn9xHLOU0TOzTBw7U0S
zrABNYdC6NrKTwCgGW/xDZbdSp9swzfEnHY7dLDLwDoHnOjGazXtO9KjLJj1sG0bb+e4hFe9V2Tv
w5TfZDUF9dweqXNVm0TDxCs9kt/eOL9lWvLSKPNWa+1nLESHc3u4RC23aVi9FKZJ864NQtHPyjSI
Iu1tvA5e7Ki5DBRjXGPcNh79XZHb1FfLIRzTatdKa8ubNZXpTZ1xY6P7urS1WaQb07Rga0wAddNS
Lq620+6BJCcv9jFnOnL2hmg5J9h59rmb/VFuPD7zyv8SkmaL3JbgdwQOS08eijkfA8AC+anvLO42
Lmbwhgg1HmsVaIVjfcXqdylWbL5SCxdlc4u9tzliPB9OjW79Rtj5aI3W3KERq498ZMnz8M8kBYdF
lUorSDgp+C6mpzP+8VelOM/BiBtYU1MKcCI4NYVoo9MycalfamPjSO7vJkJAhi8V7S9zD9pLhnuX
W73chlQjbJtRc3eDsoyrxwxbs1euqkv3RRLj+2VmH5DF5ajD2C2Ga35tevfYwwGP898DPXN7VCz7
eqW9utjWcy2veROqAPTrH74P6gkDQudDkSanUDajrzoAGm4FhJvJCKOUlmreIA5hnyKIeEeHYz4F
0DxuRI7afE2kmDDgjMIT1FurjHoaOgAz2R8xtf6xRbjTSuPHiOkno7bHqMLjmIdX/W8LblyU2pOT
dfALmu4zoU1qCt+tkIMP8Bu8rdx4aJjw8n7b4B/fuLR24drsz1aLHpe24hRX5k+4e+QRWO4njSKT
HuQPBWbVaNy6hdGrOeo/7cxbNlybAbVOMULMlUaLN61BEW+AuW9yBy0poTUr1yI4O81VXxlMHX0p
+P8/xWg2myTp6w36M9tTS89eHp8jYb+zOJjozMhWXnmFPGbvZ87mQclaDfiDRLnQ/3rmm7bUf+WU
4f0Ni/WrvGKM9DLryhjpgz41gMyY9RY6fJKu3KYi9TbYl+jOaHYaJm/m79lWbwEiTS2zQHIasUYi
fHj0P6AweNsFzNAu9BT/dm8cDgqBGu8LGXkVk/pyW3cDJigL6lF7lX1cHwY13hvdjU69UX9yKY8B
AbgVqWV1iccu9kdO9nidC+NF7+pDuljpN6Qqdoa/s8MALI+leLg9KQv8uDY4O6gPDlvOJqZA6dJS
OOJnqIpbnV80Sg33LkSlTdvp0TIcvCya/BI6K0mKqAQvTXIk5PRzmYZi3lhc/HemlXV0BdKjBwwY
za6ub6aNIw/caLKzRdVuR6S9FUu4vBqh/JYYC85YAMIdgHmTNTVvaRaw5kBV2amQiXaV40kbONTz
fJ27cqEhzsTF5ohl75QVrQJQnF80piaUCakdbxv7vCdgOVNIf5fNt+ehUnZWmfuUbLwLsxzPad1V
uyT1HIZCmn0SsLkx9xu3MMFGbOQQF1YX35bgEWN7x45PFfMQZYzYAOP+m/wHTA8beL4xJ+zMU7HW
GcxT4FFxcZ4Kr9/XVonfJpy42fR/VKKZN/gcgb6+v0xUUDW4+SGoMTylckHs4k6oTbOEzhE6w+Ar
MeLOZYDkJ8kyHCmqNAKxck2qdaid59Zer7Ir/U3Yksf+lnpV9zw6SMste+y2EuGjHHIMdc4kEYs4
geTGpxVW3EWyySck3FGEA+VYudqFscd3k+UUVicu9NkLPpb6rWg/F95Ulwm1Qoe+lXr2M8wY8loW
r2jhHSlBIz4LRnZfeWbL7SweX2G9HwCqbetGfyt169cSujO3p/TdINaMLAi8nZm8RZ1q2+3Zjnkf
pyp7KuFpvJA3YkoQ2epMhCH2w8UYdlQVOjt3Jd6r0opuqfTOZaq6wzKm9Z6CvYThqTGTiY7GV0gw
l9gef2u0hhx08s0bMUnvlFpKX1kZzTbpOL5tMppIAjNkc1Wc74O8YJbcOewmEAFcXk3k6jxG8l47
LLM8emXDUi8DPecLvRmvZMzHzvutxXm+i5bIpt1okselMRBFZncI6kJqH7inntq+tA4yQe004XuY
3dwStyR1Stteycjf2dv/epfMqKYLYZ657dazjw0SVLVXP6AHCK6SXLSXrvjOohKfQEsnCOWYBPHD
Y9Zn5AXrJT9oQn8mUhpd65A2w5Q8SlDN2pPZZtGb5uFWs3uo5H1FR6Fe32YeR+CnueevhIbNHFN7
kvRMe5S0zm0SA5ljldzoeCOPQKawubJYeo12dp3QOnq9dq/mUVymniSF3hTHFRSJtiPp7xUSJ0HW
vjuTE27aMa+ePJ1GLOFU7w2877K+6bbKkYkueOCWH0mKLu5RpaiIqVMoQcaWPhHA/7LQOLEkH6m9
MB/HPoOGjLjDe7zDSjrfyWtxBo4wwxFO2g9WJEjUEJnh8N5QnisPmOn5SrMcIgC39oX/HVr3utfY
qrIphSjMjcdl425n+mtkecN+rL5hs149Z5WS5bW3uiNozvqGvgkkXNGFZ3jIo/kq63c21qI4/hzm
PHyqk/XiVRmbFlbKDnQl18XaiPYWiBcf6jOQ6dLm+1obO6sluaNp3GQpLQhJJFZU24s0P8aO4NpX
Mu61pH0Z83QLqL32HQpgz3GB7ufQenK29Q9AkM4lVybPi6zlQaj8THFcfnMn8ht9PWdPnVYHs5Tp
kbfLxD6MBcLqsSt0xnzsKDQ4JF083NpQviW9+cBof1rKpflLazSnxVr70M3xqS/mgtaW7HdOx3FQ
6/YZRU2nJ5ByVvqk+vO/D/GSPCrJztJiU2A3x9H4GY5DdELCiRjvhkcO59FLVSx/wMgd9KSMv+K6
+BgoDLss1XyZGBpfTGl+O/QDfnbA23jzxTFakC6jJbF3EC51n02MurMubhF7vVeG0Grt2SEZsHCI
tBqu2kmvmpvL5e9Jy8ezSFEnVDk+JaX7M1vrgXL7WxEr2Ixgv5lAkvXpY8Y5ynBxLVTh8zC4F9sY
NUhx9ZOCv0CyFyfR0KZBQ6YkMBxej6LZZS5ysMyWkBrDjgzepKc7reNJcjDaMIuriHSiyd1K8iOO
bb45uNrsqGbpqvWnOs/fKH1eTovRvtb21AJwGVp8ch8uehXIGJ4gybjsChRaMGuW7kfBThWYyvYV
vWXPdHN1vvOzqevlEc5wP/Klf8fM7+xR8EDdMxA6u6l9s5oqOvSeFUR6nj1J186e/v2KKk79Roy0
Sy2gSOk4IqUNztbs8h3GNsefhdOdSPYVAWsLYSI6nveO1ncXxLCFGLKLlX6kZdMYlRnE9GRjuxiW
F/Nsju42xdX99u9DaWMhiKcd/C7z2i+fmoqXLyyRYDynMN71wrU2eL68be9lzotB4nwLLZADxPpb
s0j7ix3Gv5FrqEGYjO+BIhE6wiP8gjSU+6adlb5hNw+BF8IXJOuo5EB5WSrvxNSyfCTx8po3bvVw
aHSDrj294nAt97Yohj2Gy+JJdTTjhfuCDfpSjT20EB0zX8pXXNFycVq7Hw5/FvTmB2Wx2ZU6k+8h
rcY9Bh30ButAmsK6OEYbX5OQjX5ykmccVxSN97R36AVCkm4NT17dPIUuP764L4d7v1TPTVPbB7EJ
PJpod3xynElr7bWtnLUmFpeH4zahj59ovvToyZjX68ZPhhJeD6+jH+ZiOOEgDZ+0ntJRSjfC4SGd
sL3EbsoTWIXdZUizZlOr5mdlM1xvclvb531Hv6RzMh22M09Lw61pL+a9nMej0pufBBW/ZUEPWbWg
K4uYdjMWW5JNo9qltuNgkiudfdzRUoDq4U/MTNh4u4/IKJpL5VKEkXBhZf4W7ercECxTzEpq/R30
K7xHim6PWscgSDQ4J7NICpyLUxBrAi2fMcDQLrZvdkyvoJt9z3OEuov11s9qgk7SHpxzgTnqaOfm
kW6sJNA6mnWmVP5c4ta4thq52o/MX3RbbEE1dOd/DA4XK2fMVZuJvOnQ5lmPuhmwn5HbrZnqUteS
nrn5nwk8mJe202uIJKzWg2iYHngfUJnzS2TCPgGIcF5eQCtQkDhVN9uFNbKMK1MztPAh5mJ6ng3x
yyzd6Wi2bBr4TC6a3T3TCI0rz0X6x5WJaoUYtvVkIZ7ApZz0zn5UoQO2ZOxniLP6B31w89Gx8RGu
BxXIdHyQ2I1asiqFY3eMmkbADqTOTgNwClrYK4gZtbcTZqvvEC/I+sSF8IVyomNr09DhhDTVNJZW
BvBEHQgAOatKXxw7ZrXKdaqH4Ub4GKvxkExchozRyq7yyx2HZk/hOI0cXM0v3X9/iKgO3jKHMElD
foFiMu5MAsoTS2q5IWzX3aL6LNAXTolhfJD8NC0OAVED8Hbkj6z1YNkcZtuhtXcYxKgfABu6ZdC1
h1k+UQxUekFs59axWR8agvzpexNRFtpRsNwnHecXh1Zofn7UM+HmCK181xSszLVwL8rMjoRNvU1D
Im7bIjSd45q8pZ7T/NeSaiOszIl2AgB1a0j1YnqSbcA5Xu7RE00/WrN63CkDWoArnrZEbtBnnPtY
jRy/lordskz+WG3IvGMeyEZiwRhI2nLpaRlokH7rA3otGQYjpJwaGvwwHWDQ9udxcX1nfZYcN8kv
cyUIQMaLF+887tkcqexmlw7zrygepxPBh+nU8Gqc/v32368sY/rqW9clNMr/8e8/wYn4U84ttqjC
Hk+J2Tzbw1eE8em4wCnamlVzaLWBcQMNxyCgEF/DNtnaUaIwUg27dFwzN5WzC9u0fMrjjrPQKIsH
kBdu/OCAIW3sGRovnB/F3k6ZVOT6hSQs3XV186a8NDwQIyCSOpAlaJxPJ0QPQLi8FOGQnqxkvBV4
5UALoatjA0PFyAFfuISqNrGl+3VTvual67IWN/kx7aufWCNqrMoCXAZPuNLTNDBGzB5NmPAkU5+z
SfS54ADgGnt9snBheUZ4nAyoj2UbmYFbyeqexpm6D03914mij1Ro3c62poIDIsAJU/0azTVS0HL8
YM3g8E+gc1Hq3RTrgc6iot1r1bTpOMU0eEs1+7pw1juDIjPWEYwXoFI/ue2oP2tFrj8nCBqXuWWG
HCbnyiOZIdmbdoyG1WbpIUlanJBgTnzSQbiXNBNfmfXuCr0/4SKL8Cbwd9QOIEt2GS6zSx00oPG2
GU6PFzcBPK2HeU8inJNbWlA2pDfi6nZT/tEXKy6r6LCmmTuUXdM3YCGAibGt22CxxNKu5SPUbWGh
DLjVluZUz5o64lc4RiHNvD2G4XtWt698+0A71KY891XusgLh9I2WD90qiq/checINoYTlqZYAvTy
UVtrSQggiFbp3WXphvJdIdkNpQPb2kDeWTpdZ+poGJyV4uh5QK1nFZnCMxr/b8YsFjQFfOiRYIGF
4Q28BVQZiTbGrjQk4aLPH66jtG3qesfJjfMXKlnEG4a8k0EAf++NORWTJDXqeXmtouJXSqlfwFmG
IGPbvSdh8WOhL83nfHee7aELSJ/Nd+YZa4fXH31YK+3dLDpMAuxTAhXyLhgnJwwoL8ye+wMefRb4
CfyDCJ+7yftZk3578epfyYB/pWeb2tW19tLM33GrK0zndn1wvFvX4Kx2GgTgcHQ1kHTe8MHozAqQ
MKkWD/sf87NWY2McsVuPKMVHfor5Bhbm92QjxTJ8XenQ+c32jE+8NH4aPmrSm9vW7G0/bzGzz2N4
UYPASMDnl3qXPDcZlxKt4c3ScDJNRV1FvrJbXE/kvAdtuY2tWtCutW9l6gneC8W8t460Z8slQC2E
0q61yDP2poQyCLzjgUVQ+SXlAgHzRHA4K5OB3GCsniUeiEJoABklP9m651krOX0c5smKice0r824
2C8WM+4jE2h6c5KG0uWy/MFt5sAIFmYKnjBC+vMtQjeY9L5/wrVa7IrMbQOa6uM7LefRltBVukc/
KHq5fDC2Rn+XjObGJNSxoI3Z1nJrsIYiv0ba1DBbQ30DuoyMqiDMUwkcw/igHd0Rjv0TV9hBh5vn
9U1zjyPP3Q/GFyFdZwdGynqfTXntvApbPMrE08gGRNv6dCBN2R1Hl2NvhfO1WMYOaJPzN7ed5REn
1nIwJPC/oRxogGd9ZRPkbzDangk/oEtz5oI1R+ByLMu5JfGYXrE4Z9eYDtirrEq+ETUraK9Ff2LN
oEjcDB8Rt0+fxYN+OI2Y2BTNXzXQp/tiymTfKJ7mf79159ncR5zHfEIEqA98tzdYPwfGE6537919
1tAbJwMdpBpZk3vjuAVBVn7jMI26OEMPYUZnLmFZhLlmyMIbmpjzQJuQqXFm4KxnwCwDEXK6Zq9g
floIrttGjEfdHPERGnN7ZiwNjLZ3z5PSpuuwfoitaNlExfTKpYBRFO7UvUHXO16DI3ETcW8tp3/k
6p0devYX+k73bFLZq0AoPyZRUvjc2dXF7uRfhVbzKFB4w3J40Dvi3nGothq+BVOObEJFXT/iVJ+v
9ljeU8srL+agflTUld8ZX3Ux5gcjQuCdoHeOBuMUm7ZRi15yL8NQ6xXqV5r29TlJt+EE4dQUHJD7
1RRVjd4fp0uZGkSNB5WG4F1v3mchxLnnZ76lFOKsj4g3FMXkgSiYfxlT/dC0gUttk+xaZf8VbsMc
rvgRm67jt0057aSjDh1pRU4HpXHED1rlKdwqYlz+bLeMs4t0CaQQ44k1gB68mPpuLSaiN5mPdUn7
Zvbr12NnX7wQt5KjKO/wlvlLVj+ihD/Qakn3qoC0bRO38ja4gtlWtd65DzFeqcbKzm6/TZeG7oWa
sZ7hRfpW1XQke1bNYY/oxLa0TULFox7t5hDGTRZmgVOq+lLF2GjMZsr2iwcBR5ExOQ2humumex7m
nlQEtdZo/iZV3tLKA5lqH6HprpbgFh2ZCfQmzlBTRVG4n4DsY3/WWcD4ZnGlrpg04UfgQvHDxFr0
oZkjLYzLN1766l2n33EDf3XvNoX7TFCbXC8NuHs5D/LNy6fnyQUJpI0u8ykrtp4tCfZar4p75v7S
Ssd7uGZUUqY3Tud/vy0Wul2HDBujnag6SNbLIKcN9YArQ+cNyqiMStz55mszcAFrIuTH2I6vddJ4
r9lo9yeBGMmePF21Bec7bdgmA0Jbw4GtRYGN3oVjTCufp21TNuHvbuDUWJOUvkQLXfGT4/pkSU6i
MsV9ZEql8u65ab3oLWzZmjvaICGunYZsoNq+cYzAWtL2Ug+9c8PKPfg4F9znjjHjxqzVzunK9uEO
PL95pJG24FAdodHtIpI1yJVNF2g5klOXgTwCMaQ+M4OAQ+21DZvI8pORf8QYCyiQlSCbJP0xl1xo
coevqZ/PyL77OnFo7mVVdyScGYVRZqMG/GOZIOSyWiSZJVl4Ppf6YEATRi7PRaDWeWKvRkkmxZKX
tod7P/bOs110LQMY4FBycX5NLTkMI3TOYmupqbm1Y9/f8Kp9Fk4+78eEKwETMyt1AJXifbnmlnir
Iis5VhG265SZUlOjQJpMu/pFFy8JcKiNS+/kEbfigqiGl7zDJwQzY1OO8482duivLYzWL2mVq3U4
YTBToEbmS/5YBm45iVO/dij1kmVjH9dcs1uZYMzX27ulNSd2bJw2ZvroDJ2LPv7SqquyYzXyxodp
Q1nmUGIwilDxKtccdlnvEhGtqdjKQQHB3HrKK8iKbWLek5o7Bqein1bdIXZ4Ubkz2/zL6ApOsQ5T
PW/QyIClB2PO/hYiba7OUC3bThVEg8OsO9eRZPlY5bolJUoKZhVozo6y7rtuGQkG5PwNDxYewrXT
K2uqg5bW4aub9/t21uSOKvE/0KNpmXS7Q1bUyDgcVDbptMoUWZJgCR4g55eEPCWeJiTTQ9gPLeBZ
Y/CJNPd8y41tOOdLkECBvEzfLmxVlgIt3rT9MGzpfnwqpYJFkkp9Y9cDlDw732Xl+GbyjX3KZ5Ee
Y1d8qxC4l253aHDwH/so/QxLlyYsfkxJyt2DewUCCcbiJ1ydWtBn2lruTXzJEgEBHfnWaiZ55xa+
xkg0DQ/xEiyg1S4c6wNjGKrvcORHWnDNWuoiOnCnSOCC+qVtRITh2k1P4us6el2+6UgrQHDWSdcp
oJiu056wd/zAEEVbipU06DT2j6TQ4ZUOvLwckQ4cLl0/8sL0p8tCnRaws/NGapsJk2kwl4bnzyRt
3vNYICrUpv49iek1FasO2nJSS8umOxB5+wz758rol7d+Lv5WecIjyHB3jxkWC73lPaeQxbkdY71z
+xIKkuVuyczu9FYnh5C5L1qm20d6WPBWILw8u4z40lJzD1QYHTEhFHvXme42gtBGDOKNzRipErpR
MvQ6P81O8/OJGfoAPiLg3j8fjGK6kATHWmAvh2gcSeLmAGm4oaogJES8E8usNlo8HToDyLyKrHer
by66YAvWm/zeMaPiVRyMjT3wnupa9Gw3Vr0ziacUMyYT3OJfUyfqYEhzFo0SUtP0JmVR7XNIyJtq
neKSMDpxPTcujuYu5Bt4z6NEsw6hCn0rTLg0FfXJ0JR7KDt7uZDqjf2BhoDAc7T5PCZqOU9tGWFQ
Ky+LbWk7JsjvuRPd82jIftjD3x5E9kdprSRNmBS2mNYpggaO3MzU1vQoGkWe4jM72Q2sIhMi3ZxO
Nu52wtDfRg7a09IkLgndjq4G5teNBmHCB6ZHaAOScGBzSXsxkYK4ZU/pJq9idYgIgu/Kok/wA8Mt
T8xu8bkBd7RTX8HqrUnJVw+XyKEyOVSUOsNJ6D0eyXgkRZf7FI7HvdE9mjEdnr3E8ZhojM+G2Ykb
yM3ntDZKDt9e8cqRclfUIjlYfeqsmCdsuGARj1IV13RJit+MoX6UKeDVOmXSBX/+InPs8Gs9UZ06
JNEggzi27WzYe6A/cpHj6WOwaNnAp1oXEuFsto9ZucwPqPeFE9/44FvDQCIiGp1+DXP6zwbzPZpk
EfSop2N7ycwnKdTPNDE8pC7UI92hX9kik/GaJQ7zSDzisZZVOy/Oh5sUdn+zB6hekM6v2KVzJspC
H5jqCHy1BK7G5zDvttVQCiLtL81YOWcOFtIv2CvxRONKM9zlNY0t975Wp5syw8cfqSdYWPOdVOkX
9iuHpZlzGBRCe5OMZXSRa0F2S61YUNSKRc1pmx1FEfROxR//vi47pjCijHWMzlHbHgiNZbR+GAfs
0PY+TLj2lW6Jj1YjpL7xRisMoBAkvhd10WmMFCcda3qbOu/S6Mbd6HC+ZYq8SNV+2mtcXRHmx9ev
/67XOG232DAnp7o7hrI/l0qIvWc04jDCbzcGT4K475+jKUmv/z4QUV85ME77MM5VLRp2ijDf9+CQ
MKyH3Qv8WC0gr1M8gYEifSHm+Og1UBuWQV5nFzZgIUwA1G75Sx/UfNYdqqG8ISdrU5wcyfMwMdfc
DhmfhbZOPLAT/Fsax66Fl9Ow3iSwVJV4snmQrrPpPfTw3JMkOBX84x0mc0VYuSetmYwXKFK5kXt8
3Y6Llwp7PMTTJphysaCoa4aPoEd0ZRxQMLERAjtbUGmkBW1qLO0AriOTfbfwe1EsO2HbbtBmaq/s
8Q1AkIZKiShkoRpfCb3v2oiTfq0e2pQU9wqL+FvsXZD0qm3lFdCIHRjwjNe3DhwwH0xBRSSB15WE
46q351ziZBO0Je5HS7j0B2PKtWpcTEv3BqGjZ9rBdTrrvOkwGQPrAb7JsLtNZdl/VVnFmlFmz/E0
Vzuhee07/4FGD9gaefnZcLrZ0h0xM4fu44NG0zdUMSSQISP8CZ9ZvrQgjRizpWJbJXO80+KY430T
GsgA2B7qTNsZOLcORldzMKnTrRTxfFFhnh7q2X0uUnM6F+D9NlO6Xh7ASexYEC8cdwSn4Lg/mLL5
o+qW4d1qg4vndSxMqvowdAeOMyRGqvkAP924RPVzaCu5NznhriDhvRGW0XkNuNmA487D8CGnPL24
yqOmr4muhONIqdoaJ4d5tTXqVbzNoO8x9JrxeENqXHiEX2psffhfYnFoTSso1uD/vw/zzIytRA0/
Vh1ARwabnEdSt6Z3xqmJ7vWw76GLx27JTB/h35fl81Jh7lXZim6q4G2ERVSc03x51fQacSGslkAZ
BrmkwnvxZmGiI+FMm2vHeZC2+zUy/tyM2tS+pFPBB4gTJCHHV935tZhQiqZK+sDN5EkpDjeOnRNW
VHD5vK5x96ILoz1Bnb0H9e69MrXfZYSipmdWtNGIrwJWygJa4ONLbZfGdsi717nSxNlTuHKzMFy+
zAFWgZXV7DXNeJcGbzHuV/x/W8tLot+G3XLT1FPBQpry902YvDG727eKHRTYuPMjTJfwkYcYzNNu
jyoqjyhnX33DI14lnnync9raDpwrJrYpoqKxeiQsnkUpbkurLWeTLL1HE71PntC86fKPJy31iL30
wzIZ5MUD1h8AC1TSiFj9LKB2pNFHAz9hhcbYmyXJ0gBaQflKws3mWay3XuGqF61Wl1mG3RlUg286
C5uRB0N2TrsMoQJ46VIyrWLhHQIdYOBhycoz+RW5tRZt2LWLoOAwLZx9V65LLS4h0mQcNcOuB6lq
+CLqfnpmZ7GKCAJ/ZhoQ/FO/jb78dO33FjfrTqvUz7ocl6CUNlsq+9jYgM4Tqj1FvIGHIjxbfez9
aUvnDaWh2mMBSbB/ePo5WeRzVPcgKHLvqUwrEn26/dXNenlwMicmf6ENG20Y7XNvY+BK6yfbCIrI
M5laOt3WIlu/S+hW93UL9zhqWHp0lpmUoCuQa4oe2E2EU6MZf9R2T7Ig18g6FT9S2mUuzCVvlhtW
l5IQXEvOOJhH75FqWUAqiTnsAIg8nLZY5sNDZPAdRx3nfaSCM52jPflHm4O7Uhf0QhcfSo73P5zx
3kiEjraDs1JWJkGHIbaOBDIemYRlQUqiAAS8qCJ6yqaa+DVlN4GRSSoJYK9LcPjblPMV/9zsS881
FOKweo2ZBR+nlnZzFdVb7IHzFe7LmlrBtSeTyj0YGBvXKvmkqNub62CD5uzaHUjgHsblXYmDWk/4
nRs/hRpSozHLdG/WruerwTrHabhwTInIeGukBdApwVLG1kebaL9Crt/nztm6pnEaOp0xgwI86PU9
iAvUm5yKsFPUOjh3SgytUWpUxxmmxehwIJYt75Cra+Pes+acfSc3WcZ7ABjNdK9Sqisc2dwI9JYX
vqAjkFKaPATQFGTRgTk5lMOxeo9SL5gb47kckVKW0dlUBeIbKAb4xMtckD/lnqts9e02WoKDPU72
yVSevMgkWgGjHC4sPOylfvuH2fp/zRq7Jr8aquH+dv8fVOtKDLQU+/2fYWPXHzHFukSRmx//M27s
v/7cf+LGXP0/PCFM2GFSAAizPNBh/8kbc4z/sCXcMItuOYu6XOH9N2/MMP5DN0B2u5xyTCBgHo1w
/8UbE9Z/2MKCN2abhmGbwv2/qtaVlstn+V/K5f6RzuiNxAtsAz5z/rfuSKOf3akztGlrz5QkUeHp
0SrEhxEJ6T8/tGma+YIpwoKcf8xU9xK5RXGxkw75IqpOmmTU5yJYshDfGbuLoDUIpEeOuBocelyg
oTc7rag3/h8kncdy40gWRb8IEUi4TGzpQE/KS7VBlKpK8EDCm6+fw56NomNiZloigcxn7j3XxZs7
CmutGOTd+QAEui8U+JCWsw0TYnddVbF5zd3a2T7ANkWa/f3v7daSHF5rxOcUI8HpJjf/5c7DE4oz
99jhIQxiXZ9KRbhKjdoOa9Dy7T4GQDrFMlN7qyF2iuOimOILCTy0yyHz+jHi47gZ3mHGt7dG42Z3
22souuWYmtPIfNd/F9miDh6F6x1R2arKEHP3MC/3Mi0+FgT0B6vvy1XuI5ieMB3sZTGpnXZYNfVd
AyKpcIeLbY84FVDgpBhA9hnbiMPs6xs0CgNhj0NvyT0FnbO4Oq2Yt7n/Wpuy3buMxWEv3KPeMZ8T
7D37KVzX0tO4JpT3MqZMinrjby5QEhiwg7Td6VNZb5iJ9jjacU1UmKz+/6OvMtavIVehkSCCiwmF
wseY/yuIIg10HvXnNE3yjetOSJQHvtEit5ksor70EnUKvdYNwC+ScTan0SY1Sm+PmNk9L7E3IM/v
w2tvsgckJu0tnYvs/B8iZorTt9wXcOeNHvwIqS0PIyjJNmBKOe+r+lcJY014Y/4xdsY/i6RjS3TJ
y+QMt9gv/HrlqfIrTPtnEFflJ2LzoMnpbGy6v93EQAkB3KiYo5r6SVsP20prLifl5mrNc/XeUQTu
ezlW97Cc86Mwu3+V83vUyfwrdVAWKS7vouoXjHN2w0Udw4UChOEDiR9L9wkKbXWhugb7htUtL8xA
j+1PAjph1zgYb0srWnd0pofqwmCq2rqGKy+Va8r9L2WyTeKp1menm788VRCAmjIsZlh64N9anEo7
L0+UZx+sTNfYDusbvnGOe5yeQeyr8RkqjYOKx9R/R1SxddP/K7RmhFL11ipuZHpir44qNDf6ANTx
FQ16DxtQjLtpTnENZYJh6IgaGc0nck+CSNg4H0cnNtjm5PV5DiV75pqrgGyQ+iiZZ3XcdTgi5cl8
/GhIPoBjKplcSQg+zpRe3bL0A+nB1bertjnOUj7FVcNzC+mOZBpkCbkZ77Nau9fOK/7UpPKceZB4
Z0JiGmvo60FfVc6hzee71xZ35j/FOzioDR5RfKezyH5JLmNsZUYwaQY+6BkzgDfewEAzuzWM5zdq
kvIwFpm38URebIVZGGdbXCGUpmy15g7diPxJKfxCUmW2OK0JDPwurA4insrmU2829tbtEDo26Yw/
2JoOLokwaPzGT5ujY5W1A0cHqqId66ydZ4/is10KPH3ReJ08JIFVRRlRavU9J+HFAgk1K/FFU1sH
fW8OJ3wV6E5hqm1QrQsgCWl/GUzztvgj/znL3DWagBqm25w/cVnEmwTQVSNwTXeuj9lmYXPR+SRq
LTI6xlNP4GjJdNoj6nvVmXCZVqCAxt3yYMZRYzEZy/DUJWaUBXabGhh0YPz1Og7csab/qVzj3Lrd
ba62LMspxnCh7Ei4wljSIB2th2Y+jAL5ReKw1MK+xiwIgH6LV6OI/zHlA9NhJWtTQX7PsbhZevhE
ExbkEwJPvOzWegnNv7PbMuwc+G8Y8dELqXtmtbaUTyNXU1tHHuYhvORdnwQ+KGsIZs8mMNyg9Ion
yxvPHuMNHm4QUIjy14lJmW805ylp061r8pnHC3bTSF9NJgqo54kdmBQZlqhHFVGgJxuPl1ja1475
DL6l+c1rcB3lrSdQQR7SRjKYTQirsFsXCeD0i00+jeRUhSjISDHC9TQmU2Dbabuy+hOW/XanPes6
2+6wss3xiwStb2GAnEIm8E9iE7YiiC/DsPzMQC9ULIwNK2xJH5CBaUD+RpwCOnzTveVt/qdObuPC
ai9qhnE/MKufPSgOFnC/PMMPgIAQgYkNiyH5NTDgxJlFOZySVuEpD7tq/rcZEAv7IQ0mgoUdPgXO
3DQ9p4Xxjm2dUV6ORZTgWnaq03EU1zqBro9V6SKdGtXH45GJWQ9mkQZ9D6D2ZZgQ3xfI+TIGfJEy
d2p+DO1jU/KbO6QcNC4RH1W/lolyYHXGR1DS+WpGpLmGsxETNLH8DAsRHElhNdux/q4VEAg3T9Su
50OMSS5fWYW61pGed7oQNf8zQrbM++gPr5P0nnH/HidSFdYpji2hufmY/ocoX8aw0S8FBgYC6Sh1
Q2vNM/gka+g7CyKHdRGJ175a7jaoeNvXsNxTNOkq+s0G82npokBHFOBRh60je9hsZHGwC8s9IYqi
ER7yo9eQ/TFj9NtUvBu7vkpYhg5msntEfWz0qJ3nKMxMxj7gEtI8f2idnPdicjbU5sO7B33UdiJ/
G+Obhl2NoQWENK6i9BfDDVJWndrYAcTJwNMk5XXI0WwC7Yj8Qpy72O4Zb3XHHKeGXdW3DDUpM1V7
i/OSVHIU63sPfxxznGZTEQ4aJKC5NqyLmGjJ8VeJiTXwY4FsEEATyu22t/CuWTDjEKyyfe6voRqZ
tJtZ4Ew2C8LG7p5LhGFh3/6pXb95dm0r5uZnTFGHQDOyutwNBjI8xDsL4+o0gX0A+CyHFhozabqO
Ej4a2peiF/q9d+/TzJYgL+shMEM07so2eGcfezdtF9/WoL7wpA+7UEztK6l11RST/BHX0xWVDGmR
TbFsxtGG5GQe4pwt8iLhWJdYpY+pLX+bfeFdsC8FGEyoI4mpu5uFB5mjtT8ZtqtghoebmZhLdNtx
edISreJRd5QlJDpZXlnssuyhAzLxVWXESwVRMnZbz+WxZUF9dRgmbvxKdUfZTWrFLtSLve4pSbT5
xIOBjMvQg/GJ9fjZlOOVQQlu4mkCBYUlUoVkY4xC14Fn1r8egQZHC7jICte32mZOx1w8yi6kYsGR
zGdFg9VfcfUkt8mDIiApmo5dYa4pleer50Z4MuzmphRiNjAAJ4uv/OSHu8gv1bFTE+SM3H+cMx1Z
DvaQIBrqjEAMEiOYoT9IC2UPbSE7wWt2V5iLuFIZs7RaQl1B9NvKqXm0jNPKwir/IcLQXJnRk/Co
mFz51+u0OEVwEM6m3Q4H36kYgKTJI1bw1ehVdhDYfHeFiDZF1mDOa8Gjjw4uBkAUz6yaBp58ZP2Z
CNCM431zBrUrSdRYM1fXLyFK4YwS1Ury6XV2O4UpaMI9DPnBMSLzzUclmekiPFdDe3VHdB4w1k3e
sZ5tBBkzVWEbp8jEX4xi4FhJdtSMmwDBRmDdsLx5ZE3jqyWBpTk6j0IEiS+5R6HdgC7qUS5jruP9
NPC7KlAHS6MAuRqnpShZMoziw515vBiAt88RqT2rJC4i4jPLFHs6W5OGzwUof0Rqg1k/z2aBFM/w
VDAlR0QDOHpGfutyIgDA55QQI/xJ720oSn30H2Zfi0TF3FJ/RoJljsDz+wPwlPtoQvoHueLulgjN
hO8T0srWMVu7/fQhl05jbKmqe6lR16DarndYZthVJda5I4XO5sljxXTrTQqeKDb3Zjxhz6uNg8rE
eC9dd97JliwIWUcXYia856nbe32qbzbhCuu2+td0ZLZOBcko0Tvtkn3FGkZgTCYvc0Qljj66X6EZ
ZXvctMN6cEi4NmGYvEblS1MP5m6em3zvYD/azm5vnNEXpidkeMWGVmKXujxVWIWrTdHQzIEMBr2B
pYFAQfVmW0RK+7nr78e0wuYb8QZNEsDUwAKlVrfBMNGIZbsUy+c4x0EcMx4qfswWaEm9aP5wORwE
LKL1VLo/hvNDQh2Ouymbb62q/kbxp2lm713Ih+HG88zwaZLQl+yPQfivD/xwkPL5PIcXZVbI7GtJ
ae4uQcIGn7cne+mM8SMj0WkdhjU859Q3t6ns9loUJx11E/z4gA9yHRWZeMIg8i/1SBQDOLmZE/ml
bU5fnp8ZtCfmDxziW1/U59gHu5VG6TWxyuE6z0xuCrIACMvKi31P2OF2XFznandqRnTjGRurHp+8
fFHvIP2XDygm6V10s7cZ3BKbX8omBjEF1lvz4gOPuZegVFYG3+OG15xft2BGWmRvbjcWl1ANR7y1
qN5I8N0RcxeSrAjQQiv/vcQq8VSHaYDOrNgOvU8xigPmALxPIWrzfpt0/zcPPuHiTCGcnwe3x6lS
oGFJwtZwC9zSPluwIrZjW10f2e/nvMbz0Dyeyb7zD02LzQ3qxu+EueChEvV8TAnb+W/hYqW2fzYA
ULjkNu5LOjJQbOMQKKe3do6TXLooPerMzk/ANAOP4Nctbv/63pZLYEx6YUk+BAUGmaDwil3OLuiK
d6AE6JHkge17rGrgtgzYCXIX0QlHjbfOxtq/Te4g1rZCYKdRdl6r1jilJLjumXIifGhSnvosyraF
K/OTOciHFrEt9uQEX2sM98ccy9h+mKSLp4WTJIJAposrDfPACUtfOGtYE+MDoTpL2K9Wn28z2Owr
+UCx+YSxiwHZbCni/k4KyZY7GSW6q06VfiyEYu/TleVy5LZbs5vpMxxoFilzvhrUurPCfG/O1Qd/
LfppUxG6pLt7GWFscGNp3ghLIiJP07K0zoJcvlU5ecEepiUG3ftyLIO0R3QdJk75MkYc9RBCUTcR
v3QRqnb3tej+wV2iS6XZ8IipdcPROnkyqQ+Mu4MBOv1x8MpzrFux6qVw135nHDx+30rps3CTYmM3
MaapMg6KmSGOmDMspjjNYqh0QBvPuv/2Q/XC1v1s8sGteuLDM233TGPGp4XOkqCZBmteSpxwjEAi
bDziifZzzuS5HkDahjXZY554Q+9F2+F4V8/GO1VWywtQDHnvQZMomvMaHw/RQeEqNlPadSQ/MKrx
/nsEK4jqQXU51vnQbml0SZGD3Ut45Mq1lz1Kv6hwjx71e+5ztIwl5BULTYCOo78EngZdVoSMAxjd
wkc9TBTZ2MyjU4fX2iC579DjGo2tiZCHin1kkhLJa83/hEKoCJEKZQVBVWt42GrrsWdp0fMEjVdC
fR6Ta0J1uVnIfFqXibeRqflLRkKtRTK9p+kcmN6SbHuNhtamULebl7AAA4tw7ltN+D+7zbDoz1rY
hFEh+hiG4c2a98z3rAdtiv4oN04sQn5aY9xFaWZvWgBDG6rIizDjIghL+8eIuxvId+il8FyHPvL3
DD9+cJksbNpMY1WoJdrKqM5PluuQoqujg2O0F/CUah8W5nfVTeF1MGR4zYhGBn3qJVuH7Q1sJXLQ
H2fC2hnchA6Dw6bvZXdxu+LAnDD/KvNMrYyUbHgyDqA55Ut79Kt1SNdz9LCK2V11Fb5qL6lr3qD4
Y2VO42rrIfLZCDSXV6IVm4Odp1eW3w9FqWVFp6wHxyQWdzhJJPo7Z6BRe9Dm6Dfrf56Jx93IwvFm
1qGzNb5sWSiW48lZjNNL3VaKrSW7Exhick26jr/TXc47jPhxnXUOy8J0AFvuWs6uMCZxl4B2I4Ok
chr3HigDczbUFR3LoW2RzQ6bPmJsnBaQbtUnz0xHf9tZXp670MyxmrchlvIsp++H0YOD8MEF8l/h
KN6pcU9sroevSUXo6EbDg4qX67VJbtrzQjA7RhzdvXKRsIDGnKhIcg9QwFAOTQTj9DBIACCy3qX+
wl+8Y18oMbDEz1ZjPMcWrTiJmc2+8VCFiBLcXyi+0lwip2XFZXmcgGy5FaiSYVxlpHMtzY7fDxcH
Muh1qaeFXZUHu5yUP3rORlEAIk5vOszCA8bEVX+EAPqFyYVb3gTd5cewGyG+gnMOmetZ2t1Y+K1w
gtzJmpYXL+UlWv6SqKIp3tm/5H36Idr4z4BQY6NC+yuDV6kjhUzZiuAhxvmpbPtkqyZHwyVgzlxL
xH3g3dHazQ75paHxWYT9ulOAy9zBfa6xfiLKS8u9sm8uPpNr03ZADnu2fegfuRnaB/1nMZ7Hdu1F
sIp5knYD0o1dU1ZPhXa9G470aYNFrDJHZ6Ns7yk2UWGSBaLXPKb1yfbQpjbU9yquDxTPCBu7JoLq
DLRSUWAt4DT2RvtteaQAIEmFETEkr33LjKfM2IyPiXOTs8TWEbf7pujiQM581914yOmKTpnRiTWB
fqy3oblz4i5BrbyTus1N730kYLm4WRd7t+AQX7tNG38ZrruTtn0WjfmbV6/chgtTG0bO/rVnd+qg
bjC6Jb3F8aHkXEKuDKbdbltKOFAvzZxzt9heta5oX1eVL4IEYx1qgVf2w9GFoHGSfcrxPNQUdm6V
l3sebw5VqkCYDYa77hox7cbeh2+oCEQTrvdjM3bbdV3+C1eSOmRzSTAfrIGqUv6+Wq6ykdcmaqAB
Vpm5QUmij7AOMZyD4cL7OM+bGW3LXHXXQi/OyvXlZ9eQV+o52QfVe4Zd0EDAAdc4Mf9IMEnbzmEu
aPO5RtTBCUTLOPQCUfPIYB/m2xuzo8sSbZ0hiAO6AZRNMOcJ3SPwvTMAHrRA+MNwIRTIv6jh8rk5
5S2OTSDSj8J5F7r6bTJqAzcHJvVqVKgPh+ElHkJ3V1tP5YD3nZEdslE3xZRTq7VOHixHUrZQVh+K
fgAebMptO6Icxx3ATlu2q0VEDLPj+nWemcowqXjnTmCXKxKyQWL3GdvgOfIWJtO+BhfnQrrqe14c
HO+YdddzhcAsLLrvJkztk+H2bzTgaBNcMvH6utoTXUTU9dbiDWz04O0bogUTeCvsJPpgbtActDwj
BJMdZyPnuOnUuLtwsE1b3jbFvcdB4OfySDzpDxmnZHJGy7BKMXitawsPn5cYDYuC4YP+CBb+4Pxz
KlzFber/LeYGjdB89ABZAHHIGRYurbdGcVVvRJzgj5nugPABgi9QmAdtpbt+gSwGi3xX+AyuUrUT
DsYSwZhu7r1fjvfwint/J8fdz4t+bxyBYIB1VNHrUzIgy+A2GFS0lyaOhVlLEy1pUqERdbNVMXWM
FeBAFXkAwf4cdvxW0Wj+bh5uqhj4AgqpCnZXjhY7FBvPiPfJomCUUFetQCg3IqwQeud/GkGVj8tg
6RF0iAyDm+PGewi1Qcoq6DmOzbUL/Rxd1l36AP7KBF9ndJfANM4WpQyPRPVTJ0sJsIA5BffJpzml
R6/go6+bHTE80Q3kDEFbrbggsEURayRs5f0UK9DwiPlh5VYJnoRGMSrMHrk1MJLOtdTJWsZ5h9cT
2wrjJsav9UDrkFDfkRBueM/AvuaDDr+nGbQhh49UbLzMBP18NpLxV4QMrHPPOjVxe6WL21SMvNp7
ZLQScA/scy3BEIuK0b3TUHOl1R6aPrg592EJw0mZWDiK+IJ3kOVx1GAAdnzrEjbxJ1h8Re53Zgel
7a0EfJmNjIz3Morhtk85MYRmvW8t9yPU+VdX6R8BKGoHXrYlFaPcoCKErzweqmz5w/apYXoBgtWO
5D2ujPDuv9ht9/OYB7wm0AxGgIvnBHeJsXQEshDUlpJ1rVFeXhvksdS2GZeE1aP/Hphx9wIOuS39
wHaXksYKWIjh1eXGLvKvGj5yMLHsCuJ2+SRJoTjGQ/XcUhGiLShWpEH6B9745xFwy0UN/VYQw3pf
yKnZoQDV29AmUki0U3amDTvWC1jN6oHdJczCWddO2hIUzxKr2vh1VLyPug2PXPrNJrLxrsYl6XlA
EbJzZyyP//c6KEL6yA7LNPpp2W+1587bpoi3lKnDLiHkEH5v+YzewTnVcrgYiT+vG2M0NhXAtBWC
KXCHoZmgA5nvDD3CQJpGttd9emI4v7zVhPrWSFADZUzRzu7C5oNkuxKFsiH3iUbOGMtwK3HMrZST
NYfCa5cTjxFZmI+oiDYrN/0EyqGwZ31JE7DDkzP6aDwGpJpV+a8q7WRjth7Uvbz73fn0vkWLK/aB
lSfLUN7spnmCaj9wVRL703idAC7iwe/ujLfZvJR2G3/nyNriAoyjndevU2Ovu05+eo0+GhQ/zN8z
zvqwyE68EeahJWyy5wTdqQmjd6ZdZlpLusd8Roq4IlGQtQ9bwscioyHwu/YVmTPQiqOHGNqo+fZ8
3Atp/suIrEvEpCOjNdtB7mn3hVefIVleegus0Qx9PjCXaMPaFO1J3x6GXmC4ePxotf+xeGLYu4mb
3LRgF8AFku5mK01vNq1xwxrWSQFuZlnrbKmyjr1fxjSoqX5y/HgLJrvZ6iyG+zWi53MVH0FnsOLK
Hsf0DLiXC6/GC5nUP6QlAGYeINiN2QzqGF3bQeSR2McYIqFPJmQEWPYNzsIzgUgEDGun2CeZjYiG
sR5vIyVDJwaHhsh4UksFWhWDeAF0YYUMsQqEn0cbJETiXNXRB2qC5N880VYz1SWvwqpJakjFXWOy
2S79dOSoBldgiikoFrTrqUbvruviIoVILjott5Of1GfOgHFD/MO0pl5Iz0R/KAsnm9V5/6yO0HiV
637jRQCWofcvFwfzrV56Zu2PHKfSXOUqTxBFWkygPeOMQ1xgTn6e8y7QPUuw5tEQWZoAKbfu5cVv
qA2IwX1aKis5dpb+5hS1TwpNeIPiZi1Gxt8ZoaYbEvvenCIxnxrmDrmSAbFA6tQauYkNBrU/4Yfq
HCdZ/+I53Pphc/OVR3udMW1ASjRd/vsROg9GB+Hag2Gb29wyx1vpNGiNzP4yWplxLDioIxx4x6hO
+Qj6yUVERLteyemzRua4j21JreS0XJnJRtp5dcFReEwwTQKqBI1V2yzMHqPdzkn8AE3p1deFyaPG
a6LNytk4UB+Ok8HUlhcbDEVs7HuGJDwr/SsS+qNDa0FfK25WPA6Xpmq+Tfh07tx0L0Wn541yUn8L
PPqeJMiwvYbpfpUIE3nsbH0ijliDxQoQXQwfMrUTXGGCKbmROqcUdzrO1AlDaa7iXRvnsOl6Foo2
T+bJIfV7FcXO79lfDoa2ftlsfVA5J3+y0H602gwxDB5Fy8/XMlp2OHSuQE7kthx55wYpv8iLfVI9
rDDmR58dNFHoP9hH5S0h8ncVDsxeKg6fYVpo7FnPN0P7m4YXheUT7LCPKNlXbMtXwkFuTBm+rHE3
3VyFwQc55m2w7fcZyOIqyjBBFCPy8sHo2Y+K7Byl1Z08H67WiQuk9EZ40Oz1hhi6z5QGSQ6wggNI
Uo9FNZ43J95JkVHb+x5LnT471j2jyLQk2atG4rBZUr9HI/tjZMLCDQnzL2JNaWFvQ3APzKEE+qqq
5C+j4LRzXp1Bv/sEuK69uPsry/DFYZwbGKH4rHJXQTvL1mUMFqUTv2FnYPenl0RQbQJvYXM7EZuq
WvfvFJM2RayC1OZnPY3fJF2cQlwvW2UgD5++lfcGnK3dDR6GpaJEVDBTbkTNlnPbgFi/EDW26K+a
QCB2YisT7+nKBEi/mjw6+dpg8V2KEwwWxnau3Ei0JI957L5zu/MMGrAYeQAeTAT86euFj5R7fpN3
XDbYc8ZinLZSLq+PBCrEmOaFsTWktEqyRbSr/JKl5ltlwStnCDPUcXihFjaA+t5lwhIWNBgJF3hh
ESTiaRP9B2uOZFuX5vNCMKKZpR0s0ugoXP2hiF8Gclg4Dy0zU3HiuMTsSsal/QF0zj2xNT6MNn9H
+4FrM35l3/WSdfLJqZnKR20PRGl+sSJyBoHwURgk4pdo5etoxsSdPi+0FDWaPyJH8FosjnmNqXcN
tBlR8YWBmLi4CqAYYJAI3A3WltHCIsXpsjPxsK6WeknWy9B1iBQflaNm+YnQ9Vr0nFomnCyrpPRC
CPva2n/ytO+284MpGnOKR614S+HPKzf2d93gfoelB7rDduEuN9Zr/+DIqzkSKyF0FHQO23d6znUH
axR7GKBgvjJ2u26+0hnp1SDHIAoqeW8WTrxJYJ7JJ2831zxDUCBfS996T9FBE7bOLp8EWb53u5l3
iZN/44iin+JJWvnAsbaWbR952fxdGuEE5y/g7/Sd34l5ih9dc91klyxbmEOzgNad94hg2DC8AUAM
rRYvMN2ngIDtAofPpojB2dj/kjiTY3qnOJ1whrJcWhtlnQRRPydbf4or+kr9KVGLrccY440z/WhC
w5i8lPy7pb3CwXNXZjRuJHIWEHZ/4Jpf2xiplJ2Zt773LhlovuG3bos3BGkfrpl5Zx4aY/6DR4Xd
uEeEA47Ybwdz/1o3fZAZzW3Jl2ivvOK6+HQD3kdYIxMDBDUzPm0/k5n1j5hR9IREqZguQPwlep8L
91qi1lrX0URAORFPrhe7G0cz5Oz9CvlFPm00YSorc3jtRLWWz0tBQ1mrYz+DlVMlFWDEzQFNDTHG
GYjBy4y9CksntPUFWolWrtpRXR/zxFcU/k20Qx6NTBylbwvpajCzbodMgZg1qXHVoE6tUN/EC7J0
0VT/0gEWwTJeCQ9ivWzx+Lpj3G6mAViyO2L76bBGF7HVHesaaQ/Nz8hu2ENUpZbk4NRPeeiwYnPq
5bEKXOcPi0yORGhrLXQjAxiQUxpDcUwcDO8wAhKSxhD1IRhwPmJkfiMhlYgwX9BzXZYHfI2Ec0K/
8GsHfo3GXYzvtZcl7HQ6BeR54mmNHuXW8tAbif1ErWS63cP9BaHw9N8Ps42t///TI9J+jOi0u9K9
hd2AVXjGaK+pvgTsjY3fje1F2eMzOYT23rL75JDk9svEHObuEDZ1d1tWUOybaj+NLxnrrSA3udvb
yrbOxHhuh8USz8RQALddgOn2FWXX4LmP4He8s4n3Tc4tpuElvZh8hOtxrGjJgIXi6dDCeqJP22oH
840ROte0Xp4SOZ5l06SrRJXAdXpvPz6y3pe525LZ5YFNfSgPIayOCxFzpH+cIZfcFrojYmoGMlFD
ltRFAb0ktOctUVfu2Q2IiD+im9pKEc2BHBm7D83Sg+GwrH05N/YG6Y+rOcpaSep2bx1br9pDH0AW
iNNwvIUkO0wqrD9ENqLp6KMD9LA/hSgv0iSJUfgE4GCS3rMWyq5uTAgIFEtjUyeKww/6wx0yK177
sNs3rdMcMBBsZVkk7CoK6zEm5fKuSrhKk3mECTFcw0wVPFl1Bm8VeoJCMw8GzT76g+1fbZOAvsEy
B17Q0xwvE0qBdNxgXTYx5mA4N3yTKDFs9ZvJmSQAJQTtjoCjWSGCxNZmb9vJALk1A/h2lbXsp6EK
SjPNDmS/rStX4nrxYMtBAjcpoVHOG2b/27MA5KAWvIneemDcxIW8dXM3uCIYVMOg2p0TdhxIlkpB
vpfnUxunxs7I2n6PmdQ68pQRJUd0RDvpcxYxenGHu80G5UYokrlumRxsGANbe5ossn3dMiIpKbHP
/iKfvbbVV810ZEOK6nnmr34Dm7gn3bjFsCb99eJBP3ILBDAm5V3yQWipf/V4hznpvXxbhxbLPERB
GpPgfbDFV1m2AoZQDyChm6+aqKatIHVw29lYiL1yZHsOVVDM3TGuRQFs3ldXUrFxgZJr6UIW5DVV
9rGZCM9GXzMqIJuF0/JG2elCjZjshiQsb7MHojUaDHFQ1ShPvopRB4VPOPfUS9XJD5VP+mh55aVK
dftamaY4Yf/4cOaeUwOF47YXgLCasEuugMiBMMa63/VUl6d6ApC1eP5+sv0/pmvab4W/3Pwhab6T
lmUhhGUlbRI1QX5dOrQoeN3HdJOMOgJFWH7N3GQ2TBWfqfjiFp8snD8zG2uhCWckLmeCwHpST+aJ
bQ/1z4/EUgnJNAKjX3LCJv29BeDMaH80A+QXxAyXrFacpj4SDCc3AIazgyl6eiwZ4koq1apdWM1n
U/FOceMeUKj3YDwgCnRQd54xQxUMn2RvFOthYKtfKQaEuLnODmmqgU3kUv4w1xP9lJUdiUXdNO8d
Wqy8je5Jm6C8sp2dNoY9MDvmztSHY2JvaiMYPHGP5ro/N07S4ZYaLpU/vI9O6qxHazNUGYdbnvxw
+Jiroc1/xzAeTtYhnnXKr9whSEBFWjOoUnqedkVO5IX7p2kntffjR4jvOzQkEkMXZ6+d1Lso45HL
FJdf29aJ0g9eXW+V/87dPvulxno3ESLB7me0XtxUOlt8cDZSUryKGEbCu2Gyt2ssTtNSkNre8fr2
oR1TgZAeQAUBbNPKkK30+bkJC/ec4guixcpbrCxRuJox0D1n+adI3g1GnjG7lWcLUB1hChAKF9vj
0XfwURDgMnmOt6WASAOndJBRe4C/y6KFVDTH9m563FrW4yGMO+pEGMWaJqrU576X9O1V62zINHHW
NiKgbPStq4tm3o57crmiJSAkbVx31SzwnG+Sro6ObtWPT6Wr72aWxSc2YkbW36Klj5/dooXJjJWG
Ya5C8Zewl1iImGDjdf3vn1TDQUCPCvGIrYpwlIDk6fxCbJkE9szYo8P8j7S4WNSfek6HF6XtFyX6
l8LW8Znx1FeLsf3YhCpZh03dBaEBom4Mr12bb7EEwO/XcrihoKTVncr+3lnfse7Ua5hJPPbo+djR
MohuAeXcytyS23ii+42KcKclnllWRvrOhIYuAUXFpnGwPnYy7G5FbLyxY3c3MVbo/YjdaKkM4pqS
7KHPm86YzzA5ooEMgZstuMwvuWG+tD1ss9CaiZom/NKOQ2NLkELG4iopLw4JH7g/zQPYiI94LP/H
3Jn1xo1kWfivDPqdRnAnBzP9kMxFmZJSqcW2pBdCJdlcgltwDfLXz0dVP1T3dBUKg8ag/WDAkCxl
MsmIG/ee8x116A0errkK3rJVfRO26ntSz/21P7Q/Yz2rQwtk92ynSJycKiYgQwLRARvgE0ooi0OZ
WI9L5aozfLz2DP760I0O8vSh2ZuTZexZj3aTa+1CYlEvZhrrk+PG3/IQTHJoZRxw5yW7As/EHSG/
2rRhNuXMOSVYa7qC8I5oJABuMymV7s2sh1oH69Ly2ncXu/YkKoJRqvTVW5HTHdQ3QZkeKJgeSRY8
d7MDpIni3+dHy0YyAmoQniNiyhBTMlThZGul8rosaQ0MHkegOKy3jDYz5gfLY089g9nWpV/Rgm+N
g6NOYYBB7IsaaQ70En3a6ix6BP7FBbD5SvDqs3FmXtrtuK8MyWrrlAnxElH6ZmoGaUyCC8c4E+RL
oBYpmNsRwDkKB3UQht1esa5f6S57RvG+HKf+oHM3+97Z9FIl4K6INo8AFhyPzyw5UaAWPgNvMa/M
7pGDlnwKdHcz2AHSqL51Ycv3KGG6/o0YF3HJcVIMhguzOcUZS9dsvHBWf2Qgkz84gb5mAeiOsXR8
WmpCPC/NalwLCoZBk/mzFhUZJbH1bCA6WGlE+PaSXOCOy4Tcx4r9rtUKJIf1biQc5201T0/UrxmJ
E8QvIMPaoqtg3fc5RrpyvjA6R5VvLsFO9dg7Zlu/JFV9ETWiWFf4GSAc6YMzpIM90U6vmRE5ZIvu
LFHjLAbrEHOp9guG8l1uBO2W4KkwIo6QHD2rDI4uARNGOtjbJskG0iwVjy1gn2a2zQvzbTjAmgiy
apLtTaa4U5McxLak5K834fWYg8du/PcC1x+e5lnd0lbgnqHU23jLKhAqnW+zis9LasUnGgos/hat
TahCTN97C62+VUUsZJe66fzbAjHqqoyqGnmT9Wn+2DcQosHZnNgJ3ydHHkFfl3sI4HsFNW0X9M9D
2RdHrwuoW4v5aE14f2c1zowmQXOH88JAsAu2oaFfENKxJEiD1BG7gd7WfO9CA9nAcAiF8Wot/evY
KLiMGhdLkhB5lNkfDiSfE2zyCbp8VTPjXlUs0prvhxTrQJZ/S8vyrMZbs2CIypwv35BQgkNQVgyP
2rSFdsbJpPC8aot66p6ViVQam7lQ/9ZS5W0sA1aWLpOM3Hdz7w6IGXWCvHaibogkfLNJivwBpGRg
if7JXaaWKGtnvOa+7J+AM3Q7AENqTwTm5IBvz5Xx6toMRmzptyeB02INv3Y7j4NHOKwDKHLmqpGU
Wa++rkcA0DDFJ5ruOI413KAMiicrLTJHSzGoxNjKkZizmyxepevx+E7Lxh6nNdji4qC8K2cS6IY2
ikV/bKmtrQoMk/vNdfST0iOa6oEma04FAb2tCuwzY9unNi4QWIwfsgCJVmILzhISla3AvqWFyK+L
jdeMrHcdizvZYkcoS+RjxMv50WIVT9PAgI+5PXmTi9KR1QTeXVs1+5Sh1U4g6KRFhjR9ncZdqRgN
DBQLdIVBiW3NJHy7Te3xCAwtezZ89zBVhGU3HpJsQRb4TMyBSvZa24DrPJrHYbKXseItW+HOH6b0
KxYYNWcX7RNhpPCAFfV9kY9I5Q34OjhGgB/1pxrx9NHvpq0xuqAsgk5tHbHMW07P7rnBI5Y5QfOg
nI6+XJImv1gdHrrccQ4pVtjDIkkTxdbkRO4qnrWcdoDPeyQ0uoFhjkdfjtOpg75/9hHuMG9AyxTY
ZnLWCZPgWZnX6eTztmxkej1n9sCaOVpo8WRPrJNse+XVuDLeTTVtIBwZRKinV0g/OwSthTh5tnMs
YeOcPYvAa8+OiTE3NylcbVu7iGCM+gmo2XYx5jDyQxITakZIt8vQdrdVyMBFzuYvSIwoNbvR2A32
+BLi6N8oYpZOgdm8xl3YbbFJwx9B7ooZZSqMEwTGXTk+CY6QQCJQeNZe+ZYMJf3nZnpB/0RHvSHx
UCEJJsvQfclQbt2EKm83UNiZySXJ/edffP68LOl+hPyBfScHyPH9sclb71yFoAAHBgewqba5ahbM
yZR7KL12HBrm7/lSv7AN7HVZ62+u655CqrLrqUg5CgrnJOKaFDy0IKkmz4URokTYekYTb5GqV9vE
o9AgDxbQyMikUJVN+WkokvLOoAWxZ2++mvtxbTPIElEn6EXDSRKUnW5NFWEFOzi4LkQEx2noKSVY
M5BAmjRf0UkuQasPukuewkE4W4ayxqMF3mbr6rGFSxUwJdbcmCZQ5U3pWvWV20ksbeuo3lpIGJMs
EEj6XszOnVBymJAKalBLJGf7N5r0phvd07mTSz5sjKkfbrwFJ9Cos3AfTqS62JEfTP1dUdgfI3Dz
20KQFkp3r9oaqYRdiyt6gQwY1YN8KVXb3Xecuz17KS9WwXSmHHvyE0N5N3+3U++I58x/g61HchE5
fB6F29HTbvZQVgC1hMbgHcBxIi6gkMQkjQSv3FSdTxvWXd0cRuGzhtAdCONVcDelw26cXX1tVlQP
FmJNRswL+SsGnEI7e4RORHyuid1eeIXY6gxGwojD+sos0IrYrX1oYaqCku2Pybgx1xXYzEzSPWr/
YK2IFEAO/d4q0h/MeS5BlRD5Y/pgZJsF837OLS/WyammpTrabMZE8FqWcRxp26LVz60bBEUjlrSn
hUM1nwa5A6uyrGu4jKHvodDxW3ETiNBk1ugeTZxnl8+/0Na9eJLIw8VK9bbFVkInmX9m7uRdKUPS
R8+XU+Vm6V02dXfIg+Zrzuy0qMJ3a2mQQtgd1Rc82uvcQS1Uk9ozF869bhgyL2Z/LMbgvRx640TP
9Vvv4ynlgHbn2KW/WZxRo0pyikOWh69TTOhgMfySOmpnDnHxvcf9hpqfx8cyw/pZI69JHXt+NQus
i6JyttJNGQY71LXdWNxIeHtQM7BkMuh2K5rukNqyXeqV+lwEyoEerU9LmxdnI7HrXVauXIKiBwiZ
gudy+KghpAD5bZ0DMGgfSnF2C1WYRLi2vYqFSa9uuEBDpGoJuLv9F4BqOAOT4TbVoLWHBa1olXEm
qI69U4BDomTEfwY2xrnWXnZXQZmge1QQxGPYW1um/cHIaGk5vrFaC/sDTrQy0vJnn5oHqyJlh5qp
2zWsgTVqdptDddPVJCDE8s1RfhUtpfjZzOPBmJ7SKbnEExomb/XQjDN7U5MnlwEi1x34yPRWuzFC
QgIOXV4wUZCkBRHS1tzl4so1vNdWOAaWRGu9rulhCJrXzy4NQi9yoqW6oDKYr6YJEVjLmhTCP7kZ
m++G6JCphsExr93+JV4jG1PWb54CuNijwuKW4kiQ+c3s6eDei42XoKSlvGA1x/4csFubEOpAe+CG
kfOwt2nn39LqfrLjNjkxkqP0LVx63nYcnB1y62lhbQkFZ7rl5KSfZGTg9qA912l9G7diW+ITg2Pm
VLdJTdB9ZpVHVWLw7ttWXyAc4UexWPhBHdxOuVcQgCShp2myFmntESIQV8WxUYyklBTJrmim2y5Q
ceQZqF5RoV2aJmdJ8/vHphxVZKj4eYmRnKnEbTZ481Zj6G40GNRbFf6XuPvmy+yj7clFkqlzIgiB
bqLmexnYushbyNtQ0txJmCkYxOwHGgPdLg8BeU7xz9Genof2aJjB46zxiWT2/JjYiHc4rb27aHd9
TYeFTmazFZKvV+F4O3ULqZbjtYnmOiHxwgEC6PEwT8GMNGR5rO9Q7U+HMGM6jDqDnSChDBts8ZI0
vMWGLFNaKVAiY8Iua9BLXBeTl4wmNFsJNMoy8FGF+aM5MfBwg20/hi64II0waXUAlhOdyrbr7gnn
GQf9kIXtL8Xg/Sjz6Xvio0OA/uANIEiaGiEa53PIrHeZ8OgOBJYZVVWxGTLznDlc9MVcProUkkdT
/IQxqBE41d8FOrfayM+iG0mI8E1Wn+xhjBe5U1M1HaYYz0OQ8cDUdki07gYHBWkhisLSwTZ1WK+B
GHlbtT+hJvb8BllQTbwgubDk2vw0G6b1QCoP7TRO10m1Bn0h8wyL+DyRu7Hre+qkqc4JnJoNwFnt
RiT8dx/lPYT+CYJgBYTemCEdk6bqZ4MR2dCf4Jj6H5N0OV80y8lYIDfHmfR2XetdV07+NSQCjA42
U6HAKKpTb5ZHYKy0sh0ltjaZkJvWT8qjtCaXGboiCjRqRKeiPleQggkWiLS5PNf0ImKxnunytNmy
RnaBY+194b81+jG3rnWIXcqeU1ibZA4xLzYovyifStDcsMKH247s0wqPLWojAdq1VRvWkLtSJh+e
A+CySMmTrn30KwE2UA8MN54MGvEhqrspnR9FkrvcbvZj31YIlNkFrRqsHieJFOO+x1IZ1nd18FS2
xTcA4zjC1qdg8LKPyQQcb1oIiWmVaJ4fuox0o0j6zlkfQQd/OHP2hIwW+4vGbjvoClmsumMi90vp
8mI7QMzRzCNF3ymaO+cRRXB5jNeQ86YqCPcyHwJ4Nleye6H7Ad4eUfMm68g7QpLQbDMBnYa26r5I
qzuLKKxUGuLKJowIjDE+PhSn3wFk4IBeOFAlVXcxaOpusedi7g3MfGMldGAC17hLxXRuGDFsfaqj
3WzQXrYYaoecRGAaw19FkrTTAlaVWUVz8jzj943CeO3fjJrpVeof/GyBL1r2hyFN+CzBjXLYrm9o
DO4aQC0bRULdzmXjiGhvMaCCUOx8DfL8XauKh6xSpwA+L0DLGphM/27E1ZO/fnw1mOhOD91d7/2M
sX7slA7KXYDOMXUXFVUmlqEy5uenoCGXmJXMIYi5sd3bJWZcKXx5MLtKbH11n+iueXIm73Yp8oh4
N/81D4+jH78YlidulKL5jDogPExtemuUHpxTumOlrfz7ujyNZZ1TtGELLGV+VzQJdjXQV8Kse6JW
imbHwQhzCjFlNreHKxxxhVKO9Dvmt7ghOtA/KOZJdjguFEUgUgcyFqJycA+KgJed60PvGyBPVBK3
L7Z70Bqxs2x1kn3QSWOI83PwLM6nWu37IUAS0ngPFe6CyKchsnF6fw9rp985a+h905bgz5h78ZxU
BMyOG0XZS9YCw4dhDfgYvG6jpwZpupU9I99No3rhnC8S734izWzkp0RSN2tzAsKiznnTWY5itaFP
ULXMxjKe8CFEFBZ3/XXSMC2Zu0BcmR5Xmtqa40/f3eR2epXOPqx8HmybdC+oQijrLeFeYU5sI2FB
24tBliOvRMxRkWBAvmi91wHJ9HZvfBsUaz1jR3lwA9fcsxGqk1c9ZMyJ4DPl6LtE/pXZ9yoSwdpT
zbneKJM0S0B3DiJH72EMqyvkPbTxfXY+O0QZBgQah+dHCgqSVllymXT6zqUQW8kCGOEDF5skb3Av
xnRQG5LrPx+athx+MYmNGZcorBASm/m8yvZjqM9tek8sMXeUMln24KVoKwC7PA1QuGsbKgRd194k
8S+8JubPuxfcvAi2Q7KfiX5xPWOm5lLtNiDJh9k3cRDqlVQa+0K5up9rdw2xAj+64CtuvAZVN9b0
Q1B3Bz80nvCFMKHW2U0BG92gNX4YKUo3MtTbALcXqcdH9CSPJGFOWCx4YOaYeJyCT8gM7eAkhfNt
yPtXoyHSsMhGbh31FqTxVzAy9tE27bfBDS+6HEnNXB/3z9t5va+VZBTuENe0H+BPpk4yb5htd7ua
YGCOUuvhlnYnRjWyWt3vlKAvaQbUSOQfi2ZnL/F7bvOvSzjcrp1MiikPa9EgGdwv7KHuwF9buSgo
o1WHlJFeE/V1QSXJVYfIjKeA+Bo1PWszQNKVxiRVTQQElYmLelE8ch4dyCioSBMi2Cgc+PBJ/DvR
m3oBKm3uoWtKAp90gMZoqfYVioNw7F/qWD+TzIlGool/WPGA4cJm2pA0vGTF/G0zKHXgNgm36CGa
OZ3BasVQlWPKCxJVgH1O0AMcqt4BOEJiUUG5Gbd1r9DwF7JkVI73EM4PtjuC5S4T9lxizTe9RlXc
Dhn3G/9FE6gVCSWePmsCprQF51GOrm3ItsKZmqLN5UcVLs+f36/gTzQ8YMohujHaI/ThShrGgzYp
e0Mk4CDY9IHmfR3ZLbrRxYvJEBUe28IaQpswmNvYBdaD3fgjbTWo0MFJkGnMh89duU5ntZlbyBgE
qS5LtabXL3kEDvvJCOpb9ECUli5RSlS+DUOdz90xKUd63B7FPk1ud2da7WsXpHyuLA8lhR4gjtOs
c7xUCHQy2KZZnLINUiqOGYuR2YlXiAgHE91FONiY/BiFfF4MO44/OJR+7stG3vo85NsQMAxJtRaD
bUq0OoCAwbTwKM3skMpVhqwBnRqufraM6VYMZvCQi2I7uKNxKwmRGJYOe+9a6xosH6makVGxLrW5
ePY0m/yQWsweOKE3V9pboZZeYuw/T+TW2Mc3fWHeff4LKRE8AArdAEyL54FRrBsqi3zn94XY21ar
eML7aJjVKVaDjAyT3xm709Psr3nza503Swuo2dIcadmiyvRRJLr1PlANHwqR11DShge5VJepTj5Q
XQNbKY3jkNJRgQnEpsNIGlu8xFUNcZcB0LnHBEeWjnlaK8x8Xp6XVjBMaOvriSJy6yZ0O7LqqAJc
35nNI9HVSb0f3GPOzswEglUeuRkHf8CcnsflIdEMaxpoE9pKkj0ElNpG+MadrIsPw2RxgjpMN9Rk
2GzgHsPOiQvIVz7aS9a46LPEkwSZ9zFLn43Ym7R6dCI2wYdTi17PrspTQNIdBQcpCVCZRhwOMAK2
VR0ZDkQ8s0ChRBICSWDPssFvgtt+Nzo8qb1zH4QamA9iUc6rxrYTnB56TgRVm3QgK/oDgpAPB/Zl
FH71kuU5SSlDCLuh9krCB+yudynskWGoiedCkact6uzBXsv+mLmqBWxT+d9WMLwkIGDFjruB8Wgr
6nbDpXRxU66NK4NrE5tkP1HjwnxKI3TatBHtB56OM4l37s7CjMTOfJwbmvko7rYd4AjkVoj9KQr3
og7qrZGXDPhC/4GsaICxbOYsjHl4ccmYqLyCyGf5mpjDiaHzcw19GI0WGJ/aTfeJkUVy1P3n6hgQ
Wsgp8gJ+VZOVxFGztV9aI0iZaG3GmRh6/OqcCIP8w0iwPPs8BTFF7efzZbEw0Om4LmEhMfSiIOiS
3fpIkC68JjLor12OrtwJDmnZ3+Bl4z4JBz7knus2WmymWTatckJ6Eu14VabeeyeprEnkuIhpbSel
3LRFk3187rDK4CoweYcq4a51tVZwUsbl3W+cSLOGIiqkPMQiR6rTY1iO1OkNlxcdIce9ikUR7tYH
jRoQAljhm5HtsuoYV481gpjZYTsLuBsiXbPSjB2EP3zuBkOtiH2X6ycowtDt7b1sxNFWBuwR60mz
lQAFCMxC223CWU59tBa2W7FZQn+S2blWYEKnvvxZ0mdF8Nmg4qzA2lshTpAAAN2GGUbpzM9N6F/H
jnNWFuV568Ow7pkcLS2PmOTL4+K0OzvInjIXom4yPIOhuImhiK8Itx9VWJzbhv/ojgwPy0QTgAqz
J11WZjLFFaiWbueUQDMh4m4QWwGOo428qyElOQ4k7MljOiAmQg58HHXzuHzV2VjAz7+VZfnm9oKO
ecUoE2UeOGv3nBFCtJ9YCHdTkr75IXdjZoIzUxiorlwpd9xE79VCkmUrO47z+MyqmacpnFxyXqDz
O9xWYwYPqutz79cjq+QoSR8GlL89ybPSy9cSstxmUWzOTTzjKoY5EbFXACqBGRpjHbMlyGEgIxLc
rui2SD+sO6zY7JqciHlYv5duTXN3BYOmjjsSvjEK4svSiWbtt8C1wm3LlAs7JMdp0aTXPFW/1h9E
Y1Ko5ogbi5+tfc3qJ5HeIv/PN9rlzRIaRSFhgYOs9qnXLkdNDktkLjWKxC41toVo+afwu8NMji/G
mOAbGoMVGT8/uu06/539/bLk4175T2JaydRBxTXsejhGUNaJa/mpgkRComBtyqxfAPTxcGHjo3t2
zDKTRO1meMKAEj7EFFgOD8/nJkXjgI90mCuarj6DYtpSDjKAFjyaP713gS+uNEHzCJ/9Hwi9bnmc
hz2wkY20B1phmRHSwm63yPuoIhyOTFmXMKapWwJ/QSAQaGyyjljWruPQFWV+oI8ZcVubsmnQfZqO
CXGUmQQC0QsesZozKOG1PftSO5QEfRjlcD3Y81F0YXuXmKxkqLQOum0zUqdgkXsWm77vO2SnT/gB
AONCm5vY5oueutzgft/3La2eyW0ZiecYK7UGZo6d0twx7pVnixNhXIvD/y92813/53vdzG2Greqv
hx/1+a380f0L2Zx/44du3/q3XdVnPdPTH+388KPDjd399b/49cmPev3qhQYUsPr/2zf98Q/6jx+f
v/lpbn7891/e66Hq11eQZHX1W2qnadr/wPr8fEmfr/ePfkLxxtsaPvjRUDttFya3ZbM6fv75y38U
dQXW5fPLfvjF9nACA38Tn3/c337Uf3QN/vjt/Xox//h7/u4NvH2UNGp5Ytvsvf/tJUA/6vzJi/AP
P+M3F8H74gaObaGJ/KcXwf4SwF/krvf/TS/CP6O+/s6d8LsXwQy/kKsnAtcJf32X1t/fCd4X/Iyh
w3X4d7sF/FDw2f36sv7h4fzfT8Lvvn+eBOLifE6w4p/eBOYX/NnCFh4wXPC6v1kkfm8Z+OPb+1/3
CNiO5wR/bh34/XfvfQlZAzzzb8+5gN77m3UAIrDreawUAVTg9c+vj9yfugh/4ptYVdfvei9+vLV/
/R8AAAD//w==</cx:binary>
              </cx:geoCache>
            </cx:geography>
          </cx:layoutPr>
          <cx:valueColors>
            <cx:minColor>
              <a:schemeClr val="accent2">
                <a:lumMod val="20000"/>
                <a:lumOff val="80000"/>
              </a:schemeClr>
            </cx:minColor>
            <cx:maxColor>
              <a:schemeClr val="accent2">
                <a:lumMod val="50000"/>
              </a:schemeClr>
            </cx:maxColor>
          </cx:valueColors>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chart" Target="../charts/chart6.xml"/><Relationship Id="rId3" Type="http://schemas.openxmlformats.org/officeDocument/2006/relationships/chart" Target="../charts/chart2.xml"/><Relationship Id="rId7" Type="http://schemas.openxmlformats.org/officeDocument/2006/relationships/image" Target="../media/image3.svg"/><Relationship Id="rId12" Type="http://schemas.openxmlformats.org/officeDocument/2006/relationships/image" Target="../media/image8.png"/><Relationship Id="rId17" Type="http://schemas.microsoft.com/office/2014/relationships/chartEx" Target="../charts/chartEx2.xml"/><Relationship Id="rId2" Type="http://schemas.microsoft.com/office/2014/relationships/chartEx" Target="../charts/chartEx1.xml"/><Relationship Id="rId16" Type="http://schemas.openxmlformats.org/officeDocument/2006/relationships/chart" Target="../charts/chart5.xml"/><Relationship Id="rId20" Type="http://schemas.openxmlformats.org/officeDocument/2006/relationships/chart" Target="../charts/chart8.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7.svg"/><Relationship Id="rId5" Type="http://schemas.openxmlformats.org/officeDocument/2006/relationships/chart" Target="../charts/chart4.xml"/><Relationship Id="rId15" Type="http://schemas.openxmlformats.org/officeDocument/2006/relationships/image" Target="../media/image11.svg"/><Relationship Id="rId10" Type="http://schemas.openxmlformats.org/officeDocument/2006/relationships/image" Target="../media/image6.png"/><Relationship Id="rId19" Type="http://schemas.openxmlformats.org/officeDocument/2006/relationships/chart" Target="../charts/chart7.xml"/><Relationship Id="rId4" Type="http://schemas.openxmlformats.org/officeDocument/2006/relationships/chart" Target="../charts/chart3.xml"/><Relationship Id="rId9" Type="http://schemas.openxmlformats.org/officeDocument/2006/relationships/image" Target="../media/image5.sv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microsoft.com/office/2014/relationships/chartEx" Target="../charts/chartEx3.xml"/></Relationships>
</file>

<file path=xl/drawings/_rels/drawing5.xml.rels><?xml version="1.0" encoding="UTF-8" standalone="yes"?>
<Relationships xmlns="http://schemas.openxmlformats.org/package/2006/relationships"><Relationship Id="rId1" Type="http://schemas.microsoft.com/office/2014/relationships/chartEx" Target="../charts/chartEx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4</xdr:col>
      <xdr:colOff>304801</xdr:colOff>
      <xdr:row>3</xdr:row>
      <xdr:rowOff>144378</xdr:rowOff>
    </xdr:from>
    <xdr:to>
      <xdr:col>19</xdr:col>
      <xdr:colOff>569495</xdr:colOff>
      <xdr:row>25</xdr:row>
      <xdr:rowOff>104273</xdr:rowOff>
    </xdr:to>
    <xdr:sp macro="" textlink="">
      <xdr:nvSpPr>
        <xdr:cNvPr id="3" name="Freeform: Shape 2">
          <a:extLst>
            <a:ext uri="{FF2B5EF4-FFF2-40B4-BE49-F238E27FC236}">
              <a16:creationId xmlns:a16="http://schemas.microsoft.com/office/drawing/2014/main" id="{129E0040-85FB-C163-96A2-49F417646ED8}"/>
            </a:ext>
          </a:extLst>
        </xdr:cNvPr>
        <xdr:cNvSpPr/>
      </xdr:nvSpPr>
      <xdr:spPr>
        <a:xfrm>
          <a:off x="2743201" y="697831"/>
          <a:ext cx="9408694" cy="4018547"/>
        </a:xfrm>
        <a:custGeom>
          <a:avLst/>
          <a:gdLst>
            <a:gd name="connsiteX0" fmla="*/ 2854573 w 11076494"/>
            <a:gd name="connsiteY0" fmla="*/ 2090033 h 5316717"/>
            <a:gd name="connsiteX1" fmla="*/ 5538246 w 11076494"/>
            <a:gd name="connsiteY1" fmla="*/ 2090033 h 5316717"/>
            <a:gd name="connsiteX2" fmla="*/ 5538246 w 11076494"/>
            <a:gd name="connsiteY2" fmla="*/ 5316717 h 5316717"/>
            <a:gd name="connsiteX3" fmla="*/ 2854573 w 11076494"/>
            <a:gd name="connsiteY3" fmla="*/ 5316717 h 5316717"/>
            <a:gd name="connsiteX4" fmla="*/ 0 w 11076494"/>
            <a:gd name="connsiteY4" fmla="*/ 2090033 h 5316717"/>
            <a:gd name="connsiteX5" fmla="*/ 2771773 w 11076494"/>
            <a:gd name="connsiteY5" fmla="*/ 2090033 h 5316717"/>
            <a:gd name="connsiteX6" fmla="*/ 2771773 w 11076494"/>
            <a:gd name="connsiteY6" fmla="*/ 5316717 h 5316717"/>
            <a:gd name="connsiteX7" fmla="*/ 0 w 11076494"/>
            <a:gd name="connsiteY7" fmla="*/ 5316717 h 5316717"/>
            <a:gd name="connsiteX8" fmla="*/ 8319795 w 11076494"/>
            <a:gd name="connsiteY8" fmla="*/ 0 h 5316717"/>
            <a:gd name="connsiteX9" fmla="*/ 11076494 w 11076494"/>
            <a:gd name="connsiteY9" fmla="*/ 0 h 5316717"/>
            <a:gd name="connsiteX10" fmla="*/ 11076494 w 11076494"/>
            <a:gd name="connsiteY10" fmla="*/ 5316717 h 5316717"/>
            <a:gd name="connsiteX11" fmla="*/ 8319795 w 11076494"/>
            <a:gd name="connsiteY11" fmla="*/ 5316717 h 5316717"/>
            <a:gd name="connsiteX12" fmla="*/ 0 w 11076494"/>
            <a:gd name="connsiteY12" fmla="*/ 0 h 5316717"/>
            <a:gd name="connsiteX13" fmla="*/ 8236995 w 11076494"/>
            <a:gd name="connsiteY13" fmla="*/ 0 h 5316717"/>
            <a:gd name="connsiteX14" fmla="*/ 8236995 w 11076494"/>
            <a:gd name="connsiteY14" fmla="*/ 5316717 h 5316717"/>
            <a:gd name="connsiteX15" fmla="*/ 5621046 w 11076494"/>
            <a:gd name="connsiteY15" fmla="*/ 5316717 h 5316717"/>
            <a:gd name="connsiteX16" fmla="*/ 5621046 w 11076494"/>
            <a:gd name="connsiteY16" fmla="*/ 2090033 h 5316717"/>
            <a:gd name="connsiteX17" fmla="*/ 8234469 w 11076494"/>
            <a:gd name="connsiteY17" fmla="*/ 2090033 h 5316717"/>
            <a:gd name="connsiteX18" fmla="*/ 8234469 w 11076494"/>
            <a:gd name="connsiteY18" fmla="*/ 2007233 h 5316717"/>
            <a:gd name="connsiteX19" fmla="*/ 0 w 11076494"/>
            <a:gd name="connsiteY19" fmla="*/ 2007233 h 53167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1076494" h="5316717">
              <a:moveTo>
                <a:pt x="2854573" y="2090033"/>
              </a:moveTo>
              <a:lnTo>
                <a:pt x="5538246" y="2090033"/>
              </a:lnTo>
              <a:lnTo>
                <a:pt x="5538246" y="5316717"/>
              </a:lnTo>
              <a:lnTo>
                <a:pt x="2854573" y="5316717"/>
              </a:lnTo>
              <a:close/>
              <a:moveTo>
                <a:pt x="0" y="2090033"/>
              </a:moveTo>
              <a:lnTo>
                <a:pt x="2771773" y="2090033"/>
              </a:lnTo>
              <a:lnTo>
                <a:pt x="2771773" y="5316717"/>
              </a:lnTo>
              <a:lnTo>
                <a:pt x="0" y="5316717"/>
              </a:lnTo>
              <a:close/>
              <a:moveTo>
                <a:pt x="8319795" y="0"/>
              </a:moveTo>
              <a:lnTo>
                <a:pt x="11076494" y="0"/>
              </a:lnTo>
              <a:lnTo>
                <a:pt x="11076494" y="5316717"/>
              </a:lnTo>
              <a:lnTo>
                <a:pt x="8319795" y="5316717"/>
              </a:lnTo>
              <a:close/>
              <a:moveTo>
                <a:pt x="0" y="0"/>
              </a:moveTo>
              <a:lnTo>
                <a:pt x="8236995" y="0"/>
              </a:lnTo>
              <a:lnTo>
                <a:pt x="8236995" y="5316717"/>
              </a:lnTo>
              <a:lnTo>
                <a:pt x="5621046" y="5316717"/>
              </a:lnTo>
              <a:lnTo>
                <a:pt x="5621046" y="2090033"/>
              </a:lnTo>
              <a:lnTo>
                <a:pt x="8234469" y="2090033"/>
              </a:lnTo>
              <a:lnTo>
                <a:pt x="8234469" y="2007233"/>
              </a:lnTo>
              <a:lnTo>
                <a:pt x="0" y="2007233"/>
              </a:lnTo>
              <a:close/>
            </a:path>
          </a:pathLst>
        </a:custGeom>
        <a:gradFill>
          <a:gsLst>
            <a:gs pos="33000">
              <a:srgbClr val="002060">
                <a:alpha val="30000"/>
              </a:srgbClr>
            </a:gs>
            <a:gs pos="100000">
              <a:srgbClr val="00B050">
                <a:alpha val="30000"/>
              </a:srgb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4</xdr:col>
      <xdr:colOff>352926</xdr:colOff>
      <xdr:row>5</xdr:row>
      <xdr:rowOff>136358</xdr:rowOff>
    </xdr:from>
    <xdr:to>
      <xdr:col>16</xdr:col>
      <xdr:colOff>0</xdr:colOff>
      <xdr:row>11</xdr:row>
      <xdr:rowOff>168442</xdr:rowOff>
    </xdr:to>
    <xdr:graphicFrame macro="">
      <xdr:nvGraphicFramePr>
        <xdr:cNvPr id="2" name="Line_Chart_Sales_Revenue">
          <a:extLst>
            <a:ext uri="{FF2B5EF4-FFF2-40B4-BE49-F238E27FC236}">
              <a16:creationId xmlns:a16="http://schemas.microsoft.com/office/drawing/2014/main" id="{F99CAFBB-1050-494D-BFAA-7E50A19C26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344905</xdr:colOff>
      <xdr:row>14</xdr:row>
      <xdr:rowOff>104273</xdr:rowOff>
    </xdr:from>
    <xdr:to>
      <xdr:col>8</xdr:col>
      <xdr:colOff>184484</xdr:colOff>
      <xdr:row>25</xdr:row>
      <xdr:rowOff>32082</xdr:rowOff>
    </xdr:to>
    <mc:AlternateContent xmlns:mc="http://schemas.openxmlformats.org/markup-compatibility/2006">
      <mc:Choice xmlns:cx4="http://schemas.microsoft.com/office/drawing/2016/5/10/chartex" Requires="cx4">
        <xdr:graphicFrame macro="">
          <xdr:nvGraphicFramePr>
            <xdr:cNvPr id="4" name="Map_Chart_Sales_Revenue">
              <a:extLst>
                <a:ext uri="{FF2B5EF4-FFF2-40B4-BE49-F238E27FC236}">
                  <a16:creationId xmlns:a16="http://schemas.microsoft.com/office/drawing/2014/main" id="{5F305663-C556-495B-AA21-AC6B2A0757E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783305" y="2664593"/>
              <a:ext cx="2277979" cy="193948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344906</xdr:colOff>
      <xdr:row>14</xdr:row>
      <xdr:rowOff>136358</xdr:rowOff>
    </xdr:from>
    <xdr:to>
      <xdr:col>12</xdr:col>
      <xdr:colOff>112295</xdr:colOff>
      <xdr:row>25</xdr:row>
      <xdr:rowOff>96251</xdr:rowOff>
    </xdr:to>
    <xdr:graphicFrame macro="">
      <xdr:nvGraphicFramePr>
        <xdr:cNvPr id="5" name="Column_Chart_Sales_Revenue">
          <a:extLst>
            <a:ext uri="{FF2B5EF4-FFF2-40B4-BE49-F238E27FC236}">
              <a16:creationId xmlns:a16="http://schemas.microsoft.com/office/drawing/2014/main" id="{B457537E-13D7-4163-A968-029B5DB40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240631</xdr:colOff>
      <xdr:row>14</xdr:row>
      <xdr:rowOff>40105</xdr:rowOff>
    </xdr:from>
    <xdr:to>
      <xdr:col>15</xdr:col>
      <xdr:colOff>577516</xdr:colOff>
      <xdr:row>25</xdr:row>
      <xdr:rowOff>88231</xdr:rowOff>
    </xdr:to>
    <xdr:graphicFrame macro="">
      <xdr:nvGraphicFramePr>
        <xdr:cNvPr id="6" name="Pie_Chart_Sales_Revenue">
          <a:extLst>
            <a:ext uri="{FF2B5EF4-FFF2-40B4-BE49-F238E27FC236}">
              <a16:creationId xmlns:a16="http://schemas.microsoft.com/office/drawing/2014/main" id="{CFE3BA62-4960-48D3-953D-854D0CF8CD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88233</xdr:colOff>
      <xdr:row>5</xdr:row>
      <xdr:rowOff>112295</xdr:rowOff>
    </xdr:from>
    <xdr:to>
      <xdr:col>19</xdr:col>
      <xdr:colOff>537411</xdr:colOff>
      <xdr:row>25</xdr:row>
      <xdr:rowOff>64169</xdr:rowOff>
    </xdr:to>
    <xdr:graphicFrame macro="">
      <xdr:nvGraphicFramePr>
        <xdr:cNvPr id="7" name="Bar_Chart_Sales_Revenue">
          <a:extLst>
            <a:ext uri="{FF2B5EF4-FFF2-40B4-BE49-F238E27FC236}">
              <a16:creationId xmlns:a16="http://schemas.microsoft.com/office/drawing/2014/main" id="{4D7BDAA7-F9C0-40B9-8441-81DF87770C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376990</xdr:colOff>
      <xdr:row>4</xdr:row>
      <xdr:rowOff>8021</xdr:rowOff>
    </xdr:from>
    <xdr:to>
      <xdr:col>6</xdr:col>
      <xdr:colOff>465221</xdr:colOff>
      <xdr:row>5</xdr:row>
      <xdr:rowOff>136358</xdr:rowOff>
    </xdr:to>
    <xdr:sp macro="" textlink="">
      <xdr:nvSpPr>
        <xdr:cNvPr id="8" name="Rectangle: Rounded Corners 7">
          <a:extLst>
            <a:ext uri="{FF2B5EF4-FFF2-40B4-BE49-F238E27FC236}">
              <a16:creationId xmlns:a16="http://schemas.microsoft.com/office/drawing/2014/main" id="{FBE94952-B021-1160-3C1E-619A6CC5A18A}"/>
            </a:ext>
          </a:extLst>
        </xdr:cNvPr>
        <xdr:cNvSpPr/>
      </xdr:nvSpPr>
      <xdr:spPr>
        <a:xfrm>
          <a:off x="2815390" y="745958"/>
          <a:ext cx="1307431" cy="312821"/>
        </a:xfrm>
        <a:prstGeom prst="roundRect">
          <a:avLst>
            <a:gd name="adj" fmla="val 50000"/>
          </a:avLst>
        </a:prstGeom>
        <a:solidFill>
          <a:schemeClr val="bg1">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4</xdr:col>
      <xdr:colOff>465221</xdr:colOff>
      <xdr:row>4</xdr:row>
      <xdr:rowOff>0</xdr:rowOff>
    </xdr:from>
    <xdr:to>
      <xdr:col>5</xdr:col>
      <xdr:colOff>179621</xdr:colOff>
      <xdr:row>5</xdr:row>
      <xdr:rowOff>139516</xdr:rowOff>
    </xdr:to>
    <xdr:pic>
      <xdr:nvPicPr>
        <xdr:cNvPr id="14" name="Graphic 13" descr="Statistics">
          <a:extLst>
            <a:ext uri="{FF2B5EF4-FFF2-40B4-BE49-F238E27FC236}">
              <a16:creationId xmlns:a16="http://schemas.microsoft.com/office/drawing/2014/main" id="{E6B67669-1DB7-AACB-E1FD-0180C80BF25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903621" y="737937"/>
          <a:ext cx="324000" cy="324000"/>
        </a:xfrm>
        <a:prstGeom prst="rect">
          <a:avLst/>
        </a:prstGeom>
      </xdr:spPr>
    </xdr:pic>
    <xdr:clientData/>
  </xdr:twoCellAnchor>
  <xdr:twoCellAnchor>
    <xdr:from>
      <xdr:col>5</xdr:col>
      <xdr:colOff>144380</xdr:colOff>
      <xdr:row>4</xdr:row>
      <xdr:rowOff>32084</xdr:rowOff>
    </xdr:from>
    <xdr:to>
      <xdr:col>6</xdr:col>
      <xdr:colOff>457201</xdr:colOff>
      <xdr:row>5</xdr:row>
      <xdr:rowOff>112295</xdr:rowOff>
    </xdr:to>
    <xdr:sp macro="" textlink="">
      <xdr:nvSpPr>
        <xdr:cNvPr id="23" name="TextBox 22">
          <a:extLst>
            <a:ext uri="{FF2B5EF4-FFF2-40B4-BE49-F238E27FC236}">
              <a16:creationId xmlns:a16="http://schemas.microsoft.com/office/drawing/2014/main" id="{1E6C5F9B-06C7-9EA5-171D-9A70289DE7FC}"/>
            </a:ext>
          </a:extLst>
        </xdr:cNvPr>
        <xdr:cNvSpPr txBox="1"/>
      </xdr:nvSpPr>
      <xdr:spPr>
        <a:xfrm>
          <a:off x="3192380" y="770021"/>
          <a:ext cx="922421" cy="264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Sales Trend</a:t>
          </a:r>
        </a:p>
      </xdr:txBody>
    </xdr:sp>
    <xdr:clientData/>
  </xdr:twoCellAnchor>
  <xdr:twoCellAnchor>
    <xdr:from>
      <xdr:col>4</xdr:col>
      <xdr:colOff>368969</xdr:colOff>
      <xdr:row>12</xdr:row>
      <xdr:rowOff>91452</xdr:rowOff>
    </xdr:from>
    <xdr:to>
      <xdr:col>7</xdr:col>
      <xdr:colOff>8021</xdr:colOff>
      <xdr:row>14</xdr:row>
      <xdr:rowOff>48127</xdr:rowOff>
    </xdr:to>
    <xdr:grpSp>
      <xdr:nvGrpSpPr>
        <xdr:cNvPr id="28" name="Group 27">
          <a:extLst>
            <a:ext uri="{FF2B5EF4-FFF2-40B4-BE49-F238E27FC236}">
              <a16:creationId xmlns:a16="http://schemas.microsoft.com/office/drawing/2014/main" id="{FE8BC049-2155-79A7-B491-2B2ADB07CE81}"/>
            </a:ext>
          </a:extLst>
        </xdr:cNvPr>
        <xdr:cNvGrpSpPr/>
      </xdr:nvGrpSpPr>
      <xdr:grpSpPr>
        <a:xfrm>
          <a:off x="2807369" y="2326652"/>
          <a:ext cx="1467852" cy="329208"/>
          <a:chOff x="2807369" y="2305263"/>
          <a:chExt cx="1467852" cy="325643"/>
        </a:xfrm>
      </xdr:grpSpPr>
      <xdr:sp macro="" textlink="">
        <xdr:nvSpPr>
          <xdr:cNvPr id="9" name="Rectangle: Rounded Corners 8">
            <a:extLst>
              <a:ext uri="{FF2B5EF4-FFF2-40B4-BE49-F238E27FC236}">
                <a16:creationId xmlns:a16="http://schemas.microsoft.com/office/drawing/2014/main" id="{DDF7ABBC-8767-49F8-BF42-D55CF1BE18C5}"/>
              </a:ext>
            </a:extLst>
          </xdr:cNvPr>
          <xdr:cNvSpPr/>
        </xdr:nvSpPr>
        <xdr:spPr>
          <a:xfrm>
            <a:off x="2807369" y="2318085"/>
            <a:ext cx="1467852" cy="312821"/>
          </a:xfrm>
          <a:prstGeom prst="roundRect">
            <a:avLst>
              <a:gd name="adj" fmla="val 50000"/>
            </a:avLst>
          </a:prstGeom>
          <a:solidFill>
            <a:schemeClr val="bg1">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8" name="Graphic 17" descr="Marker">
            <a:extLst>
              <a:ext uri="{FF2B5EF4-FFF2-40B4-BE49-F238E27FC236}">
                <a16:creationId xmlns:a16="http://schemas.microsoft.com/office/drawing/2014/main" id="{3B9F5E36-77D5-8AE2-7175-AD78F94643F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834654" y="2305263"/>
            <a:ext cx="324000" cy="324000"/>
          </a:xfrm>
          <a:prstGeom prst="rect">
            <a:avLst/>
          </a:prstGeom>
        </xdr:spPr>
      </xdr:pic>
      <xdr:sp macro="" textlink="">
        <xdr:nvSpPr>
          <xdr:cNvPr id="24" name="TextBox 23">
            <a:extLst>
              <a:ext uri="{FF2B5EF4-FFF2-40B4-BE49-F238E27FC236}">
                <a16:creationId xmlns:a16="http://schemas.microsoft.com/office/drawing/2014/main" id="{9AFD9A50-C1FA-4359-B794-F669933B6D63}"/>
              </a:ext>
            </a:extLst>
          </xdr:cNvPr>
          <xdr:cNvSpPr txBox="1"/>
        </xdr:nvSpPr>
        <xdr:spPr>
          <a:xfrm>
            <a:off x="3080085" y="2334126"/>
            <a:ext cx="1171073" cy="264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Sales by</a:t>
            </a:r>
            <a:r>
              <a:rPr lang="en-IN" sz="1200" b="1" baseline="0">
                <a:solidFill>
                  <a:schemeClr val="bg1"/>
                </a:solidFill>
              </a:rPr>
              <a:t> Region</a:t>
            </a:r>
            <a:endParaRPr lang="en-IN" sz="1200" b="1">
              <a:solidFill>
                <a:schemeClr val="bg1"/>
              </a:solidFill>
            </a:endParaRPr>
          </a:p>
        </xdr:txBody>
      </xdr:sp>
    </xdr:grpSp>
    <xdr:clientData/>
  </xdr:twoCellAnchor>
  <xdr:twoCellAnchor>
    <xdr:from>
      <xdr:col>8</xdr:col>
      <xdr:colOff>352927</xdr:colOff>
      <xdr:row>12</xdr:row>
      <xdr:rowOff>101874</xdr:rowOff>
    </xdr:from>
    <xdr:to>
      <xdr:col>11</xdr:col>
      <xdr:colOff>264695</xdr:colOff>
      <xdr:row>14</xdr:row>
      <xdr:rowOff>56906</xdr:rowOff>
    </xdr:to>
    <xdr:grpSp>
      <xdr:nvGrpSpPr>
        <xdr:cNvPr id="29" name="Group 28">
          <a:extLst>
            <a:ext uri="{FF2B5EF4-FFF2-40B4-BE49-F238E27FC236}">
              <a16:creationId xmlns:a16="http://schemas.microsoft.com/office/drawing/2014/main" id="{4830F686-47BB-90A3-49E0-450B0B34195A}"/>
            </a:ext>
          </a:extLst>
        </xdr:cNvPr>
        <xdr:cNvGrpSpPr/>
      </xdr:nvGrpSpPr>
      <xdr:grpSpPr>
        <a:xfrm>
          <a:off x="5229727" y="2337074"/>
          <a:ext cx="1740568" cy="327565"/>
          <a:chOff x="5229727" y="2315685"/>
          <a:chExt cx="1740568" cy="324000"/>
        </a:xfrm>
      </xdr:grpSpPr>
      <xdr:sp macro="" textlink="">
        <xdr:nvSpPr>
          <xdr:cNvPr id="10" name="Rectangle: Rounded Corners 9">
            <a:extLst>
              <a:ext uri="{FF2B5EF4-FFF2-40B4-BE49-F238E27FC236}">
                <a16:creationId xmlns:a16="http://schemas.microsoft.com/office/drawing/2014/main" id="{2640EF29-1349-4F8A-98D1-007D7FBAC4D1}"/>
              </a:ext>
            </a:extLst>
          </xdr:cNvPr>
          <xdr:cNvSpPr/>
        </xdr:nvSpPr>
        <xdr:spPr>
          <a:xfrm>
            <a:off x="5229727" y="2318085"/>
            <a:ext cx="1740568" cy="312821"/>
          </a:xfrm>
          <a:prstGeom prst="roundRect">
            <a:avLst>
              <a:gd name="adj" fmla="val 50000"/>
            </a:avLst>
          </a:prstGeom>
          <a:solidFill>
            <a:schemeClr val="bg1">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6" name="Graphic 15" descr="Users">
            <a:extLst>
              <a:ext uri="{FF2B5EF4-FFF2-40B4-BE49-F238E27FC236}">
                <a16:creationId xmlns:a16="http://schemas.microsoft.com/office/drawing/2014/main" id="{D87B4C13-C0B4-8F51-21F8-7181BDBC4BC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5307537" y="2315685"/>
            <a:ext cx="324000" cy="324000"/>
          </a:xfrm>
          <a:prstGeom prst="rect">
            <a:avLst/>
          </a:prstGeom>
        </xdr:spPr>
      </xdr:pic>
      <xdr:sp macro="" textlink="">
        <xdr:nvSpPr>
          <xdr:cNvPr id="25" name="TextBox 24">
            <a:extLst>
              <a:ext uri="{FF2B5EF4-FFF2-40B4-BE49-F238E27FC236}">
                <a16:creationId xmlns:a16="http://schemas.microsoft.com/office/drawing/2014/main" id="{F9D1207B-6F9D-48D7-B13E-D79407566ACA}"/>
              </a:ext>
            </a:extLst>
          </xdr:cNvPr>
          <xdr:cNvSpPr txBox="1"/>
        </xdr:nvSpPr>
        <xdr:spPr>
          <a:xfrm>
            <a:off x="5598696" y="2342147"/>
            <a:ext cx="1355557" cy="264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Sales by</a:t>
            </a:r>
            <a:r>
              <a:rPr lang="en-IN" sz="1200" b="1" baseline="0">
                <a:solidFill>
                  <a:schemeClr val="bg1"/>
                </a:solidFill>
              </a:rPr>
              <a:t> Employee</a:t>
            </a:r>
            <a:endParaRPr lang="en-IN" sz="1200" b="1">
              <a:solidFill>
                <a:schemeClr val="bg1"/>
              </a:solidFill>
            </a:endParaRPr>
          </a:p>
        </xdr:txBody>
      </xdr:sp>
    </xdr:grpSp>
    <xdr:clientData/>
  </xdr:twoCellAnchor>
  <xdr:twoCellAnchor>
    <xdr:from>
      <xdr:col>12</xdr:col>
      <xdr:colOff>264694</xdr:colOff>
      <xdr:row>12</xdr:row>
      <xdr:rowOff>104274</xdr:rowOff>
    </xdr:from>
    <xdr:to>
      <xdr:col>14</xdr:col>
      <xdr:colOff>232611</xdr:colOff>
      <xdr:row>14</xdr:row>
      <xdr:rowOff>60126</xdr:rowOff>
    </xdr:to>
    <xdr:grpSp>
      <xdr:nvGrpSpPr>
        <xdr:cNvPr id="30" name="Group 29">
          <a:extLst>
            <a:ext uri="{FF2B5EF4-FFF2-40B4-BE49-F238E27FC236}">
              <a16:creationId xmlns:a16="http://schemas.microsoft.com/office/drawing/2014/main" id="{B9715549-78C7-04E6-AA4D-89678CFF692C}"/>
            </a:ext>
          </a:extLst>
        </xdr:cNvPr>
        <xdr:cNvGrpSpPr/>
      </xdr:nvGrpSpPr>
      <xdr:grpSpPr>
        <a:xfrm>
          <a:off x="7579894" y="2339474"/>
          <a:ext cx="1187117" cy="328385"/>
          <a:chOff x="7579894" y="2318085"/>
          <a:chExt cx="1187117" cy="324820"/>
        </a:xfrm>
      </xdr:grpSpPr>
      <xdr:sp macro="" textlink="">
        <xdr:nvSpPr>
          <xdr:cNvPr id="11" name="Rectangle: Rounded Corners 10">
            <a:extLst>
              <a:ext uri="{FF2B5EF4-FFF2-40B4-BE49-F238E27FC236}">
                <a16:creationId xmlns:a16="http://schemas.microsoft.com/office/drawing/2014/main" id="{B92F123D-D5FD-45EA-B026-F4077D7909CF}"/>
              </a:ext>
            </a:extLst>
          </xdr:cNvPr>
          <xdr:cNvSpPr/>
        </xdr:nvSpPr>
        <xdr:spPr>
          <a:xfrm>
            <a:off x="7579894" y="2318085"/>
            <a:ext cx="1187117" cy="312821"/>
          </a:xfrm>
          <a:prstGeom prst="roundRect">
            <a:avLst>
              <a:gd name="adj" fmla="val 50000"/>
            </a:avLst>
          </a:prstGeom>
          <a:solidFill>
            <a:schemeClr val="bg1">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0" name="Graphic 19" descr="Label">
            <a:extLst>
              <a:ext uri="{FF2B5EF4-FFF2-40B4-BE49-F238E27FC236}">
                <a16:creationId xmlns:a16="http://schemas.microsoft.com/office/drawing/2014/main" id="{A160E735-FBB5-A598-BE34-DA5FFDA5D3A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7628842" y="2318905"/>
            <a:ext cx="324000" cy="324000"/>
          </a:xfrm>
          <a:prstGeom prst="rect">
            <a:avLst/>
          </a:prstGeom>
        </xdr:spPr>
      </xdr:pic>
      <xdr:sp macro="" textlink="">
        <xdr:nvSpPr>
          <xdr:cNvPr id="26" name="TextBox 25">
            <a:extLst>
              <a:ext uri="{FF2B5EF4-FFF2-40B4-BE49-F238E27FC236}">
                <a16:creationId xmlns:a16="http://schemas.microsoft.com/office/drawing/2014/main" id="{2055B49E-DB83-4405-B21F-7C4427558A3B}"/>
              </a:ext>
            </a:extLst>
          </xdr:cNvPr>
          <xdr:cNvSpPr txBox="1"/>
        </xdr:nvSpPr>
        <xdr:spPr>
          <a:xfrm>
            <a:off x="7884696" y="2334126"/>
            <a:ext cx="874293" cy="264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Item Share</a:t>
            </a:r>
          </a:p>
        </xdr:txBody>
      </xdr:sp>
    </xdr:grpSp>
    <xdr:clientData/>
  </xdr:twoCellAnchor>
  <xdr:twoCellAnchor>
    <xdr:from>
      <xdr:col>16</xdr:col>
      <xdr:colOff>120316</xdr:colOff>
      <xdr:row>4</xdr:row>
      <xdr:rowOff>6441</xdr:rowOff>
    </xdr:from>
    <xdr:to>
      <xdr:col>18</xdr:col>
      <xdr:colOff>417095</xdr:colOff>
      <xdr:row>5</xdr:row>
      <xdr:rowOff>145957</xdr:rowOff>
    </xdr:to>
    <xdr:grpSp>
      <xdr:nvGrpSpPr>
        <xdr:cNvPr id="31" name="Group 30">
          <a:extLst>
            <a:ext uri="{FF2B5EF4-FFF2-40B4-BE49-F238E27FC236}">
              <a16:creationId xmlns:a16="http://schemas.microsoft.com/office/drawing/2014/main" id="{C394F92D-BE62-D8F8-C0A8-BC76068EA68E}"/>
            </a:ext>
          </a:extLst>
        </xdr:cNvPr>
        <xdr:cNvGrpSpPr/>
      </xdr:nvGrpSpPr>
      <xdr:grpSpPr>
        <a:xfrm>
          <a:off x="9873916" y="751508"/>
          <a:ext cx="1515979" cy="325782"/>
          <a:chOff x="9873916" y="744378"/>
          <a:chExt cx="1780673" cy="324000"/>
        </a:xfrm>
      </xdr:grpSpPr>
      <xdr:sp macro="" textlink="">
        <xdr:nvSpPr>
          <xdr:cNvPr id="12" name="Rectangle: Rounded Corners 11">
            <a:extLst>
              <a:ext uri="{FF2B5EF4-FFF2-40B4-BE49-F238E27FC236}">
                <a16:creationId xmlns:a16="http://schemas.microsoft.com/office/drawing/2014/main" id="{012C05E9-8F35-4652-8EDD-C956D87E0793}"/>
              </a:ext>
            </a:extLst>
          </xdr:cNvPr>
          <xdr:cNvSpPr/>
        </xdr:nvSpPr>
        <xdr:spPr>
          <a:xfrm>
            <a:off x="9873916" y="745959"/>
            <a:ext cx="1780673" cy="312821"/>
          </a:xfrm>
          <a:prstGeom prst="roundRect">
            <a:avLst>
              <a:gd name="adj" fmla="val 50000"/>
            </a:avLst>
          </a:prstGeom>
          <a:solidFill>
            <a:schemeClr val="bg1">
              <a:alpha val="3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2" name="Graphic 21" descr="Handshake">
            <a:extLst>
              <a:ext uri="{FF2B5EF4-FFF2-40B4-BE49-F238E27FC236}">
                <a16:creationId xmlns:a16="http://schemas.microsoft.com/office/drawing/2014/main" id="{1B49E03E-5932-7BBF-A5E8-980D2C81552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968589" y="744378"/>
            <a:ext cx="324000" cy="324000"/>
          </a:xfrm>
          <a:prstGeom prst="rect">
            <a:avLst/>
          </a:prstGeom>
        </xdr:spPr>
      </xdr:pic>
      <xdr:sp macro="" textlink="">
        <xdr:nvSpPr>
          <xdr:cNvPr id="27" name="TextBox 26">
            <a:extLst>
              <a:ext uri="{FF2B5EF4-FFF2-40B4-BE49-F238E27FC236}">
                <a16:creationId xmlns:a16="http://schemas.microsoft.com/office/drawing/2014/main" id="{68860890-D33B-4911-B8EC-DE8BECE759D6}"/>
              </a:ext>
            </a:extLst>
          </xdr:cNvPr>
          <xdr:cNvSpPr txBox="1"/>
        </xdr:nvSpPr>
        <xdr:spPr>
          <a:xfrm>
            <a:off x="10242885" y="762000"/>
            <a:ext cx="1355808" cy="264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solidFill>
                  <a:schemeClr val="bg1"/>
                </a:solidFill>
              </a:rPr>
              <a:t>Customer Sales</a:t>
            </a:r>
          </a:p>
        </xdr:txBody>
      </xdr:sp>
    </xdr:grpSp>
    <xdr:clientData/>
  </xdr:twoCellAnchor>
  <xdr:twoCellAnchor>
    <xdr:from>
      <xdr:col>4</xdr:col>
      <xdr:colOff>312822</xdr:colOff>
      <xdr:row>25</xdr:row>
      <xdr:rowOff>152400</xdr:rowOff>
    </xdr:from>
    <xdr:to>
      <xdr:col>19</xdr:col>
      <xdr:colOff>569496</xdr:colOff>
      <xdr:row>29</xdr:row>
      <xdr:rowOff>152400</xdr:rowOff>
    </xdr:to>
    <xdr:sp macro="" textlink="">
      <xdr:nvSpPr>
        <xdr:cNvPr id="32" name="Rectangle 31">
          <a:extLst>
            <a:ext uri="{FF2B5EF4-FFF2-40B4-BE49-F238E27FC236}">
              <a16:creationId xmlns:a16="http://schemas.microsoft.com/office/drawing/2014/main" id="{99B9A046-61AE-0002-06BA-78A0E3F58318}"/>
            </a:ext>
          </a:extLst>
        </xdr:cNvPr>
        <xdr:cNvSpPr/>
      </xdr:nvSpPr>
      <xdr:spPr>
        <a:xfrm>
          <a:off x="2751222" y="4764505"/>
          <a:ext cx="9400674" cy="737937"/>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12</xdr:col>
      <xdr:colOff>472439</xdr:colOff>
      <xdr:row>25</xdr:row>
      <xdr:rowOff>173256</xdr:rowOff>
    </xdr:from>
    <xdr:to>
      <xdr:col>19</xdr:col>
      <xdr:colOff>545431</xdr:colOff>
      <xdr:row>28</xdr:row>
      <xdr:rowOff>106785</xdr:rowOff>
    </xdr:to>
    <mc:AlternateContent xmlns:mc="http://schemas.openxmlformats.org/markup-compatibility/2006" xmlns:a14="http://schemas.microsoft.com/office/drawing/2010/main">
      <mc:Choice Requires="a14">
        <xdr:graphicFrame macro="">
          <xdr:nvGraphicFramePr>
            <xdr:cNvPr id="37" name="Sales Person">
              <a:extLst>
                <a:ext uri="{FF2B5EF4-FFF2-40B4-BE49-F238E27FC236}">
                  <a16:creationId xmlns:a16="http://schemas.microsoft.com/office/drawing/2014/main" id="{588B48E5-D57C-2300-D6E0-3EC8DEFAA745}"/>
                </a:ext>
              </a:extLst>
            </xdr:cNvPr>
            <xdr:cNvGraphicFramePr/>
          </xdr:nvGraphicFramePr>
          <xdr:xfrm>
            <a:off x="0" y="0"/>
            <a:ext cx="0" cy="0"/>
          </xdr:xfrm>
          <a:graphic>
            <a:graphicData uri="http://schemas.microsoft.com/office/drawing/2010/slicer">
              <sle:slicer xmlns:sle="http://schemas.microsoft.com/office/drawing/2010/slicer" name="Sales Person"/>
            </a:graphicData>
          </a:graphic>
        </xdr:graphicFrame>
      </mc:Choice>
      <mc:Fallback xmlns="">
        <xdr:sp macro="" textlink="">
          <xdr:nvSpPr>
            <xdr:cNvPr id="0" name=""/>
            <xdr:cNvSpPr>
              <a:spLocks noTextEdit="1"/>
            </xdr:cNvSpPr>
          </xdr:nvSpPr>
          <xdr:spPr>
            <a:xfrm>
              <a:off x="7787639" y="4829923"/>
              <a:ext cx="4340192" cy="4923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310815</xdr:colOff>
      <xdr:row>25</xdr:row>
      <xdr:rowOff>180074</xdr:rowOff>
    </xdr:from>
    <xdr:to>
      <xdr:col>12</xdr:col>
      <xdr:colOff>385011</xdr:colOff>
      <xdr:row>28</xdr:row>
      <xdr:rowOff>120317</xdr:rowOff>
    </xdr:to>
    <mc:AlternateContent xmlns:mc="http://schemas.openxmlformats.org/markup-compatibility/2006" xmlns:a14="http://schemas.microsoft.com/office/drawing/2010/main">
      <mc:Choice Requires="a14">
        <xdr:graphicFrame macro="">
          <xdr:nvGraphicFramePr>
            <xdr:cNvPr id="38" name="Region">
              <a:extLst>
                <a:ext uri="{FF2B5EF4-FFF2-40B4-BE49-F238E27FC236}">
                  <a16:creationId xmlns:a16="http://schemas.microsoft.com/office/drawing/2014/main" id="{2CE87AD1-7DD3-A086-71E5-EBA8149C5D6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797215" y="4836741"/>
              <a:ext cx="1902996" cy="4990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40105</xdr:colOff>
      <xdr:row>25</xdr:row>
      <xdr:rowOff>170849</xdr:rowOff>
    </xdr:from>
    <xdr:to>
      <xdr:col>9</xdr:col>
      <xdr:colOff>232611</xdr:colOff>
      <xdr:row>28</xdr:row>
      <xdr:rowOff>117807</xdr:rowOff>
    </xdr:to>
    <mc:AlternateContent xmlns:mc="http://schemas.openxmlformats.org/markup-compatibility/2006" xmlns:a14="http://schemas.microsoft.com/office/drawing/2010/main">
      <mc:Choice Requires="a14">
        <xdr:graphicFrame macro="">
          <xdr:nvGraphicFramePr>
            <xdr:cNvPr id="39" name="Item">
              <a:extLst>
                <a:ext uri="{FF2B5EF4-FFF2-40B4-BE49-F238E27FC236}">
                  <a16:creationId xmlns:a16="http://schemas.microsoft.com/office/drawing/2014/main" id="{46F53D79-2098-4642-9905-0084E7508661}"/>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mlns="">
        <xdr:sp macro="" textlink="">
          <xdr:nvSpPr>
            <xdr:cNvPr id="0" name=""/>
            <xdr:cNvSpPr>
              <a:spLocks noTextEdit="1"/>
            </xdr:cNvSpPr>
          </xdr:nvSpPr>
          <xdr:spPr>
            <a:xfrm>
              <a:off x="3697705" y="4827516"/>
              <a:ext cx="2021306" cy="5057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372578</xdr:colOff>
      <xdr:row>25</xdr:row>
      <xdr:rowOff>161626</xdr:rowOff>
    </xdr:from>
    <xdr:to>
      <xdr:col>5</xdr:col>
      <xdr:colOff>577516</xdr:colOff>
      <xdr:row>28</xdr:row>
      <xdr:rowOff>112295</xdr:rowOff>
    </xdr:to>
    <mc:AlternateContent xmlns:mc="http://schemas.openxmlformats.org/markup-compatibility/2006" xmlns:a14="http://schemas.microsoft.com/office/drawing/2010/main">
      <mc:Choice Requires="a14">
        <xdr:graphicFrame macro="">
          <xdr:nvGraphicFramePr>
            <xdr:cNvPr id="40" name="Years (Date)">
              <a:extLst>
                <a:ext uri="{FF2B5EF4-FFF2-40B4-BE49-F238E27FC236}">
                  <a16:creationId xmlns:a16="http://schemas.microsoft.com/office/drawing/2014/main" id="{484514EA-6AD0-8BAF-0C5E-0590337CBDBF}"/>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2810978" y="4818293"/>
              <a:ext cx="814538" cy="5094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320842</xdr:colOff>
      <xdr:row>0</xdr:row>
      <xdr:rowOff>56147</xdr:rowOff>
    </xdr:from>
    <xdr:to>
      <xdr:col>19</xdr:col>
      <xdr:colOff>569496</xdr:colOff>
      <xdr:row>3</xdr:row>
      <xdr:rowOff>64168</xdr:rowOff>
    </xdr:to>
    <xdr:sp macro="" textlink="">
      <xdr:nvSpPr>
        <xdr:cNvPr id="41" name="Rectangle 40">
          <a:extLst>
            <a:ext uri="{FF2B5EF4-FFF2-40B4-BE49-F238E27FC236}">
              <a16:creationId xmlns:a16="http://schemas.microsoft.com/office/drawing/2014/main" id="{9C2EF83D-C465-E3FD-5A38-F375B10CA6F1}"/>
            </a:ext>
          </a:extLst>
        </xdr:cNvPr>
        <xdr:cNvSpPr/>
      </xdr:nvSpPr>
      <xdr:spPr>
        <a:xfrm>
          <a:off x="2759242" y="56147"/>
          <a:ext cx="9392654" cy="561474"/>
        </a:xfrm>
        <a:prstGeom prst="rect">
          <a:avLst/>
        </a:prstGeom>
        <a:gradFill>
          <a:gsLst>
            <a:gs pos="36000">
              <a:srgbClr val="002060">
                <a:alpha val="30000"/>
              </a:srgbClr>
            </a:gs>
            <a:gs pos="100000">
              <a:srgbClr val="00B050">
                <a:alpha val="30000"/>
              </a:srgb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441158</xdr:colOff>
      <xdr:row>0</xdr:row>
      <xdr:rowOff>88232</xdr:rowOff>
    </xdr:from>
    <xdr:to>
      <xdr:col>18</xdr:col>
      <xdr:colOff>433137</xdr:colOff>
      <xdr:row>3</xdr:row>
      <xdr:rowOff>8021</xdr:rowOff>
    </xdr:to>
    <xdr:sp macro="" textlink="">
      <xdr:nvSpPr>
        <xdr:cNvPr id="42" name="TextBox 41">
          <a:extLst>
            <a:ext uri="{FF2B5EF4-FFF2-40B4-BE49-F238E27FC236}">
              <a16:creationId xmlns:a16="http://schemas.microsoft.com/office/drawing/2014/main" id="{836B9148-67E0-4845-182B-20BA5BDD7197}"/>
            </a:ext>
          </a:extLst>
        </xdr:cNvPr>
        <xdr:cNvSpPr txBox="1"/>
      </xdr:nvSpPr>
      <xdr:spPr>
        <a:xfrm>
          <a:off x="3489158" y="88232"/>
          <a:ext cx="7916779" cy="473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chemeClr val="bg1"/>
              </a:solidFill>
            </a:rPr>
            <a:t>PERFORMANCE DASHBOARD</a:t>
          </a:r>
        </a:p>
      </xdr:txBody>
    </xdr:sp>
    <xdr:clientData/>
  </xdr:twoCellAnchor>
  <xdr:twoCellAnchor>
    <xdr:from>
      <xdr:col>4</xdr:col>
      <xdr:colOff>497305</xdr:colOff>
      <xdr:row>5</xdr:row>
      <xdr:rowOff>136358</xdr:rowOff>
    </xdr:from>
    <xdr:to>
      <xdr:col>15</xdr:col>
      <xdr:colOff>585657</xdr:colOff>
      <xdr:row>11</xdr:row>
      <xdr:rowOff>167053</xdr:rowOff>
    </xdr:to>
    <xdr:graphicFrame macro="">
      <xdr:nvGraphicFramePr>
        <xdr:cNvPr id="44" name="Line_Chart_Sales_Units" hidden="1">
          <a:extLst>
            <a:ext uri="{FF2B5EF4-FFF2-40B4-BE49-F238E27FC236}">
              <a16:creationId xmlns:a16="http://schemas.microsoft.com/office/drawing/2014/main" id="{E7460E86-195A-441B-A983-2260063B08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xdr:col>
      <xdr:colOff>352922</xdr:colOff>
      <xdr:row>14</xdr:row>
      <xdr:rowOff>104277</xdr:rowOff>
    </xdr:from>
    <xdr:to>
      <xdr:col>8</xdr:col>
      <xdr:colOff>193322</xdr:colOff>
      <xdr:row>25</xdr:row>
      <xdr:rowOff>33351</xdr:rowOff>
    </xdr:to>
    <mc:AlternateContent xmlns:mc="http://schemas.openxmlformats.org/markup-compatibility/2006">
      <mc:Choice xmlns:cx4="http://schemas.microsoft.com/office/drawing/2016/5/10/chartex" Requires="cx4">
        <xdr:graphicFrame macro="">
          <xdr:nvGraphicFramePr>
            <xdr:cNvPr id="45" name="Map_Chart_Sales_Units" hidden="1">
              <a:extLst>
                <a:ext uri="{FF2B5EF4-FFF2-40B4-BE49-F238E27FC236}">
                  <a16:creationId xmlns:a16="http://schemas.microsoft.com/office/drawing/2014/main" id="{018472FC-30C2-4483-911C-4E93C80A52C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2791322" y="2664597"/>
              <a:ext cx="2278800" cy="194075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336884</xdr:colOff>
      <xdr:row>14</xdr:row>
      <xdr:rowOff>88237</xdr:rowOff>
    </xdr:from>
    <xdr:to>
      <xdr:col>12</xdr:col>
      <xdr:colOff>105284</xdr:colOff>
      <xdr:row>25</xdr:row>
      <xdr:rowOff>49711</xdr:rowOff>
    </xdr:to>
    <xdr:graphicFrame macro="">
      <xdr:nvGraphicFramePr>
        <xdr:cNvPr id="46" name="Column_Chart_Sales_Units" hidden="1">
          <a:extLst>
            <a:ext uri="{FF2B5EF4-FFF2-40B4-BE49-F238E27FC236}">
              <a16:creationId xmlns:a16="http://schemas.microsoft.com/office/drawing/2014/main" id="{39397B46-C33C-44DF-831F-557AA551D3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232610</xdr:colOff>
      <xdr:row>14</xdr:row>
      <xdr:rowOff>40110</xdr:rowOff>
    </xdr:from>
    <xdr:to>
      <xdr:col>15</xdr:col>
      <xdr:colOff>571010</xdr:colOff>
      <xdr:row>25</xdr:row>
      <xdr:rowOff>87984</xdr:rowOff>
    </xdr:to>
    <xdr:graphicFrame macro="">
      <xdr:nvGraphicFramePr>
        <xdr:cNvPr id="47" name="Pie_Chart_Sales_Units" hidden="1">
          <a:extLst>
            <a:ext uri="{FF2B5EF4-FFF2-40B4-BE49-F238E27FC236}">
              <a16:creationId xmlns:a16="http://schemas.microsoft.com/office/drawing/2014/main" id="{7F6708E8-899D-48DA-BB3D-9CEBA540E9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16</xdr:col>
      <xdr:colOff>96252</xdr:colOff>
      <xdr:row>5</xdr:row>
      <xdr:rowOff>120321</xdr:rowOff>
    </xdr:from>
    <xdr:to>
      <xdr:col>19</xdr:col>
      <xdr:colOff>535452</xdr:colOff>
      <xdr:row>25</xdr:row>
      <xdr:rowOff>73837</xdr:rowOff>
    </xdr:to>
    <xdr:graphicFrame macro="">
      <xdr:nvGraphicFramePr>
        <xdr:cNvPr id="48" name="Bar_Chart_Sales_Units" hidden="1">
          <a:extLst>
            <a:ext uri="{FF2B5EF4-FFF2-40B4-BE49-F238E27FC236}">
              <a16:creationId xmlns:a16="http://schemas.microsoft.com/office/drawing/2014/main" id="{FDF0F9C8-A259-44D7-973C-4AB284231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40105</xdr:colOff>
      <xdr:row>4</xdr:row>
      <xdr:rowOff>8019</xdr:rowOff>
    </xdr:from>
    <xdr:to>
      <xdr:col>10</xdr:col>
      <xdr:colOff>168442</xdr:colOff>
      <xdr:row>5</xdr:row>
      <xdr:rowOff>24061</xdr:rowOff>
    </xdr:to>
    <xdr:sp macro="[0]!Sheet2.Display_Tab_Sales_Revenue" textlink="">
      <xdr:nvSpPr>
        <xdr:cNvPr id="49" name="Tab_Button_Sales_Revenue_Active">
          <a:extLst>
            <a:ext uri="{FF2B5EF4-FFF2-40B4-BE49-F238E27FC236}">
              <a16:creationId xmlns:a16="http://schemas.microsoft.com/office/drawing/2014/main" id="{92A333C0-7751-5852-B946-C98250B3C87C}"/>
            </a:ext>
          </a:extLst>
        </xdr:cNvPr>
        <xdr:cNvSpPr/>
      </xdr:nvSpPr>
      <xdr:spPr>
        <a:xfrm>
          <a:off x="5526505" y="745956"/>
          <a:ext cx="737937" cy="200526"/>
        </a:xfrm>
        <a:prstGeom prst="roundRect">
          <a:avLst>
            <a:gd name="adj" fmla="val 50000"/>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tx1"/>
              </a:solidFill>
            </a:rPr>
            <a:t>Revenue</a:t>
          </a:r>
        </a:p>
      </xdr:txBody>
    </xdr:sp>
    <xdr:clientData/>
  </xdr:twoCellAnchor>
  <xdr:twoCellAnchor>
    <xdr:from>
      <xdr:col>10</xdr:col>
      <xdr:colOff>425110</xdr:colOff>
      <xdr:row>4</xdr:row>
      <xdr:rowOff>8020</xdr:rowOff>
    </xdr:from>
    <xdr:to>
      <xdr:col>11</xdr:col>
      <xdr:colOff>553447</xdr:colOff>
      <xdr:row>5</xdr:row>
      <xdr:rowOff>24062</xdr:rowOff>
    </xdr:to>
    <xdr:sp macro="[0]!Sheet2.Display_Tab_Sales_Units" textlink="">
      <xdr:nvSpPr>
        <xdr:cNvPr id="50" name="Tab_Button_Sales_Units_Inactive">
          <a:extLst>
            <a:ext uri="{FF2B5EF4-FFF2-40B4-BE49-F238E27FC236}">
              <a16:creationId xmlns:a16="http://schemas.microsoft.com/office/drawing/2014/main" id="{DED74C8F-D1DE-4A97-B5FE-CCF61252C4EA}"/>
            </a:ext>
          </a:extLst>
        </xdr:cNvPr>
        <xdr:cNvSpPr/>
      </xdr:nvSpPr>
      <xdr:spPr>
        <a:xfrm>
          <a:off x="6521110" y="745957"/>
          <a:ext cx="737937" cy="200526"/>
        </a:xfrm>
        <a:prstGeom prst="roundRect">
          <a:avLst>
            <a:gd name="adj" fmla="val 5000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bg1"/>
              </a:solidFill>
            </a:rPr>
            <a:t>Units</a:t>
          </a:r>
        </a:p>
      </xdr:txBody>
    </xdr:sp>
    <xdr:clientData/>
  </xdr:twoCellAnchor>
  <xdr:twoCellAnchor>
    <xdr:from>
      <xdr:col>9</xdr:col>
      <xdr:colOff>40100</xdr:colOff>
      <xdr:row>4</xdr:row>
      <xdr:rowOff>8018</xdr:rowOff>
    </xdr:from>
    <xdr:to>
      <xdr:col>10</xdr:col>
      <xdr:colOff>168437</xdr:colOff>
      <xdr:row>5</xdr:row>
      <xdr:rowOff>24060</xdr:rowOff>
    </xdr:to>
    <xdr:sp macro="[0]!Sheet2.Display_Tab_Sales_Revenue" textlink="">
      <xdr:nvSpPr>
        <xdr:cNvPr id="51" name="Tab_Button_Sales_Revenue_Inactive" hidden="1">
          <a:extLst>
            <a:ext uri="{FF2B5EF4-FFF2-40B4-BE49-F238E27FC236}">
              <a16:creationId xmlns:a16="http://schemas.microsoft.com/office/drawing/2014/main" id="{2445F608-029A-477A-BB92-3398FCCCE16A}"/>
            </a:ext>
          </a:extLst>
        </xdr:cNvPr>
        <xdr:cNvSpPr/>
      </xdr:nvSpPr>
      <xdr:spPr>
        <a:xfrm>
          <a:off x="5526500" y="745955"/>
          <a:ext cx="737937" cy="200526"/>
        </a:xfrm>
        <a:prstGeom prst="roundRect">
          <a:avLst>
            <a:gd name="adj" fmla="val 5000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bg1"/>
              </a:solidFill>
            </a:rPr>
            <a:t>Revenue</a:t>
          </a:r>
        </a:p>
      </xdr:txBody>
    </xdr:sp>
    <xdr:clientData/>
  </xdr:twoCellAnchor>
  <xdr:twoCellAnchor>
    <xdr:from>
      <xdr:col>10</xdr:col>
      <xdr:colOff>425116</xdr:colOff>
      <xdr:row>4</xdr:row>
      <xdr:rowOff>8017</xdr:rowOff>
    </xdr:from>
    <xdr:to>
      <xdr:col>11</xdr:col>
      <xdr:colOff>553453</xdr:colOff>
      <xdr:row>5</xdr:row>
      <xdr:rowOff>24059</xdr:rowOff>
    </xdr:to>
    <xdr:sp macro="[0]!Sheet2.Display_Tab_Sales_Units" textlink="">
      <xdr:nvSpPr>
        <xdr:cNvPr id="52" name="Tab_Button_Sales_Units_Active" hidden="1">
          <a:extLst>
            <a:ext uri="{FF2B5EF4-FFF2-40B4-BE49-F238E27FC236}">
              <a16:creationId xmlns:a16="http://schemas.microsoft.com/office/drawing/2014/main" id="{3EAEA1DB-429E-4B1D-8EF2-1E209AFA6D7D}"/>
            </a:ext>
          </a:extLst>
        </xdr:cNvPr>
        <xdr:cNvSpPr/>
      </xdr:nvSpPr>
      <xdr:spPr>
        <a:xfrm>
          <a:off x="6521116" y="745954"/>
          <a:ext cx="737937" cy="200526"/>
        </a:xfrm>
        <a:prstGeom prst="roundRect">
          <a:avLst>
            <a:gd name="adj" fmla="val 50000"/>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b="1">
              <a:solidFill>
                <a:schemeClr val="tx1"/>
              </a:solidFill>
            </a:rPr>
            <a:t>Units</a:t>
          </a:r>
        </a:p>
      </xdr:txBody>
    </xdr:sp>
    <xdr:clientData/>
  </xdr:twoCellAnchor>
  <xdr:twoCellAnchor>
    <xdr:from>
      <xdr:col>6</xdr:col>
      <xdr:colOff>0</xdr:colOff>
      <xdr:row>26</xdr:row>
      <xdr:rowOff>64169</xdr:rowOff>
    </xdr:from>
    <xdr:to>
      <xdr:col>6</xdr:col>
      <xdr:colOff>0</xdr:colOff>
      <xdr:row>28</xdr:row>
      <xdr:rowOff>8021</xdr:rowOff>
    </xdr:to>
    <xdr:cxnSp macro="">
      <xdr:nvCxnSpPr>
        <xdr:cNvPr id="15" name="Straight Connector 14">
          <a:extLst>
            <a:ext uri="{FF2B5EF4-FFF2-40B4-BE49-F238E27FC236}">
              <a16:creationId xmlns:a16="http://schemas.microsoft.com/office/drawing/2014/main" id="{FC62BEC4-E0C3-3C92-7F17-D824A6308BB4}"/>
            </a:ext>
          </a:extLst>
        </xdr:cNvPr>
        <xdr:cNvCxnSpPr/>
      </xdr:nvCxnSpPr>
      <xdr:spPr>
        <a:xfrm>
          <a:off x="3657600" y="4860758"/>
          <a:ext cx="0" cy="312821"/>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272710</xdr:colOff>
      <xdr:row>26</xdr:row>
      <xdr:rowOff>80212</xdr:rowOff>
    </xdr:from>
    <xdr:to>
      <xdr:col>9</xdr:col>
      <xdr:colOff>272710</xdr:colOff>
      <xdr:row>28</xdr:row>
      <xdr:rowOff>24064</xdr:rowOff>
    </xdr:to>
    <xdr:cxnSp macro="">
      <xdr:nvCxnSpPr>
        <xdr:cNvPr id="17" name="Straight Connector 16">
          <a:extLst>
            <a:ext uri="{FF2B5EF4-FFF2-40B4-BE49-F238E27FC236}">
              <a16:creationId xmlns:a16="http://schemas.microsoft.com/office/drawing/2014/main" id="{406F0DCE-B2B9-4A60-99AA-9E97A4583040}"/>
            </a:ext>
          </a:extLst>
        </xdr:cNvPr>
        <xdr:cNvCxnSpPr/>
      </xdr:nvCxnSpPr>
      <xdr:spPr>
        <a:xfrm>
          <a:off x="5759110" y="4876801"/>
          <a:ext cx="0" cy="312821"/>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425105</xdr:colOff>
      <xdr:row>26</xdr:row>
      <xdr:rowOff>96255</xdr:rowOff>
    </xdr:from>
    <xdr:to>
      <xdr:col>12</xdr:col>
      <xdr:colOff>425105</xdr:colOff>
      <xdr:row>28</xdr:row>
      <xdr:rowOff>40107</xdr:rowOff>
    </xdr:to>
    <xdr:cxnSp macro="">
      <xdr:nvCxnSpPr>
        <xdr:cNvPr id="19" name="Straight Connector 18">
          <a:extLst>
            <a:ext uri="{FF2B5EF4-FFF2-40B4-BE49-F238E27FC236}">
              <a16:creationId xmlns:a16="http://schemas.microsoft.com/office/drawing/2014/main" id="{7078C7C5-2D60-E604-3609-7563C511B694}"/>
            </a:ext>
          </a:extLst>
        </xdr:cNvPr>
        <xdr:cNvCxnSpPr/>
      </xdr:nvCxnSpPr>
      <xdr:spPr>
        <a:xfrm>
          <a:off x="7740305" y="4892844"/>
          <a:ext cx="0" cy="312821"/>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465221</xdr:colOff>
      <xdr:row>28</xdr:row>
      <xdr:rowOff>80210</xdr:rowOff>
    </xdr:from>
    <xdr:to>
      <xdr:col>5</xdr:col>
      <xdr:colOff>569495</xdr:colOff>
      <xdr:row>29</xdr:row>
      <xdr:rowOff>80211</xdr:rowOff>
    </xdr:to>
    <xdr:sp macro="" textlink="">
      <xdr:nvSpPr>
        <xdr:cNvPr id="21" name="TextBox 20">
          <a:extLst>
            <a:ext uri="{FF2B5EF4-FFF2-40B4-BE49-F238E27FC236}">
              <a16:creationId xmlns:a16="http://schemas.microsoft.com/office/drawing/2014/main" id="{30EBAE5F-C9A5-3641-BC0E-7959ABA10C22}"/>
            </a:ext>
          </a:extLst>
        </xdr:cNvPr>
        <xdr:cNvSpPr txBox="1"/>
      </xdr:nvSpPr>
      <xdr:spPr>
        <a:xfrm>
          <a:off x="2903621" y="5245768"/>
          <a:ext cx="713874" cy="18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solidFill>
            </a:rPr>
            <a:t>YEAR</a:t>
          </a:r>
        </a:p>
      </xdr:txBody>
    </xdr:sp>
    <xdr:clientData/>
  </xdr:twoCellAnchor>
  <xdr:twoCellAnchor>
    <xdr:from>
      <xdr:col>6</xdr:col>
      <xdr:colOff>561473</xdr:colOff>
      <xdr:row>28</xdr:row>
      <xdr:rowOff>80211</xdr:rowOff>
    </xdr:from>
    <xdr:to>
      <xdr:col>8</xdr:col>
      <xdr:colOff>184476</xdr:colOff>
      <xdr:row>29</xdr:row>
      <xdr:rowOff>96253</xdr:rowOff>
    </xdr:to>
    <xdr:sp macro="" textlink="">
      <xdr:nvSpPr>
        <xdr:cNvPr id="33" name="TextBox 32">
          <a:extLst>
            <a:ext uri="{FF2B5EF4-FFF2-40B4-BE49-F238E27FC236}">
              <a16:creationId xmlns:a16="http://schemas.microsoft.com/office/drawing/2014/main" id="{06D908AA-4E8C-FBB8-C351-A504B8EF2C4A}"/>
            </a:ext>
          </a:extLst>
        </xdr:cNvPr>
        <xdr:cNvSpPr txBox="1"/>
      </xdr:nvSpPr>
      <xdr:spPr>
        <a:xfrm>
          <a:off x="4219073" y="5245769"/>
          <a:ext cx="842203" cy="200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solidFill>
            </a:rPr>
            <a:t>ITEM</a:t>
          </a:r>
        </a:p>
      </xdr:txBody>
    </xdr:sp>
    <xdr:clientData/>
  </xdr:twoCellAnchor>
  <xdr:twoCellAnchor>
    <xdr:from>
      <xdr:col>10</xdr:col>
      <xdr:colOff>240625</xdr:colOff>
      <xdr:row>28</xdr:row>
      <xdr:rowOff>80212</xdr:rowOff>
    </xdr:from>
    <xdr:to>
      <xdr:col>11</xdr:col>
      <xdr:colOff>473228</xdr:colOff>
      <xdr:row>29</xdr:row>
      <xdr:rowOff>96254</xdr:rowOff>
    </xdr:to>
    <xdr:sp macro="" textlink="">
      <xdr:nvSpPr>
        <xdr:cNvPr id="34" name="TextBox 33">
          <a:extLst>
            <a:ext uri="{FF2B5EF4-FFF2-40B4-BE49-F238E27FC236}">
              <a16:creationId xmlns:a16="http://schemas.microsoft.com/office/drawing/2014/main" id="{210CB092-FE21-E6BE-7DBB-A732130F6E24}"/>
            </a:ext>
          </a:extLst>
        </xdr:cNvPr>
        <xdr:cNvSpPr txBox="1"/>
      </xdr:nvSpPr>
      <xdr:spPr>
        <a:xfrm>
          <a:off x="6336625" y="5245770"/>
          <a:ext cx="842203" cy="200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solidFill>
            </a:rPr>
            <a:t>REGION</a:t>
          </a:r>
        </a:p>
      </xdr:txBody>
    </xdr:sp>
    <xdr:clientData/>
  </xdr:twoCellAnchor>
  <xdr:twoCellAnchor>
    <xdr:from>
      <xdr:col>15</xdr:col>
      <xdr:colOff>128336</xdr:colOff>
      <xdr:row>28</xdr:row>
      <xdr:rowOff>80212</xdr:rowOff>
    </xdr:from>
    <xdr:to>
      <xdr:col>17</xdr:col>
      <xdr:colOff>272688</xdr:colOff>
      <xdr:row>29</xdr:row>
      <xdr:rowOff>104273</xdr:rowOff>
    </xdr:to>
    <xdr:sp macro="" textlink="">
      <xdr:nvSpPr>
        <xdr:cNvPr id="35" name="TextBox 34">
          <a:extLst>
            <a:ext uri="{FF2B5EF4-FFF2-40B4-BE49-F238E27FC236}">
              <a16:creationId xmlns:a16="http://schemas.microsoft.com/office/drawing/2014/main" id="{454BBA5A-8F20-A672-D46C-0FC173D2051F}"/>
            </a:ext>
          </a:extLst>
        </xdr:cNvPr>
        <xdr:cNvSpPr txBox="1"/>
      </xdr:nvSpPr>
      <xdr:spPr>
        <a:xfrm>
          <a:off x="9272336" y="5245770"/>
          <a:ext cx="1363552" cy="208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solidFill>
            </a:rPr>
            <a:t>EMPLOYEE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365760</xdr:colOff>
      <xdr:row>5</xdr:row>
      <xdr:rowOff>83820</xdr:rowOff>
    </xdr:from>
    <xdr:to>
      <xdr:col>16</xdr:col>
      <xdr:colOff>304800</xdr:colOff>
      <xdr:row>20</xdr:row>
      <xdr:rowOff>83820</xdr:rowOff>
    </xdr:to>
    <xdr:graphicFrame macro="">
      <xdr:nvGraphicFramePr>
        <xdr:cNvPr id="2" name="Chart 1">
          <a:extLst>
            <a:ext uri="{FF2B5EF4-FFF2-40B4-BE49-F238E27FC236}">
              <a16:creationId xmlns:a16="http://schemas.microsoft.com/office/drawing/2014/main" id="{144E2938-0FDF-1885-9208-F1208F2E29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259080</xdr:colOff>
      <xdr:row>6</xdr:row>
      <xdr:rowOff>160020</xdr:rowOff>
    </xdr:from>
    <xdr:to>
      <xdr:col>14</xdr:col>
      <xdr:colOff>515880</xdr:colOff>
      <xdr:row>13</xdr:row>
      <xdr:rowOff>17460</xdr:rowOff>
    </xdr:to>
    <xdr:graphicFrame macro="">
      <xdr:nvGraphicFramePr>
        <xdr:cNvPr id="2" name="Chart 1">
          <a:extLst>
            <a:ext uri="{FF2B5EF4-FFF2-40B4-BE49-F238E27FC236}">
              <a16:creationId xmlns:a16="http://schemas.microsoft.com/office/drawing/2014/main" id="{29F5FC67-E7C5-B7E9-B5A6-F4E0E82FD5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365760</xdr:colOff>
      <xdr:row>1</xdr:row>
      <xdr:rowOff>129540</xdr:rowOff>
    </xdr:from>
    <xdr:to>
      <xdr:col>14</xdr:col>
      <xdr:colOff>60960</xdr:colOff>
      <xdr:row>16</xdr:row>
      <xdr:rowOff>129540</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A88EEAA2-B00B-6423-0E33-7D671EED170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501640" y="31242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6</xdr:col>
      <xdr:colOff>259080</xdr:colOff>
      <xdr:row>6</xdr:row>
      <xdr:rowOff>160020</xdr:rowOff>
    </xdr:from>
    <xdr:to>
      <xdr:col>10</xdr:col>
      <xdr:colOff>99480</xdr:colOff>
      <xdr:row>17</xdr:row>
      <xdr:rowOff>106740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0542E557-BE0A-0E66-4E64-7535A3EA192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394960" y="1257300"/>
              <a:ext cx="2278800" cy="19584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144780</xdr:colOff>
      <xdr:row>8</xdr:row>
      <xdr:rowOff>106680</xdr:rowOff>
    </xdr:from>
    <xdr:to>
      <xdr:col>7</xdr:col>
      <xdr:colOff>103680</xdr:colOff>
      <xdr:row>19</xdr:row>
      <xdr:rowOff>85800</xdr:rowOff>
    </xdr:to>
    <xdr:graphicFrame macro="">
      <xdr:nvGraphicFramePr>
        <xdr:cNvPr id="4" name="Chart 3">
          <a:extLst>
            <a:ext uri="{FF2B5EF4-FFF2-40B4-BE49-F238E27FC236}">
              <a16:creationId xmlns:a16="http://schemas.microsoft.com/office/drawing/2014/main" id="{6DB2F003-FCFE-8F34-B3DF-2094E4CBD4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7620</xdr:colOff>
      <xdr:row>9</xdr:row>
      <xdr:rowOff>7620</xdr:rowOff>
    </xdr:from>
    <xdr:to>
      <xdr:col>6</xdr:col>
      <xdr:colOff>705660</xdr:colOff>
      <xdr:row>19</xdr:row>
      <xdr:rowOff>169620</xdr:rowOff>
    </xdr:to>
    <xdr:graphicFrame macro="">
      <xdr:nvGraphicFramePr>
        <xdr:cNvPr id="2" name="Chart 1">
          <a:extLst>
            <a:ext uri="{FF2B5EF4-FFF2-40B4-BE49-F238E27FC236}">
              <a16:creationId xmlns:a16="http://schemas.microsoft.com/office/drawing/2014/main" id="{B08459C5-4B57-F069-E7D0-CCAEBDB3DF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30480</xdr:colOff>
      <xdr:row>6</xdr:row>
      <xdr:rowOff>160020</xdr:rowOff>
    </xdr:from>
    <xdr:to>
      <xdr:col>7</xdr:col>
      <xdr:colOff>368880</xdr:colOff>
      <xdr:row>18</xdr:row>
      <xdr:rowOff>42660</xdr:rowOff>
    </xdr:to>
    <xdr:graphicFrame macro="">
      <xdr:nvGraphicFramePr>
        <xdr:cNvPr id="2" name="Chart 1">
          <a:extLst>
            <a:ext uri="{FF2B5EF4-FFF2-40B4-BE49-F238E27FC236}">
              <a16:creationId xmlns:a16="http://schemas.microsoft.com/office/drawing/2014/main" id="{33311111-B5FC-F4D6-EEE2-0C5725CA7C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30480</xdr:colOff>
      <xdr:row>6</xdr:row>
      <xdr:rowOff>160020</xdr:rowOff>
    </xdr:from>
    <xdr:to>
      <xdr:col>7</xdr:col>
      <xdr:colOff>368880</xdr:colOff>
      <xdr:row>18</xdr:row>
      <xdr:rowOff>42660</xdr:rowOff>
    </xdr:to>
    <xdr:graphicFrame macro="">
      <xdr:nvGraphicFramePr>
        <xdr:cNvPr id="2" name="Chart 1">
          <a:extLst>
            <a:ext uri="{FF2B5EF4-FFF2-40B4-BE49-F238E27FC236}">
              <a16:creationId xmlns:a16="http://schemas.microsoft.com/office/drawing/2014/main" id="{F43954F1-4D54-4530-F9B2-D8FDD8E112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525780</xdr:colOff>
      <xdr:row>1</xdr:row>
      <xdr:rowOff>129540</xdr:rowOff>
    </xdr:from>
    <xdr:to>
      <xdr:col>6</xdr:col>
      <xdr:colOff>355380</xdr:colOff>
      <xdr:row>21</xdr:row>
      <xdr:rowOff>115140</xdr:rowOff>
    </xdr:to>
    <xdr:graphicFrame macro="">
      <xdr:nvGraphicFramePr>
        <xdr:cNvPr id="2" name="Chart 1">
          <a:extLst>
            <a:ext uri="{FF2B5EF4-FFF2-40B4-BE49-F238E27FC236}">
              <a16:creationId xmlns:a16="http://schemas.microsoft.com/office/drawing/2014/main" id="{81B41F04-5829-D685-8CFA-7A3CCAE656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129540</xdr:colOff>
      <xdr:row>2</xdr:row>
      <xdr:rowOff>99060</xdr:rowOff>
    </xdr:from>
    <xdr:to>
      <xdr:col>6</xdr:col>
      <xdr:colOff>568740</xdr:colOff>
      <xdr:row>22</xdr:row>
      <xdr:rowOff>84660</xdr:rowOff>
    </xdr:to>
    <xdr:graphicFrame macro="">
      <xdr:nvGraphicFramePr>
        <xdr:cNvPr id="3" name="Chart 2">
          <a:extLst>
            <a:ext uri="{FF2B5EF4-FFF2-40B4-BE49-F238E27FC236}">
              <a16:creationId xmlns:a16="http://schemas.microsoft.com/office/drawing/2014/main" id="{06ADBA57-D1C7-352E-D154-9D56611B43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naba Chakraborti" refreshedDate="44849.765056249998" createdVersion="8" refreshedVersion="8" minRefreshableVersion="3" recordCount="2000" xr:uid="{515B74D2-A7E1-481E-86CE-D81A43520728}">
  <cacheSource type="worksheet">
    <worksheetSource name="Table1"/>
  </cacheSource>
  <cacheFields count="13">
    <cacheField name="Order ID" numFmtId="49">
      <sharedItems containsMixedTypes="1" containsNumber="1" containsInteger="1" minValue="10" maxValue="10"/>
    </cacheField>
    <cacheField name="Date" numFmtId="14">
      <sharedItems containsSemiMixedTypes="0" containsNonDate="0" containsDate="1" containsString="0" minDate="2018-01-01T00:00:00" maxDate="2019-10-17T00:00:00" count="654">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sharedItems>
      <fieldGroup par="12"/>
    </cacheField>
    <cacheField name="Customer ID" numFmtId="0">
      <sharedItems containsSemiMixedTypes="0" containsString="0" containsNumber="1" containsInteger="1" minValue="1" maxValue="20"/>
    </cacheField>
    <cacheField name="Customer Name" numFmtId="0">
      <sharedItems count="20">
        <s v="Lux India Ltd"/>
        <s v="Mirza International"/>
        <s v="Dollar Industries Ltd"/>
        <s v="Nestle"/>
        <s v="PEPSICO"/>
        <s v="Amul"/>
        <s v="EMAMI"/>
        <s v="Hindustan Unilever Limited"/>
        <s v="Relaxo Footwear"/>
        <s v="Great Eastern Trading Co"/>
        <s v="Suraksha Diagonistics"/>
        <s v="Reliance Footprint"/>
        <s v="Bata India Limited"/>
        <s v="Cadbury"/>
        <s v="Rupa Industries Ltd"/>
        <s v="Khadim India Limited"/>
        <s v="Dixcy India Ltd"/>
        <s v="Flipkart India Limited"/>
        <s v="Malcom India Ltd"/>
        <s v="ITC"/>
      </sharedItems>
    </cacheField>
    <cacheField name="Sales Person" numFmtId="0">
      <sharedItems count="8">
        <s v="Avinash Thakur"/>
        <s v="Annie Chaudhary"/>
        <s v="Arjun Reddy"/>
        <s v="Varun Saran"/>
        <s v="Kunal Rai"/>
        <s v="Harsh Makhija"/>
        <s v="Vikram Rathore"/>
        <s v="Ravi Kumar"/>
      </sharedItems>
    </cacheField>
    <cacheField name="Region" numFmtId="0">
      <sharedItems count="4">
        <s v="Gujarat"/>
        <s v="Uttar Pradesh"/>
        <s v="Rajasthan"/>
        <s v="Maharashtra"/>
      </sharedItems>
    </cacheField>
    <cacheField name="Item" numFmtId="0">
      <sharedItems count="5">
        <s v="Desktop"/>
        <s v="Laptop 2"/>
        <s v="Tablet"/>
        <s v="Headphone"/>
        <s v="Laptop 1"/>
      </sharedItems>
    </cacheField>
    <cacheField name="Price" numFmtId="0">
      <sharedItems containsSemiMixedTypes="0" containsString="0" containsNumber="1" containsInteger="1" minValue="6900" maxValue="39900"/>
    </cacheField>
    <cacheField name="Quantity" numFmtId="0">
      <sharedItems containsSemiMixedTypes="0" containsString="0" containsNumber="1" containsInteger="1" minValue="0" maxValue="9"/>
    </cacheField>
    <cacheField name="Revenue" numFmtId="1">
      <sharedItems containsSemiMixedTypes="0" containsString="0" containsNumber="1" containsInteger="1" minValue="0" maxValue="359100"/>
    </cacheField>
    <cacheField name="Months (Date)" numFmtId="0" databaseField="0">
      <fieldGroup base="1">
        <rangePr groupBy="months" startDate="2018-01-01T00:00:00" endDate="2019-10-17T00:00:00"/>
        <groupItems count="14">
          <s v="&lt;01-01-2018"/>
          <s v="Jan"/>
          <s v="Feb"/>
          <s v="Mar"/>
          <s v="Apr"/>
          <s v="May"/>
          <s v="Jun"/>
          <s v="Jul"/>
          <s v="Aug"/>
          <s v="Sep"/>
          <s v="Oct"/>
          <s v="Nov"/>
          <s v="Dec"/>
          <s v="&gt;17-10-2019"/>
        </groupItems>
      </fieldGroup>
    </cacheField>
    <cacheField name="Quarters (Date)" numFmtId="0" databaseField="0">
      <fieldGroup base="1">
        <rangePr groupBy="quarters" startDate="2018-01-01T00:00:00" endDate="2019-10-17T00:00:00"/>
        <groupItems count="6">
          <s v="&lt;01-01-2018"/>
          <s v="Qtr1"/>
          <s v="Qtr2"/>
          <s v="Qtr3"/>
          <s v="Qtr4"/>
          <s v="&gt;17-10-2019"/>
        </groupItems>
      </fieldGroup>
    </cacheField>
    <cacheField name="Years (Date)" numFmtId="0" databaseField="0">
      <fieldGroup base="1">
        <rangePr groupBy="years" startDate="2018-01-01T00:00:00" endDate="2019-10-17T00:00:00"/>
        <groupItems count="4">
          <s v="&lt;01-01-2018"/>
          <s v="2018"/>
          <s v="2019"/>
          <s v="&gt;17-10-2019"/>
        </groupItems>
      </fieldGroup>
    </cacheField>
  </cacheFields>
  <extLst>
    <ext xmlns:x14="http://schemas.microsoft.com/office/spreadsheetml/2009/9/main" uri="{725AE2AE-9491-48be-B2B4-4EB974FC3084}">
      <x14:pivotCacheDefinition pivotCacheId="14226465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0001"/>
    <x v="0"/>
    <n v="11"/>
    <x v="0"/>
    <x v="0"/>
    <x v="0"/>
    <x v="0"/>
    <n v="19900"/>
    <n v="3"/>
    <n v="59700"/>
  </r>
  <r>
    <s v="0002"/>
    <x v="1"/>
    <n v="1"/>
    <x v="1"/>
    <x v="1"/>
    <x v="1"/>
    <x v="1"/>
    <n v="28900"/>
    <n v="7"/>
    <n v="202300"/>
  </r>
  <r>
    <s v="0003"/>
    <x v="2"/>
    <n v="9"/>
    <x v="2"/>
    <x v="2"/>
    <x v="2"/>
    <x v="2"/>
    <n v="15900"/>
    <n v="3"/>
    <n v="47700"/>
  </r>
  <r>
    <s v="0004"/>
    <x v="2"/>
    <n v="18"/>
    <x v="3"/>
    <x v="3"/>
    <x v="3"/>
    <x v="1"/>
    <n v="28900"/>
    <n v="3"/>
    <n v="86700"/>
  </r>
  <r>
    <s v="0005"/>
    <x v="3"/>
    <n v="16"/>
    <x v="4"/>
    <x v="3"/>
    <x v="3"/>
    <x v="3"/>
    <n v="6900"/>
    <n v="4"/>
    <n v="27600"/>
  </r>
  <r>
    <s v="0006"/>
    <x v="3"/>
    <n v="13"/>
    <x v="5"/>
    <x v="0"/>
    <x v="0"/>
    <x v="0"/>
    <n v="19900"/>
    <n v="2"/>
    <n v="39800"/>
  </r>
  <r>
    <s v="0007"/>
    <x v="3"/>
    <n v="17"/>
    <x v="6"/>
    <x v="4"/>
    <x v="3"/>
    <x v="1"/>
    <n v="28900"/>
    <n v="9"/>
    <n v="260100"/>
  </r>
  <r>
    <s v="0008"/>
    <x v="4"/>
    <n v="14"/>
    <x v="7"/>
    <x v="0"/>
    <x v="0"/>
    <x v="0"/>
    <n v="19900"/>
    <n v="5"/>
    <n v="99500"/>
  </r>
  <r>
    <s v="0009"/>
    <x v="4"/>
    <n v="20"/>
    <x v="8"/>
    <x v="4"/>
    <x v="3"/>
    <x v="4"/>
    <n v="39900"/>
    <n v="5"/>
    <n v="199500"/>
  </r>
  <r>
    <s v="0010"/>
    <x v="4"/>
    <n v="3"/>
    <x v="9"/>
    <x v="1"/>
    <x v="1"/>
    <x v="0"/>
    <n v="19900"/>
    <n v="0"/>
    <n v="0"/>
  </r>
  <r>
    <s v="0011"/>
    <x v="4"/>
    <n v="8"/>
    <x v="10"/>
    <x v="5"/>
    <x v="2"/>
    <x v="1"/>
    <n v="28900"/>
    <n v="9"/>
    <n v="260100"/>
  </r>
  <r>
    <s v="0012"/>
    <x v="4"/>
    <n v="6"/>
    <x v="11"/>
    <x v="5"/>
    <x v="2"/>
    <x v="4"/>
    <n v="39900"/>
    <n v="6"/>
    <n v="239400"/>
  </r>
  <r>
    <s v="0013"/>
    <x v="4"/>
    <n v="9"/>
    <x v="2"/>
    <x v="2"/>
    <x v="2"/>
    <x v="0"/>
    <n v="19900"/>
    <n v="6"/>
    <n v="119400"/>
  </r>
  <r>
    <s v="0014"/>
    <x v="4"/>
    <n v="4"/>
    <x v="12"/>
    <x v="1"/>
    <x v="1"/>
    <x v="4"/>
    <n v="39900"/>
    <n v="4"/>
    <n v="159600"/>
  </r>
  <r>
    <s v="0015"/>
    <x v="4"/>
    <n v="6"/>
    <x v="11"/>
    <x v="2"/>
    <x v="2"/>
    <x v="0"/>
    <n v="19900"/>
    <n v="2"/>
    <n v="39800"/>
  </r>
  <r>
    <s v="0016"/>
    <x v="5"/>
    <n v="13"/>
    <x v="5"/>
    <x v="0"/>
    <x v="0"/>
    <x v="3"/>
    <n v="6900"/>
    <n v="0"/>
    <n v="0"/>
  </r>
  <r>
    <s v="0017"/>
    <x v="6"/>
    <n v="14"/>
    <x v="7"/>
    <x v="0"/>
    <x v="0"/>
    <x v="1"/>
    <n v="28900"/>
    <n v="0"/>
    <n v="0"/>
  </r>
  <r>
    <s v="0018"/>
    <x v="6"/>
    <n v="19"/>
    <x v="13"/>
    <x v="3"/>
    <x v="3"/>
    <x v="2"/>
    <n v="15900"/>
    <n v="5"/>
    <n v="79500"/>
  </r>
  <r>
    <s v="0019"/>
    <x v="6"/>
    <n v="10"/>
    <x v="14"/>
    <x v="5"/>
    <x v="2"/>
    <x v="3"/>
    <n v="6900"/>
    <n v="2"/>
    <n v="13800"/>
  </r>
  <r>
    <s v="0020"/>
    <x v="6"/>
    <n v="5"/>
    <x v="15"/>
    <x v="1"/>
    <x v="1"/>
    <x v="4"/>
    <n v="39900"/>
    <n v="3"/>
    <n v="119700"/>
  </r>
  <r>
    <s v="0021"/>
    <x v="6"/>
    <n v="10"/>
    <x v="14"/>
    <x v="5"/>
    <x v="2"/>
    <x v="3"/>
    <n v="6900"/>
    <n v="2"/>
    <n v="13800"/>
  </r>
  <r>
    <s v="0022"/>
    <x v="6"/>
    <n v="11"/>
    <x v="0"/>
    <x v="6"/>
    <x v="0"/>
    <x v="1"/>
    <n v="28900"/>
    <n v="6"/>
    <n v="173400"/>
  </r>
  <r>
    <s v="0023"/>
    <x v="6"/>
    <n v="8"/>
    <x v="10"/>
    <x v="5"/>
    <x v="2"/>
    <x v="2"/>
    <n v="15900"/>
    <n v="4"/>
    <n v="63600"/>
  </r>
  <r>
    <s v="0024"/>
    <x v="6"/>
    <n v="12"/>
    <x v="16"/>
    <x v="0"/>
    <x v="0"/>
    <x v="4"/>
    <n v="39900"/>
    <n v="2"/>
    <n v="79800"/>
  </r>
  <r>
    <s v="0025"/>
    <x v="7"/>
    <n v="3"/>
    <x v="9"/>
    <x v="7"/>
    <x v="1"/>
    <x v="4"/>
    <n v="39900"/>
    <n v="0"/>
    <n v="0"/>
  </r>
  <r>
    <s v="0026"/>
    <x v="7"/>
    <n v="14"/>
    <x v="7"/>
    <x v="0"/>
    <x v="0"/>
    <x v="1"/>
    <n v="28900"/>
    <n v="0"/>
    <n v="0"/>
  </r>
  <r>
    <s v="0027"/>
    <x v="7"/>
    <n v="14"/>
    <x v="7"/>
    <x v="6"/>
    <x v="0"/>
    <x v="0"/>
    <n v="19900"/>
    <n v="1"/>
    <n v="19900"/>
  </r>
  <r>
    <s v="0028"/>
    <x v="7"/>
    <n v="19"/>
    <x v="13"/>
    <x v="4"/>
    <x v="3"/>
    <x v="4"/>
    <n v="39900"/>
    <n v="7"/>
    <n v="279300"/>
  </r>
  <r>
    <s v="0029"/>
    <x v="8"/>
    <n v="10"/>
    <x v="14"/>
    <x v="5"/>
    <x v="2"/>
    <x v="0"/>
    <n v="19900"/>
    <n v="3"/>
    <n v="59700"/>
  </r>
  <r>
    <s v="0030"/>
    <x v="8"/>
    <n v="12"/>
    <x v="16"/>
    <x v="6"/>
    <x v="0"/>
    <x v="1"/>
    <n v="28900"/>
    <n v="0"/>
    <n v="0"/>
  </r>
  <r>
    <s v="0031"/>
    <x v="8"/>
    <n v="6"/>
    <x v="11"/>
    <x v="2"/>
    <x v="2"/>
    <x v="2"/>
    <n v="15900"/>
    <n v="2"/>
    <n v="31800"/>
  </r>
  <r>
    <s v="0032"/>
    <x v="8"/>
    <n v="6"/>
    <x v="11"/>
    <x v="5"/>
    <x v="2"/>
    <x v="4"/>
    <n v="39900"/>
    <n v="3"/>
    <n v="119700"/>
  </r>
  <r>
    <s v="0033"/>
    <x v="9"/>
    <n v="6"/>
    <x v="11"/>
    <x v="5"/>
    <x v="2"/>
    <x v="3"/>
    <n v="6900"/>
    <n v="2"/>
    <n v="13800"/>
  </r>
  <r>
    <s v="0034"/>
    <x v="10"/>
    <n v="1"/>
    <x v="1"/>
    <x v="7"/>
    <x v="1"/>
    <x v="0"/>
    <n v="19900"/>
    <n v="8"/>
    <n v="159200"/>
  </r>
  <r>
    <s v="0035"/>
    <x v="10"/>
    <n v="16"/>
    <x v="4"/>
    <x v="4"/>
    <x v="3"/>
    <x v="0"/>
    <n v="19900"/>
    <n v="5"/>
    <n v="99500"/>
  </r>
  <r>
    <s v="0036"/>
    <x v="10"/>
    <n v="13"/>
    <x v="5"/>
    <x v="6"/>
    <x v="0"/>
    <x v="1"/>
    <n v="28900"/>
    <n v="1"/>
    <n v="28900"/>
  </r>
  <r>
    <s v="0037"/>
    <x v="10"/>
    <n v="13"/>
    <x v="5"/>
    <x v="6"/>
    <x v="0"/>
    <x v="4"/>
    <n v="39900"/>
    <n v="4"/>
    <n v="159600"/>
  </r>
  <r>
    <s v="0038"/>
    <x v="11"/>
    <n v="20"/>
    <x v="8"/>
    <x v="3"/>
    <x v="3"/>
    <x v="4"/>
    <n v="39900"/>
    <n v="3"/>
    <n v="119700"/>
  </r>
  <r>
    <s v="0039"/>
    <x v="11"/>
    <n v="19"/>
    <x v="13"/>
    <x v="4"/>
    <x v="3"/>
    <x v="3"/>
    <n v="6900"/>
    <n v="8"/>
    <n v="55200"/>
  </r>
  <r>
    <s v="0040"/>
    <x v="11"/>
    <n v="14"/>
    <x v="7"/>
    <x v="0"/>
    <x v="0"/>
    <x v="1"/>
    <n v="28900"/>
    <n v="3"/>
    <n v="86700"/>
  </r>
  <r>
    <s v="0041"/>
    <x v="12"/>
    <n v="9"/>
    <x v="2"/>
    <x v="2"/>
    <x v="2"/>
    <x v="4"/>
    <n v="39900"/>
    <n v="4"/>
    <n v="159600"/>
  </r>
  <r>
    <s v="0042"/>
    <x v="12"/>
    <n v="17"/>
    <x v="6"/>
    <x v="4"/>
    <x v="3"/>
    <x v="3"/>
    <n v="6900"/>
    <n v="5"/>
    <n v="34500"/>
  </r>
  <r>
    <s v="0043"/>
    <x v="12"/>
    <n v="13"/>
    <x v="5"/>
    <x v="6"/>
    <x v="0"/>
    <x v="2"/>
    <n v="15900"/>
    <n v="8"/>
    <n v="127200"/>
  </r>
  <r>
    <s v="0044"/>
    <x v="12"/>
    <n v="7"/>
    <x v="17"/>
    <x v="5"/>
    <x v="2"/>
    <x v="4"/>
    <n v="39900"/>
    <n v="5"/>
    <n v="199500"/>
  </r>
  <r>
    <s v="0045"/>
    <x v="12"/>
    <n v="12"/>
    <x v="16"/>
    <x v="6"/>
    <x v="0"/>
    <x v="1"/>
    <n v="28900"/>
    <n v="4"/>
    <n v="115600"/>
  </r>
  <r>
    <s v="0046"/>
    <x v="12"/>
    <n v="14"/>
    <x v="7"/>
    <x v="0"/>
    <x v="0"/>
    <x v="2"/>
    <n v="15900"/>
    <n v="7"/>
    <n v="111300"/>
  </r>
  <r>
    <s v="0047"/>
    <x v="12"/>
    <n v="17"/>
    <x v="6"/>
    <x v="3"/>
    <x v="3"/>
    <x v="1"/>
    <n v="28900"/>
    <n v="0"/>
    <n v="0"/>
  </r>
  <r>
    <s v="0048"/>
    <x v="12"/>
    <n v="16"/>
    <x v="4"/>
    <x v="3"/>
    <x v="3"/>
    <x v="3"/>
    <n v="6900"/>
    <n v="1"/>
    <n v="6900"/>
  </r>
  <r>
    <s v="0049"/>
    <x v="12"/>
    <n v="4"/>
    <x v="12"/>
    <x v="7"/>
    <x v="1"/>
    <x v="2"/>
    <n v="15900"/>
    <n v="5"/>
    <n v="79500"/>
  </r>
  <r>
    <s v="0050"/>
    <x v="12"/>
    <n v="5"/>
    <x v="15"/>
    <x v="7"/>
    <x v="1"/>
    <x v="2"/>
    <n v="15900"/>
    <n v="7"/>
    <n v="111300"/>
  </r>
  <r>
    <s v="0051"/>
    <x v="12"/>
    <n v="19"/>
    <x v="13"/>
    <x v="4"/>
    <x v="3"/>
    <x v="4"/>
    <n v="39900"/>
    <n v="6"/>
    <n v="239400"/>
  </r>
  <r>
    <s v="0052"/>
    <x v="12"/>
    <n v="1"/>
    <x v="1"/>
    <x v="7"/>
    <x v="1"/>
    <x v="3"/>
    <n v="6900"/>
    <n v="2"/>
    <n v="13800"/>
  </r>
  <r>
    <s v="0053"/>
    <x v="13"/>
    <n v="17"/>
    <x v="6"/>
    <x v="4"/>
    <x v="3"/>
    <x v="3"/>
    <n v="6900"/>
    <n v="7"/>
    <n v="48300"/>
  </r>
  <r>
    <s v="0054"/>
    <x v="14"/>
    <n v="8"/>
    <x v="10"/>
    <x v="5"/>
    <x v="2"/>
    <x v="1"/>
    <n v="28900"/>
    <n v="1"/>
    <n v="28900"/>
  </r>
  <r>
    <s v="0055"/>
    <x v="14"/>
    <n v="7"/>
    <x v="17"/>
    <x v="5"/>
    <x v="2"/>
    <x v="4"/>
    <n v="39900"/>
    <n v="0"/>
    <n v="0"/>
  </r>
  <r>
    <s v="0056"/>
    <x v="14"/>
    <n v="20"/>
    <x v="8"/>
    <x v="4"/>
    <x v="3"/>
    <x v="3"/>
    <n v="6900"/>
    <n v="9"/>
    <n v="62100"/>
  </r>
  <r>
    <s v="0057"/>
    <x v="14"/>
    <n v="8"/>
    <x v="10"/>
    <x v="5"/>
    <x v="2"/>
    <x v="0"/>
    <n v="19900"/>
    <n v="5"/>
    <n v="99500"/>
  </r>
  <r>
    <s v="0058"/>
    <x v="14"/>
    <n v="11"/>
    <x v="0"/>
    <x v="0"/>
    <x v="0"/>
    <x v="3"/>
    <n v="6900"/>
    <n v="9"/>
    <n v="62100"/>
  </r>
  <r>
    <s v="0059"/>
    <x v="14"/>
    <n v="9"/>
    <x v="2"/>
    <x v="2"/>
    <x v="2"/>
    <x v="4"/>
    <n v="39900"/>
    <n v="7"/>
    <n v="279300"/>
  </r>
  <r>
    <s v="0060"/>
    <x v="14"/>
    <n v="10"/>
    <x v="14"/>
    <x v="5"/>
    <x v="2"/>
    <x v="0"/>
    <n v="19900"/>
    <n v="3"/>
    <n v="59700"/>
  </r>
  <r>
    <s v="0061"/>
    <x v="15"/>
    <n v="2"/>
    <x v="18"/>
    <x v="1"/>
    <x v="1"/>
    <x v="2"/>
    <n v="15900"/>
    <n v="8"/>
    <n v="127200"/>
  </r>
  <r>
    <s v="0062"/>
    <x v="16"/>
    <n v="20"/>
    <x v="8"/>
    <x v="4"/>
    <x v="3"/>
    <x v="2"/>
    <n v="15900"/>
    <n v="9"/>
    <n v="143100"/>
  </r>
  <r>
    <s v="0063"/>
    <x v="16"/>
    <n v="9"/>
    <x v="2"/>
    <x v="5"/>
    <x v="2"/>
    <x v="1"/>
    <n v="28900"/>
    <n v="7"/>
    <n v="202300"/>
  </r>
  <r>
    <s v="0064"/>
    <x v="17"/>
    <n v="9"/>
    <x v="2"/>
    <x v="5"/>
    <x v="2"/>
    <x v="4"/>
    <n v="39900"/>
    <n v="1"/>
    <n v="39900"/>
  </r>
  <r>
    <s v="0065"/>
    <x v="18"/>
    <n v="9"/>
    <x v="2"/>
    <x v="5"/>
    <x v="2"/>
    <x v="0"/>
    <n v="19900"/>
    <n v="6"/>
    <n v="119400"/>
  </r>
  <r>
    <s v="0066"/>
    <x v="18"/>
    <n v="10"/>
    <x v="14"/>
    <x v="5"/>
    <x v="2"/>
    <x v="1"/>
    <n v="28900"/>
    <n v="3"/>
    <n v="86700"/>
  </r>
  <r>
    <s v="0067"/>
    <x v="19"/>
    <n v="16"/>
    <x v="4"/>
    <x v="3"/>
    <x v="3"/>
    <x v="3"/>
    <n v="6900"/>
    <n v="2"/>
    <n v="13800"/>
  </r>
  <r>
    <s v="0068"/>
    <x v="19"/>
    <n v="13"/>
    <x v="5"/>
    <x v="6"/>
    <x v="0"/>
    <x v="0"/>
    <n v="19900"/>
    <n v="8"/>
    <n v="159200"/>
  </r>
  <r>
    <s v="0069"/>
    <x v="20"/>
    <n v="19"/>
    <x v="13"/>
    <x v="4"/>
    <x v="3"/>
    <x v="0"/>
    <n v="19900"/>
    <n v="8"/>
    <n v="159200"/>
  </r>
  <r>
    <s v="0070"/>
    <x v="20"/>
    <n v="6"/>
    <x v="11"/>
    <x v="5"/>
    <x v="2"/>
    <x v="0"/>
    <n v="19900"/>
    <n v="0"/>
    <n v="0"/>
  </r>
  <r>
    <s v="0071"/>
    <x v="20"/>
    <n v="17"/>
    <x v="6"/>
    <x v="3"/>
    <x v="3"/>
    <x v="2"/>
    <n v="15900"/>
    <n v="4"/>
    <n v="63600"/>
  </r>
  <r>
    <s v="0072"/>
    <x v="21"/>
    <n v="15"/>
    <x v="19"/>
    <x v="6"/>
    <x v="0"/>
    <x v="4"/>
    <n v="39900"/>
    <n v="4"/>
    <n v="159600"/>
  </r>
  <r>
    <s v="0073"/>
    <x v="22"/>
    <n v="15"/>
    <x v="19"/>
    <x v="6"/>
    <x v="0"/>
    <x v="2"/>
    <n v="15900"/>
    <n v="1"/>
    <n v="15900"/>
  </r>
  <r>
    <s v="0074"/>
    <x v="22"/>
    <n v="20"/>
    <x v="8"/>
    <x v="3"/>
    <x v="3"/>
    <x v="1"/>
    <n v="28900"/>
    <n v="1"/>
    <n v="28900"/>
  </r>
  <r>
    <s v="0075"/>
    <x v="22"/>
    <n v="13"/>
    <x v="5"/>
    <x v="0"/>
    <x v="0"/>
    <x v="1"/>
    <n v="28900"/>
    <n v="5"/>
    <n v="144500"/>
  </r>
  <r>
    <s v="0076"/>
    <x v="23"/>
    <n v="18"/>
    <x v="3"/>
    <x v="3"/>
    <x v="3"/>
    <x v="3"/>
    <n v="6900"/>
    <n v="7"/>
    <n v="48300"/>
  </r>
  <r>
    <s v="0077"/>
    <x v="23"/>
    <n v="8"/>
    <x v="10"/>
    <x v="5"/>
    <x v="2"/>
    <x v="3"/>
    <n v="6900"/>
    <n v="2"/>
    <n v="13800"/>
  </r>
  <r>
    <s v="0078"/>
    <x v="23"/>
    <n v="5"/>
    <x v="15"/>
    <x v="7"/>
    <x v="1"/>
    <x v="1"/>
    <n v="28900"/>
    <n v="1"/>
    <n v="28900"/>
  </r>
  <r>
    <s v="0079"/>
    <x v="23"/>
    <n v="19"/>
    <x v="13"/>
    <x v="3"/>
    <x v="3"/>
    <x v="1"/>
    <n v="28900"/>
    <n v="8"/>
    <n v="231200"/>
  </r>
  <r>
    <s v="0080"/>
    <x v="23"/>
    <n v="10"/>
    <x v="14"/>
    <x v="2"/>
    <x v="2"/>
    <x v="1"/>
    <n v="28900"/>
    <n v="3"/>
    <n v="86700"/>
  </r>
  <r>
    <s v="0081"/>
    <x v="23"/>
    <n v="7"/>
    <x v="17"/>
    <x v="5"/>
    <x v="2"/>
    <x v="4"/>
    <n v="39900"/>
    <n v="6"/>
    <n v="239400"/>
  </r>
  <r>
    <s v="0082"/>
    <x v="23"/>
    <n v="5"/>
    <x v="15"/>
    <x v="1"/>
    <x v="1"/>
    <x v="3"/>
    <n v="6900"/>
    <n v="1"/>
    <n v="6900"/>
  </r>
  <r>
    <s v="0083"/>
    <x v="23"/>
    <n v="10"/>
    <x v="14"/>
    <x v="5"/>
    <x v="2"/>
    <x v="3"/>
    <n v="6900"/>
    <n v="2"/>
    <n v="13800"/>
  </r>
  <r>
    <s v="0084"/>
    <x v="24"/>
    <n v="18"/>
    <x v="3"/>
    <x v="4"/>
    <x v="3"/>
    <x v="4"/>
    <n v="39900"/>
    <n v="1"/>
    <n v="39900"/>
  </r>
  <r>
    <s v="0085"/>
    <x v="25"/>
    <n v="4"/>
    <x v="12"/>
    <x v="7"/>
    <x v="1"/>
    <x v="4"/>
    <n v="39900"/>
    <n v="9"/>
    <n v="359100"/>
  </r>
  <r>
    <s v="0086"/>
    <x v="25"/>
    <n v="12"/>
    <x v="16"/>
    <x v="0"/>
    <x v="0"/>
    <x v="4"/>
    <n v="39900"/>
    <n v="2"/>
    <n v="79800"/>
  </r>
  <r>
    <s v="0087"/>
    <x v="26"/>
    <n v="17"/>
    <x v="6"/>
    <x v="4"/>
    <x v="3"/>
    <x v="2"/>
    <n v="15900"/>
    <n v="3"/>
    <n v="47700"/>
  </r>
  <r>
    <s v="0088"/>
    <x v="26"/>
    <n v="12"/>
    <x v="16"/>
    <x v="0"/>
    <x v="0"/>
    <x v="3"/>
    <n v="6900"/>
    <n v="2"/>
    <n v="13800"/>
  </r>
  <r>
    <s v="0089"/>
    <x v="26"/>
    <n v="8"/>
    <x v="10"/>
    <x v="2"/>
    <x v="2"/>
    <x v="0"/>
    <n v="19900"/>
    <n v="5"/>
    <n v="99500"/>
  </r>
  <r>
    <s v="0090"/>
    <x v="26"/>
    <n v="12"/>
    <x v="16"/>
    <x v="6"/>
    <x v="0"/>
    <x v="3"/>
    <n v="6900"/>
    <n v="2"/>
    <n v="13800"/>
  </r>
  <r>
    <s v="0091"/>
    <x v="26"/>
    <n v="19"/>
    <x v="13"/>
    <x v="4"/>
    <x v="3"/>
    <x v="1"/>
    <n v="28900"/>
    <n v="4"/>
    <n v="115600"/>
  </r>
  <r>
    <s v="0092"/>
    <x v="27"/>
    <n v="20"/>
    <x v="8"/>
    <x v="3"/>
    <x v="3"/>
    <x v="4"/>
    <n v="39900"/>
    <n v="6"/>
    <n v="239400"/>
  </r>
  <r>
    <s v="0093"/>
    <x v="28"/>
    <n v="7"/>
    <x v="17"/>
    <x v="2"/>
    <x v="2"/>
    <x v="4"/>
    <n v="39900"/>
    <n v="1"/>
    <n v="39900"/>
  </r>
  <r>
    <s v="0094"/>
    <x v="28"/>
    <n v="8"/>
    <x v="10"/>
    <x v="2"/>
    <x v="2"/>
    <x v="0"/>
    <n v="19900"/>
    <n v="2"/>
    <n v="39800"/>
  </r>
  <r>
    <s v="0095"/>
    <x v="28"/>
    <n v="7"/>
    <x v="17"/>
    <x v="5"/>
    <x v="2"/>
    <x v="3"/>
    <n v="6900"/>
    <n v="8"/>
    <n v="55200"/>
  </r>
  <r>
    <s v="0096"/>
    <x v="29"/>
    <n v="15"/>
    <x v="19"/>
    <x v="0"/>
    <x v="0"/>
    <x v="3"/>
    <n v="6900"/>
    <n v="9"/>
    <n v="62100"/>
  </r>
  <r>
    <s v="0097"/>
    <x v="29"/>
    <n v="11"/>
    <x v="0"/>
    <x v="6"/>
    <x v="0"/>
    <x v="3"/>
    <n v="6900"/>
    <n v="7"/>
    <n v="48300"/>
  </r>
  <r>
    <s v="0098"/>
    <x v="29"/>
    <n v="19"/>
    <x v="13"/>
    <x v="3"/>
    <x v="3"/>
    <x v="2"/>
    <n v="15900"/>
    <n v="8"/>
    <n v="127200"/>
  </r>
  <r>
    <s v="0099"/>
    <x v="29"/>
    <n v="8"/>
    <x v="10"/>
    <x v="5"/>
    <x v="2"/>
    <x v="0"/>
    <n v="19900"/>
    <n v="9"/>
    <n v="179100"/>
  </r>
  <r>
    <s v="0100"/>
    <x v="29"/>
    <n v="12"/>
    <x v="16"/>
    <x v="0"/>
    <x v="0"/>
    <x v="0"/>
    <n v="19900"/>
    <n v="5"/>
    <n v="99500"/>
  </r>
  <r>
    <s v="0101"/>
    <x v="30"/>
    <n v="18"/>
    <x v="3"/>
    <x v="3"/>
    <x v="3"/>
    <x v="3"/>
    <n v="6900"/>
    <n v="4"/>
    <n v="27600"/>
  </r>
  <r>
    <s v="0102"/>
    <x v="31"/>
    <n v="10"/>
    <x v="14"/>
    <x v="2"/>
    <x v="2"/>
    <x v="3"/>
    <n v="6900"/>
    <n v="4"/>
    <n v="27600"/>
  </r>
  <r>
    <s v="0103"/>
    <x v="31"/>
    <n v="20"/>
    <x v="8"/>
    <x v="4"/>
    <x v="3"/>
    <x v="3"/>
    <n v="6900"/>
    <n v="6"/>
    <n v="41400"/>
  </r>
  <r>
    <s v="0104"/>
    <x v="32"/>
    <n v="4"/>
    <x v="12"/>
    <x v="7"/>
    <x v="1"/>
    <x v="4"/>
    <n v="39900"/>
    <n v="1"/>
    <n v="39900"/>
  </r>
  <r>
    <s v="0105"/>
    <x v="32"/>
    <n v="11"/>
    <x v="0"/>
    <x v="0"/>
    <x v="0"/>
    <x v="2"/>
    <n v="15900"/>
    <n v="0"/>
    <n v="0"/>
  </r>
  <r>
    <s v="0106"/>
    <x v="32"/>
    <n v="2"/>
    <x v="18"/>
    <x v="7"/>
    <x v="1"/>
    <x v="2"/>
    <n v="15900"/>
    <n v="5"/>
    <n v="79500"/>
  </r>
  <r>
    <s v="0107"/>
    <x v="32"/>
    <n v="7"/>
    <x v="17"/>
    <x v="2"/>
    <x v="2"/>
    <x v="2"/>
    <n v="15900"/>
    <n v="5"/>
    <n v="79500"/>
  </r>
  <r>
    <s v="0108"/>
    <x v="32"/>
    <n v="15"/>
    <x v="19"/>
    <x v="6"/>
    <x v="0"/>
    <x v="4"/>
    <n v="39900"/>
    <n v="2"/>
    <n v="79800"/>
  </r>
  <r>
    <s v="0109"/>
    <x v="32"/>
    <n v="20"/>
    <x v="8"/>
    <x v="3"/>
    <x v="3"/>
    <x v="2"/>
    <n v="15900"/>
    <n v="7"/>
    <n v="111300"/>
  </r>
  <r>
    <s v="0110"/>
    <x v="33"/>
    <n v="16"/>
    <x v="4"/>
    <x v="3"/>
    <x v="3"/>
    <x v="0"/>
    <n v="19900"/>
    <n v="6"/>
    <n v="119400"/>
  </r>
  <r>
    <s v="0111"/>
    <x v="33"/>
    <n v="19"/>
    <x v="13"/>
    <x v="4"/>
    <x v="3"/>
    <x v="4"/>
    <n v="39900"/>
    <n v="6"/>
    <n v="239400"/>
  </r>
  <r>
    <s v="0112"/>
    <x v="34"/>
    <n v="1"/>
    <x v="1"/>
    <x v="1"/>
    <x v="1"/>
    <x v="4"/>
    <n v="39900"/>
    <n v="2"/>
    <n v="79800"/>
  </r>
  <r>
    <s v="0113"/>
    <x v="35"/>
    <n v="17"/>
    <x v="6"/>
    <x v="3"/>
    <x v="3"/>
    <x v="4"/>
    <n v="39900"/>
    <n v="5"/>
    <n v="199500"/>
  </r>
  <r>
    <s v="0114"/>
    <x v="35"/>
    <n v="9"/>
    <x v="2"/>
    <x v="2"/>
    <x v="2"/>
    <x v="2"/>
    <n v="15900"/>
    <n v="4"/>
    <n v="63600"/>
  </r>
  <r>
    <s v="0115"/>
    <x v="35"/>
    <n v="2"/>
    <x v="18"/>
    <x v="7"/>
    <x v="1"/>
    <x v="3"/>
    <n v="6900"/>
    <n v="7"/>
    <n v="48300"/>
  </r>
  <r>
    <s v="0116"/>
    <x v="35"/>
    <n v="14"/>
    <x v="7"/>
    <x v="0"/>
    <x v="0"/>
    <x v="3"/>
    <n v="6900"/>
    <n v="7"/>
    <n v="48300"/>
  </r>
  <r>
    <s v="0117"/>
    <x v="35"/>
    <n v="14"/>
    <x v="7"/>
    <x v="0"/>
    <x v="0"/>
    <x v="4"/>
    <n v="39900"/>
    <n v="7"/>
    <n v="279300"/>
  </r>
  <r>
    <s v="0118"/>
    <x v="36"/>
    <n v="5"/>
    <x v="15"/>
    <x v="1"/>
    <x v="1"/>
    <x v="1"/>
    <n v="28900"/>
    <n v="2"/>
    <n v="57800"/>
  </r>
  <r>
    <s v="0119"/>
    <x v="36"/>
    <n v="5"/>
    <x v="15"/>
    <x v="1"/>
    <x v="1"/>
    <x v="0"/>
    <n v="19900"/>
    <n v="2"/>
    <n v="39800"/>
  </r>
  <r>
    <s v="0120"/>
    <x v="36"/>
    <n v="14"/>
    <x v="7"/>
    <x v="0"/>
    <x v="0"/>
    <x v="2"/>
    <n v="15900"/>
    <n v="3"/>
    <n v="47700"/>
  </r>
  <r>
    <s v="0121"/>
    <x v="37"/>
    <n v="15"/>
    <x v="19"/>
    <x v="0"/>
    <x v="0"/>
    <x v="0"/>
    <n v="19900"/>
    <n v="3"/>
    <n v="59700"/>
  </r>
  <r>
    <s v="0122"/>
    <x v="38"/>
    <n v="8"/>
    <x v="10"/>
    <x v="5"/>
    <x v="2"/>
    <x v="3"/>
    <n v="6900"/>
    <n v="6"/>
    <n v="41400"/>
  </r>
  <r>
    <s v="0123"/>
    <x v="38"/>
    <n v="2"/>
    <x v="18"/>
    <x v="1"/>
    <x v="1"/>
    <x v="1"/>
    <n v="28900"/>
    <n v="6"/>
    <n v="173400"/>
  </r>
  <r>
    <s v="0124"/>
    <x v="38"/>
    <n v="4"/>
    <x v="12"/>
    <x v="7"/>
    <x v="1"/>
    <x v="1"/>
    <n v="28900"/>
    <n v="7"/>
    <n v="202300"/>
  </r>
  <r>
    <s v="0125"/>
    <x v="38"/>
    <n v="10"/>
    <x v="14"/>
    <x v="2"/>
    <x v="2"/>
    <x v="2"/>
    <n v="15900"/>
    <n v="0"/>
    <n v="0"/>
  </r>
  <r>
    <s v="0126"/>
    <x v="38"/>
    <n v="18"/>
    <x v="3"/>
    <x v="3"/>
    <x v="3"/>
    <x v="4"/>
    <n v="39900"/>
    <n v="4"/>
    <n v="159600"/>
  </r>
  <r>
    <s v="0127"/>
    <x v="38"/>
    <n v="8"/>
    <x v="10"/>
    <x v="5"/>
    <x v="2"/>
    <x v="2"/>
    <n v="15900"/>
    <n v="4"/>
    <n v="63600"/>
  </r>
  <r>
    <s v="0128"/>
    <x v="39"/>
    <n v="11"/>
    <x v="0"/>
    <x v="6"/>
    <x v="0"/>
    <x v="0"/>
    <n v="19900"/>
    <n v="0"/>
    <n v="0"/>
  </r>
  <r>
    <s v="0129"/>
    <x v="40"/>
    <n v="6"/>
    <x v="11"/>
    <x v="2"/>
    <x v="2"/>
    <x v="0"/>
    <n v="19900"/>
    <n v="8"/>
    <n v="159200"/>
  </r>
  <r>
    <s v="0130"/>
    <x v="41"/>
    <n v="16"/>
    <x v="4"/>
    <x v="3"/>
    <x v="3"/>
    <x v="0"/>
    <n v="19900"/>
    <n v="0"/>
    <n v="0"/>
  </r>
  <r>
    <s v="0131"/>
    <x v="41"/>
    <n v="10"/>
    <x v="14"/>
    <x v="2"/>
    <x v="2"/>
    <x v="4"/>
    <n v="39900"/>
    <n v="3"/>
    <n v="119700"/>
  </r>
  <r>
    <s v="0132"/>
    <x v="41"/>
    <n v="7"/>
    <x v="17"/>
    <x v="2"/>
    <x v="2"/>
    <x v="2"/>
    <n v="15900"/>
    <n v="9"/>
    <n v="143100"/>
  </r>
  <r>
    <s v="0133"/>
    <x v="41"/>
    <n v="12"/>
    <x v="16"/>
    <x v="0"/>
    <x v="0"/>
    <x v="4"/>
    <n v="39900"/>
    <n v="9"/>
    <n v="359100"/>
  </r>
  <r>
    <s v="0134"/>
    <x v="42"/>
    <n v="13"/>
    <x v="5"/>
    <x v="0"/>
    <x v="0"/>
    <x v="2"/>
    <n v="15900"/>
    <n v="7"/>
    <n v="111300"/>
  </r>
  <r>
    <s v="0135"/>
    <x v="42"/>
    <n v="16"/>
    <x v="4"/>
    <x v="3"/>
    <x v="3"/>
    <x v="3"/>
    <n v="6900"/>
    <n v="5"/>
    <n v="34500"/>
  </r>
  <r>
    <s v="0136"/>
    <x v="43"/>
    <n v="6"/>
    <x v="11"/>
    <x v="5"/>
    <x v="2"/>
    <x v="0"/>
    <n v="19900"/>
    <n v="9"/>
    <n v="179100"/>
  </r>
  <r>
    <s v="0137"/>
    <x v="43"/>
    <n v="12"/>
    <x v="16"/>
    <x v="6"/>
    <x v="0"/>
    <x v="4"/>
    <n v="39900"/>
    <n v="3"/>
    <n v="119700"/>
  </r>
  <r>
    <s v="0138"/>
    <x v="43"/>
    <n v="14"/>
    <x v="7"/>
    <x v="6"/>
    <x v="0"/>
    <x v="4"/>
    <n v="39900"/>
    <n v="3"/>
    <n v="119700"/>
  </r>
  <r>
    <s v="0139"/>
    <x v="43"/>
    <n v="13"/>
    <x v="5"/>
    <x v="0"/>
    <x v="0"/>
    <x v="3"/>
    <n v="6900"/>
    <n v="4"/>
    <n v="27600"/>
  </r>
  <r>
    <s v="0140"/>
    <x v="43"/>
    <n v="15"/>
    <x v="19"/>
    <x v="6"/>
    <x v="0"/>
    <x v="4"/>
    <n v="39900"/>
    <n v="8"/>
    <n v="319200"/>
  </r>
  <r>
    <s v="0141"/>
    <x v="43"/>
    <n v="10"/>
    <x v="14"/>
    <x v="2"/>
    <x v="2"/>
    <x v="2"/>
    <n v="15900"/>
    <n v="8"/>
    <n v="127200"/>
  </r>
  <r>
    <s v="0142"/>
    <x v="43"/>
    <n v="10"/>
    <x v="14"/>
    <x v="2"/>
    <x v="2"/>
    <x v="1"/>
    <n v="28900"/>
    <n v="4"/>
    <n v="115600"/>
  </r>
  <r>
    <s v="0143"/>
    <x v="43"/>
    <n v="7"/>
    <x v="17"/>
    <x v="5"/>
    <x v="2"/>
    <x v="1"/>
    <n v="28900"/>
    <n v="5"/>
    <n v="144500"/>
  </r>
  <r>
    <s v="0144"/>
    <x v="43"/>
    <n v="13"/>
    <x v="5"/>
    <x v="6"/>
    <x v="0"/>
    <x v="2"/>
    <n v="15900"/>
    <n v="2"/>
    <n v="31800"/>
  </r>
  <r>
    <s v="0145"/>
    <x v="43"/>
    <n v="6"/>
    <x v="11"/>
    <x v="2"/>
    <x v="2"/>
    <x v="0"/>
    <n v="19900"/>
    <n v="6"/>
    <n v="119400"/>
  </r>
  <r>
    <s v="0146"/>
    <x v="43"/>
    <n v="8"/>
    <x v="10"/>
    <x v="5"/>
    <x v="2"/>
    <x v="0"/>
    <n v="19900"/>
    <n v="2"/>
    <n v="39800"/>
  </r>
  <r>
    <s v="0147"/>
    <x v="43"/>
    <n v="13"/>
    <x v="5"/>
    <x v="6"/>
    <x v="0"/>
    <x v="2"/>
    <n v="15900"/>
    <n v="5"/>
    <n v="79500"/>
  </r>
  <r>
    <s v="0148"/>
    <x v="43"/>
    <n v="2"/>
    <x v="18"/>
    <x v="7"/>
    <x v="1"/>
    <x v="4"/>
    <n v="39900"/>
    <n v="2"/>
    <n v="79800"/>
  </r>
  <r>
    <s v="0149"/>
    <x v="43"/>
    <n v="12"/>
    <x v="16"/>
    <x v="6"/>
    <x v="0"/>
    <x v="1"/>
    <n v="28900"/>
    <n v="8"/>
    <n v="231200"/>
  </r>
  <r>
    <s v="0150"/>
    <x v="43"/>
    <n v="8"/>
    <x v="10"/>
    <x v="5"/>
    <x v="2"/>
    <x v="0"/>
    <n v="19900"/>
    <n v="1"/>
    <n v="19900"/>
  </r>
  <r>
    <s v="0151"/>
    <x v="43"/>
    <n v="20"/>
    <x v="8"/>
    <x v="3"/>
    <x v="3"/>
    <x v="0"/>
    <n v="19900"/>
    <n v="8"/>
    <n v="159200"/>
  </r>
  <r>
    <s v="0152"/>
    <x v="43"/>
    <n v="12"/>
    <x v="16"/>
    <x v="0"/>
    <x v="0"/>
    <x v="2"/>
    <n v="15900"/>
    <n v="6"/>
    <n v="95400"/>
  </r>
  <r>
    <s v="0153"/>
    <x v="43"/>
    <n v="2"/>
    <x v="18"/>
    <x v="7"/>
    <x v="1"/>
    <x v="1"/>
    <n v="28900"/>
    <n v="2"/>
    <n v="57800"/>
  </r>
  <r>
    <s v="0154"/>
    <x v="44"/>
    <n v="8"/>
    <x v="10"/>
    <x v="2"/>
    <x v="2"/>
    <x v="3"/>
    <n v="6900"/>
    <n v="8"/>
    <n v="55200"/>
  </r>
  <r>
    <s v="0155"/>
    <x v="45"/>
    <n v="15"/>
    <x v="19"/>
    <x v="0"/>
    <x v="0"/>
    <x v="0"/>
    <n v="19900"/>
    <n v="9"/>
    <n v="179100"/>
  </r>
  <r>
    <s v="0156"/>
    <x v="45"/>
    <n v="18"/>
    <x v="3"/>
    <x v="4"/>
    <x v="3"/>
    <x v="2"/>
    <n v="15900"/>
    <n v="4"/>
    <n v="63600"/>
  </r>
  <r>
    <s v="0157"/>
    <x v="46"/>
    <n v="13"/>
    <x v="5"/>
    <x v="0"/>
    <x v="0"/>
    <x v="1"/>
    <n v="28900"/>
    <n v="3"/>
    <n v="86700"/>
  </r>
  <r>
    <s v="0158"/>
    <x v="46"/>
    <n v="11"/>
    <x v="0"/>
    <x v="6"/>
    <x v="0"/>
    <x v="0"/>
    <n v="19900"/>
    <n v="4"/>
    <n v="79600"/>
  </r>
  <r>
    <s v="0159"/>
    <x v="46"/>
    <n v="20"/>
    <x v="8"/>
    <x v="3"/>
    <x v="3"/>
    <x v="2"/>
    <n v="15900"/>
    <n v="6"/>
    <n v="95400"/>
  </r>
  <r>
    <s v="0160"/>
    <x v="46"/>
    <n v="1"/>
    <x v="1"/>
    <x v="1"/>
    <x v="1"/>
    <x v="0"/>
    <n v="19900"/>
    <n v="9"/>
    <n v="179100"/>
  </r>
  <r>
    <s v="0161"/>
    <x v="46"/>
    <n v="8"/>
    <x v="10"/>
    <x v="5"/>
    <x v="2"/>
    <x v="0"/>
    <n v="19900"/>
    <n v="2"/>
    <n v="39800"/>
  </r>
  <r>
    <s v="0162"/>
    <x v="46"/>
    <n v="15"/>
    <x v="19"/>
    <x v="6"/>
    <x v="0"/>
    <x v="3"/>
    <n v="6900"/>
    <n v="5"/>
    <n v="34500"/>
  </r>
  <r>
    <s v="0163"/>
    <x v="46"/>
    <n v="19"/>
    <x v="13"/>
    <x v="3"/>
    <x v="3"/>
    <x v="1"/>
    <n v="28900"/>
    <n v="7"/>
    <n v="202300"/>
  </r>
  <r>
    <s v="0164"/>
    <x v="47"/>
    <n v="13"/>
    <x v="5"/>
    <x v="6"/>
    <x v="0"/>
    <x v="3"/>
    <n v="6900"/>
    <n v="1"/>
    <n v="6900"/>
  </r>
  <r>
    <s v="0165"/>
    <x v="47"/>
    <n v="4"/>
    <x v="12"/>
    <x v="1"/>
    <x v="1"/>
    <x v="2"/>
    <n v="15900"/>
    <n v="1"/>
    <n v="15900"/>
  </r>
  <r>
    <s v="0166"/>
    <x v="48"/>
    <n v="15"/>
    <x v="19"/>
    <x v="0"/>
    <x v="0"/>
    <x v="3"/>
    <n v="6900"/>
    <n v="0"/>
    <n v="0"/>
  </r>
  <r>
    <s v="0167"/>
    <x v="48"/>
    <n v="12"/>
    <x v="16"/>
    <x v="6"/>
    <x v="0"/>
    <x v="3"/>
    <n v="6900"/>
    <n v="1"/>
    <n v="6900"/>
  </r>
  <r>
    <s v="0168"/>
    <x v="48"/>
    <n v="7"/>
    <x v="17"/>
    <x v="2"/>
    <x v="2"/>
    <x v="2"/>
    <n v="15900"/>
    <n v="2"/>
    <n v="31800"/>
  </r>
  <r>
    <s v="0169"/>
    <x v="48"/>
    <n v="10"/>
    <x v="14"/>
    <x v="5"/>
    <x v="2"/>
    <x v="3"/>
    <n v="6900"/>
    <n v="4"/>
    <n v="27600"/>
  </r>
  <r>
    <s v="0170"/>
    <x v="48"/>
    <n v="6"/>
    <x v="11"/>
    <x v="5"/>
    <x v="2"/>
    <x v="3"/>
    <n v="6900"/>
    <n v="3"/>
    <n v="20700"/>
  </r>
  <r>
    <s v="0171"/>
    <x v="49"/>
    <n v="8"/>
    <x v="10"/>
    <x v="5"/>
    <x v="2"/>
    <x v="4"/>
    <n v="39900"/>
    <n v="6"/>
    <n v="239400"/>
  </r>
  <r>
    <s v="0172"/>
    <x v="49"/>
    <n v="11"/>
    <x v="0"/>
    <x v="0"/>
    <x v="0"/>
    <x v="3"/>
    <n v="6900"/>
    <n v="5"/>
    <n v="34500"/>
  </r>
  <r>
    <s v="0173"/>
    <x v="49"/>
    <n v="2"/>
    <x v="18"/>
    <x v="7"/>
    <x v="1"/>
    <x v="4"/>
    <n v="39900"/>
    <n v="1"/>
    <n v="39900"/>
  </r>
  <r>
    <s v="0174"/>
    <x v="49"/>
    <n v="6"/>
    <x v="11"/>
    <x v="5"/>
    <x v="2"/>
    <x v="4"/>
    <n v="39900"/>
    <n v="6"/>
    <n v="239400"/>
  </r>
  <r>
    <s v="0175"/>
    <x v="50"/>
    <n v="11"/>
    <x v="0"/>
    <x v="0"/>
    <x v="0"/>
    <x v="1"/>
    <n v="28900"/>
    <n v="5"/>
    <n v="144500"/>
  </r>
  <r>
    <s v="0176"/>
    <x v="51"/>
    <n v="13"/>
    <x v="5"/>
    <x v="6"/>
    <x v="0"/>
    <x v="0"/>
    <n v="19900"/>
    <n v="6"/>
    <n v="119400"/>
  </r>
  <r>
    <s v="0177"/>
    <x v="51"/>
    <n v="8"/>
    <x v="10"/>
    <x v="5"/>
    <x v="2"/>
    <x v="1"/>
    <n v="28900"/>
    <n v="1"/>
    <n v="28900"/>
  </r>
  <r>
    <s v="0178"/>
    <x v="51"/>
    <n v="13"/>
    <x v="5"/>
    <x v="0"/>
    <x v="0"/>
    <x v="2"/>
    <n v="15900"/>
    <n v="1"/>
    <n v="15900"/>
  </r>
  <r>
    <s v="0179"/>
    <x v="51"/>
    <n v="1"/>
    <x v="1"/>
    <x v="1"/>
    <x v="1"/>
    <x v="1"/>
    <n v="28900"/>
    <n v="2"/>
    <n v="57800"/>
  </r>
  <r>
    <s v="0180"/>
    <x v="51"/>
    <n v="20"/>
    <x v="8"/>
    <x v="3"/>
    <x v="3"/>
    <x v="3"/>
    <n v="6900"/>
    <n v="3"/>
    <n v="20700"/>
  </r>
  <r>
    <s v="0181"/>
    <x v="51"/>
    <n v="20"/>
    <x v="8"/>
    <x v="4"/>
    <x v="3"/>
    <x v="3"/>
    <n v="6900"/>
    <n v="1"/>
    <n v="6900"/>
  </r>
  <r>
    <s v="0182"/>
    <x v="51"/>
    <n v="1"/>
    <x v="1"/>
    <x v="1"/>
    <x v="1"/>
    <x v="2"/>
    <n v="15900"/>
    <n v="2"/>
    <n v="31800"/>
  </r>
  <r>
    <s v="0183"/>
    <x v="52"/>
    <n v="10"/>
    <x v="14"/>
    <x v="2"/>
    <x v="2"/>
    <x v="0"/>
    <n v="19900"/>
    <n v="2"/>
    <n v="39800"/>
  </r>
  <r>
    <s v="0184"/>
    <x v="53"/>
    <n v="12"/>
    <x v="16"/>
    <x v="6"/>
    <x v="0"/>
    <x v="2"/>
    <n v="15900"/>
    <n v="7"/>
    <n v="111300"/>
  </r>
  <r>
    <s v="0185"/>
    <x v="53"/>
    <n v="4"/>
    <x v="12"/>
    <x v="7"/>
    <x v="1"/>
    <x v="4"/>
    <n v="39900"/>
    <n v="5"/>
    <n v="199500"/>
  </r>
  <r>
    <s v="0186"/>
    <x v="53"/>
    <n v="5"/>
    <x v="15"/>
    <x v="7"/>
    <x v="1"/>
    <x v="1"/>
    <n v="28900"/>
    <n v="4"/>
    <n v="115600"/>
  </r>
  <r>
    <s v="0187"/>
    <x v="54"/>
    <n v="17"/>
    <x v="6"/>
    <x v="3"/>
    <x v="3"/>
    <x v="4"/>
    <n v="39900"/>
    <n v="9"/>
    <n v="359100"/>
  </r>
  <r>
    <s v="0188"/>
    <x v="54"/>
    <n v="17"/>
    <x v="6"/>
    <x v="4"/>
    <x v="3"/>
    <x v="0"/>
    <n v="19900"/>
    <n v="6"/>
    <n v="119400"/>
  </r>
  <r>
    <s v="0189"/>
    <x v="55"/>
    <n v="20"/>
    <x v="8"/>
    <x v="3"/>
    <x v="3"/>
    <x v="4"/>
    <n v="39900"/>
    <n v="8"/>
    <n v="319200"/>
  </r>
  <r>
    <s v="0190"/>
    <x v="55"/>
    <n v="5"/>
    <x v="15"/>
    <x v="1"/>
    <x v="1"/>
    <x v="0"/>
    <n v="19900"/>
    <n v="5"/>
    <n v="99500"/>
  </r>
  <r>
    <s v="0191"/>
    <x v="55"/>
    <n v="11"/>
    <x v="0"/>
    <x v="0"/>
    <x v="0"/>
    <x v="2"/>
    <n v="15900"/>
    <n v="4"/>
    <n v="63600"/>
  </r>
  <r>
    <s v="0192"/>
    <x v="56"/>
    <n v="12"/>
    <x v="16"/>
    <x v="6"/>
    <x v="0"/>
    <x v="4"/>
    <n v="39900"/>
    <n v="0"/>
    <n v="0"/>
  </r>
  <r>
    <s v="0193"/>
    <x v="57"/>
    <n v="9"/>
    <x v="2"/>
    <x v="5"/>
    <x v="2"/>
    <x v="2"/>
    <n v="15900"/>
    <n v="1"/>
    <n v="15900"/>
  </r>
  <r>
    <s v="0194"/>
    <x v="57"/>
    <n v="4"/>
    <x v="12"/>
    <x v="1"/>
    <x v="1"/>
    <x v="0"/>
    <n v="19900"/>
    <n v="0"/>
    <n v="0"/>
  </r>
  <r>
    <s v="0195"/>
    <x v="57"/>
    <n v="15"/>
    <x v="19"/>
    <x v="6"/>
    <x v="0"/>
    <x v="2"/>
    <n v="15900"/>
    <n v="8"/>
    <n v="127200"/>
  </r>
  <r>
    <s v="0196"/>
    <x v="58"/>
    <n v="6"/>
    <x v="11"/>
    <x v="5"/>
    <x v="2"/>
    <x v="1"/>
    <n v="28900"/>
    <n v="9"/>
    <n v="260100"/>
  </r>
  <r>
    <s v="0197"/>
    <x v="59"/>
    <n v="18"/>
    <x v="3"/>
    <x v="4"/>
    <x v="3"/>
    <x v="3"/>
    <n v="6900"/>
    <n v="8"/>
    <n v="55200"/>
  </r>
  <r>
    <s v="0198"/>
    <x v="59"/>
    <n v="18"/>
    <x v="3"/>
    <x v="3"/>
    <x v="3"/>
    <x v="2"/>
    <n v="15900"/>
    <n v="6"/>
    <n v="95400"/>
  </r>
  <r>
    <s v="0199"/>
    <x v="60"/>
    <n v="17"/>
    <x v="6"/>
    <x v="4"/>
    <x v="3"/>
    <x v="2"/>
    <n v="15900"/>
    <n v="4"/>
    <n v="63600"/>
  </r>
  <r>
    <s v="0200"/>
    <x v="61"/>
    <n v="12"/>
    <x v="16"/>
    <x v="6"/>
    <x v="0"/>
    <x v="0"/>
    <n v="19900"/>
    <n v="4"/>
    <n v="79600"/>
  </r>
  <r>
    <s v="0201"/>
    <x v="62"/>
    <n v="18"/>
    <x v="3"/>
    <x v="3"/>
    <x v="3"/>
    <x v="1"/>
    <n v="28900"/>
    <n v="5"/>
    <n v="144500"/>
  </r>
  <r>
    <s v="0202"/>
    <x v="63"/>
    <n v="9"/>
    <x v="2"/>
    <x v="2"/>
    <x v="2"/>
    <x v="0"/>
    <n v="19900"/>
    <n v="0"/>
    <n v="0"/>
  </r>
  <r>
    <s v="0203"/>
    <x v="64"/>
    <n v="12"/>
    <x v="16"/>
    <x v="0"/>
    <x v="0"/>
    <x v="1"/>
    <n v="28900"/>
    <n v="7"/>
    <n v="202300"/>
  </r>
  <r>
    <s v="0204"/>
    <x v="65"/>
    <n v="2"/>
    <x v="18"/>
    <x v="1"/>
    <x v="1"/>
    <x v="0"/>
    <n v="19900"/>
    <n v="2"/>
    <n v="39800"/>
  </r>
  <r>
    <s v="0205"/>
    <x v="66"/>
    <n v="19"/>
    <x v="13"/>
    <x v="4"/>
    <x v="3"/>
    <x v="0"/>
    <n v="19900"/>
    <n v="5"/>
    <n v="99500"/>
  </r>
  <r>
    <s v="0206"/>
    <x v="66"/>
    <n v="5"/>
    <x v="15"/>
    <x v="7"/>
    <x v="1"/>
    <x v="4"/>
    <n v="39900"/>
    <n v="6"/>
    <n v="239400"/>
  </r>
  <r>
    <s v="0207"/>
    <x v="66"/>
    <n v="18"/>
    <x v="3"/>
    <x v="3"/>
    <x v="3"/>
    <x v="0"/>
    <n v="19900"/>
    <n v="6"/>
    <n v="119400"/>
  </r>
  <r>
    <s v="0208"/>
    <x v="66"/>
    <n v="6"/>
    <x v="11"/>
    <x v="2"/>
    <x v="2"/>
    <x v="0"/>
    <n v="19900"/>
    <n v="9"/>
    <n v="179100"/>
  </r>
  <r>
    <s v="0209"/>
    <x v="66"/>
    <n v="16"/>
    <x v="4"/>
    <x v="4"/>
    <x v="3"/>
    <x v="2"/>
    <n v="15900"/>
    <n v="3"/>
    <n v="47700"/>
  </r>
  <r>
    <s v="0210"/>
    <x v="66"/>
    <n v="14"/>
    <x v="7"/>
    <x v="0"/>
    <x v="0"/>
    <x v="4"/>
    <n v="39900"/>
    <n v="8"/>
    <n v="319200"/>
  </r>
  <r>
    <s v="0211"/>
    <x v="66"/>
    <n v="4"/>
    <x v="12"/>
    <x v="7"/>
    <x v="1"/>
    <x v="3"/>
    <n v="6900"/>
    <n v="4"/>
    <n v="27600"/>
  </r>
  <r>
    <s v="0212"/>
    <x v="66"/>
    <n v="2"/>
    <x v="18"/>
    <x v="1"/>
    <x v="1"/>
    <x v="0"/>
    <n v="19900"/>
    <n v="0"/>
    <n v="0"/>
  </r>
  <r>
    <s v="0213"/>
    <x v="67"/>
    <n v="1"/>
    <x v="1"/>
    <x v="7"/>
    <x v="1"/>
    <x v="2"/>
    <n v="15900"/>
    <n v="2"/>
    <n v="31800"/>
  </r>
  <r>
    <s v="0214"/>
    <x v="68"/>
    <n v="5"/>
    <x v="15"/>
    <x v="7"/>
    <x v="1"/>
    <x v="3"/>
    <n v="6900"/>
    <n v="6"/>
    <n v="41400"/>
  </r>
  <r>
    <s v="0215"/>
    <x v="69"/>
    <n v="3"/>
    <x v="9"/>
    <x v="1"/>
    <x v="1"/>
    <x v="0"/>
    <n v="19900"/>
    <n v="3"/>
    <n v="59700"/>
  </r>
  <r>
    <s v="0216"/>
    <x v="69"/>
    <n v="18"/>
    <x v="3"/>
    <x v="3"/>
    <x v="3"/>
    <x v="3"/>
    <n v="6900"/>
    <n v="9"/>
    <n v="62100"/>
  </r>
  <r>
    <s v="0217"/>
    <x v="69"/>
    <n v="12"/>
    <x v="16"/>
    <x v="6"/>
    <x v="0"/>
    <x v="1"/>
    <n v="28900"/>
    <n v="4"/>
    <n v="115600"/>
  </r>
  <r>
    <s v="0218"/>
    <x v="69"/>
    <n v="8"/>
    <x v="10"/>
    <x v="5"/>
    <x v="2"/>
    <x v="2"/>
    <n v="15900"/>
    <n v="2"/>
    <n v="31800"/>
  </r>
  <r>
    <s v="0219"/>
    <x v="69"/>
    <n v="7"/>
    <x v="17"/>
    <x v="5"/>
    <x v="2"/>
    <x v="2"/>
    <n v="15900"/>
    <n v="1"/>
    <n v="15900"/>
  </r>
  <r>
    <s v="0220"/>
    <x v="69"/>
    <n v="17"/>
    <x v="6"/>
    <x v="4"/>
    <x v="3"/>
    <x v="2"/>
    <n v="15900"/>
    <n v="2"/>
    <n v="31800"/>
  </r>
  <r>
    <s v="0221"/>
    <x v="69"/>
    <n v="13"/>
    <x v="5"/>
    <x v="0"/>
    <x v="0"/>
    <x v="2"/>
    <n v="15900"/>
    <n v="3"/>
    <n v="47700"/>
  </r>
  <r>
    <s v="0222"/>
    <x v="69"/>
    <n v="4"/>
    <x v="12"/>
    <x v="1"/>
    <x v="1"/>
    <x v="0"/>
    <n v="19900"/>
    <n v="8"/>
    <n v="159200"/>
  </r>
  <r>
    <s v="0223"/>
    <x v="69"/>
    <n v="10"/>
    <x v="14"/>
    <x v="5"/>
    <x v="2"/>
    <x v="2"/>
    <n v="15900"/>
    <n v="8"/>
    <n v="127200"/>
  </r>
  <r>
    <s v="0224"/>
    <x v="69"/>
    <n v="9"/>
    <x v="2"/>
    <x v="2"/>
    <x v="2"/>
    <x v="4"/>
    <n v="39900"/>
    <n v="6"/>
    <n v="239400"/>
  </r>
  <r>
    <s v="0225"/>
    <x v="69"/>
    <n v="2"/>
    <x v="18"/>
    <x v="1"/>
    <x v="1"/>
    <x v="4"/>
    <n v="39900"/>
    <n v="9"/>
    <n v="359100"/>
  </r>
  <r>
    <s v="0226"/>
    <x v="70"/>
    <n v="14"/>
    <x v="7"/>
    <x v="0"/>
    <x v="0"/>
    <x v="4"/>
    <n v="39900"/>
    <n v="1"/>
    <n v="39900"/>
  </r>
  <r>
    <s v="0227"/>
    <x v="71"/>
    <n v="14"/>
    <x v="7"/>
    <x v="0"/>
    <x v="0"/>
    <x v="4"/>
    <n v="39900"/>
    <n v="1"/>
    <n v="39900"/>
  </r>
  <r>
    <s v="0228"/>
    <x v="72"/>
    <n v="1"/>
    <x v="1"/>
    <x v="7"/>
    <x v="1"/>
    <x v="1"/>
    <n v="28900"/>
    <n v="2"/>
    <n v="57800"/>
  </r>
  <r>
    <s v="0229"/>
    <x v="72"/>
    <n v="17"/>
    <x v="6"/>
    <x v="3"/>
    <x v="3"/>
    <x v="1"/>
    <n v="28900"/>
    <n v="8"/>
    <n v="231200"/>
  </r>
  <r>
    <s v="0230"/>
    <x v="73"/>
    <n v="3"/>
    <x v="9"/>
    <x v="1"/>
    <x v="1"/>
    <x v="4"/>
    <n v="39900"/>
    <n v="6"/>
    <n v="239400"/>
  </r>
  <r>
    <s v="0231"/>
    <x v="73"/>
    <n v="19"/>
    <x v="13"/>
    <x v="3"/>
    <x v="3"/>
    <x v="0"/>
    <n v="19900"/>
    <n v="6"/>
    <n v="119400"/>
  </r>
  <r>
    <s v="0232"/>
    <x v="73"/>
    <n v="7"/>
    <x v="17"/>
    <x v="5"/>
    <x v="2"/>
    <x v="4"/>
    <n v="39900"/>
    <n v="9"/>
    <n v="359100"/>
  </r>
  <r>
    <s v="0233"/>
    <x v="73"/>
    <n v="9"/>
    <x v="2"/>
    <x v="5"/>
    <x v="2"/>
    <x v="3"/>
    <n v="6900"/>
    <n v="8"/>
    <n v="55200"/>
  </r>
  <r>
    <s v="0234"/>
    <x v="74"/>
    <n v="15"/>
    <x v="19"/>
    <x v="6"/>
    <x v="0"/>
    <x v="0"/>
    <n v="19900"/>
    <n v="2"/>
    <n v="39800"/>
  </r>
  <r>
    <s v="0235"/>
    <x v="74"/>
    <n v="2"/>
    <x v="18"/>
    <x v="1"/>
    <x v="1"/>
    <x v="1"/>
    <n v="28900"/>
    <n v="3"/>
    <n v="86700"/>
  </r>
  <r>
    <s v="0236"/>
    <x v="74"/>
    <n v="20"/>
    <x v="8"/>
    <x v="4"/>
    <x v="3"/>
    <x v="3"/>
    <n v="6900"/>
    <n v="8"/>
    <n v="55200"/>
  </r>
  <r>
    <s v="0237"/>
    <x v="74"/>
    <n v="4"/>
    <x v="12"/>
    <x v="1"/>
    <x v="1"/>
    <x v="3"/>
    <n v="6900"/>
    <n v="7"/>
    <n v="48300"/>
  </r>
  <r>
    <s v="0238"/>
    <x v="74"/>
    <n v="7"/>
    <x v="17"/>
    <x v="2"/>
    <x v="2"/>
    <x v="0"/>
    <n v="19900"/>
    <n v="3"/>
    <n v="59700"/>
  </r>
  <r>
    <s v="0239"/>
    <x v="74"/>
    <n v="16"/>
    <x v="4"/>
    <x v="4"/>
    <x v="3"/>
    <x v="4"/>
    <n v="39900"/>
    <n v="9"/>
    <n v="359100"/>
  </r>
  <r>
    <s v="0240"/>
    <x v="74"/>
    <n v="18"/>
    <x v="3"/>
    <x v="4"/>
    <x v="3"/>
    <x v="0"/>
    <n v="19900"/>
    <n v="5"/>
    <n v="99500"/>
  </r>
  <r>
    <s v="0241"/>
    <x v="74"/>
    <n v="4"/>
    <x v="12"/>
    <x v="1"/>
    <x v="1"/>
    <x v="3"/>
    <n v="6900"/>
    <n v="5"/>
    <n v="34500"/>
  </r>
  <r>
    <s v="0242"/>
    <x v="75"/>
    <n v="2"/>
    <x v="18"/>
    <x v="1"/>
    <x v="1"/>
    <x v="1"/>
    <n v="28900"/>
    <n v="0"/>
    <n v="0"/>
  </r>
  <r>
    <s v="0243"/>
    <x v="75"/>
    <n v="20"/>
    <x v="8"/>
    <x v="3"/>
    <x v="3"/>
    <x v="0"/>
    <n v="19900"/>
    <n v="4"/>
    <n v="79600"/>
  </r>
  <r>
    <s v="0244"/>
    <x v="75"/>
    <n v="4"/>
    <x v="12"/>
    <x v="1"/>
    <x v="1"/>
    <x v="2"/>
    <n v="15900"/>
    <n v="2"/>
    <n v="31800"/>
  </r>
  <r>
    <s v="0245"/>
    <x v="76"/>
    <n v="19"/>
    <x v="13"/>
    <x v="3"/>
    <x v="3"/>
    <x v="2"/>
    <n v="15900"/>
    <n v="0"/>
    <n v="0"/>
  </r>
  <r>
    <s v="0246"/>
    <x v="76"/>
    <n v="20"/>
    <x v="8"/>
    <x v="3"/>
    <x v="3"/>
    <x v="1"/>
    <n v="28900"/>
    <n v="4"/>
    <n v="115600"/>
  </r>
  <r>
    <s v="0247"/>
    <x v="76"/>
    <n v="6"/>
    <x v="11"/>
    <x v="2"/>
    <x v="2"/>
    <x v="1"/>
    <n v="28900"/>
    <n v="2"/>
    <n v="57800"/>
  </r>
  <r>
    <s v="0248"/>
    <x v="76"/>
    <n v="18"/>
    <x v="3"/>
    <x v="4"/>
    <x v="3"/>
    <x v="3"/>
    <n v="6900"/>
    <n v="5"/>
    <n v="34500"/>
  </r>
  <r>
    <s v="0249"/>
    <x v="76"/>
    <n v="19"/>
    <x v="13"/>
    <x v="3"/>
    <x v="3"/>
    <x v="4"/>
    <n v="39900"/>
    <n v="3"/>
    <n v="119700"/>
  </r>
  <r>
    <s v="0250"/>
    <x v="76"/>
    <n v="8"/>
    <x v="10"/>
    <x v="2"/>
    <x v="2"/>
    <x v="2"/>
    <n v="15900"/>
    <n v="7"/>
    <n v="111300"/>
  </r>
  <r>
    <s v="0251"/>
    <x v="76"/>
    <n v="2"/>
    <x v="18"/>
    <x v="7"/>
    <x v="1"/>
    <x v="4"/>
    <n v="39900"/>
    <n v="9"/>
    <n v="359100"/>
  </r>
  <r>
    <s v="0252"/>
    <x v="76"/>
    <n v="14"/>
    <x v="7"/>
    <x v="0"/>
    <x v="0"/>
    <x v="0"/>
    <n v="19900"/>
    <n v="2"/>
    <n v="39800"/>
  </r>
  <r>
    <s v="0253"/>
    <x v="76"/>
    <n v="16"/>
    <x v="4"/>
    <x v="3"/>
    <x v="3"/>
    <x v="4"/>
    <n v="39900"/>
    <n v="5"/>
    <n v="199500"/>
  </r>
  <r>
    <s v="0254"/>
    <x v="77"/>
    <n v="6"/>
    <x v="11"/>
    <x v="2"/>
    <x v="2"/>
    <x v="2"/>
    <n v="15900"/>
    <n v="4"/>
    <n v="63600"/>
  </r>
  <r>
    <s v="0255"/>
    <x v="77"/>
    <n v="5"/>
    <x v="15"/>
    <x v="7"/>
    <x v="1"/>
    <x v="0"/>
    <n v="19900"/>
    <n v="9"/>
    <n v="179100"/>
  </r>
  <r>
    <s v="0256"/>
    <x v="77"/>
    <n v="18"/>
    <x v="3"/>
    <x v="3"/>
    <x v="3"/>
    <x v="2"/>
    <n v="15900"/>
    <n v="2"/>
    <n v="31800"/>
  </r>
  <r>
    <s v="0257"/>
    <x v="77"/>
    <n v="2"/>
    <x v="18"/>
    <x v="1"/>
    <x v="1"/>
    <x v="3"/>
    <n v="6900"/>
    <n v="8"/>
    <n v="55200"/>
  </r>
  <r>
    <s v="0258"/>
    <x v="78"/>
    <n v="17"/>
    <x v="6"/>
    <x v="4"/>
    <x v="3"/>
    <x v="4"/>
    <n v="39900"/>
    <n v="5"/>
    <n v="199500"/>
  </r>
  <r>
    <s v="0259"/>
    <x v="78"/>
    <n v="16"/>
    <x v="4"/>
    <x v="3"/>
    <x v="3"/>
    <x v="1"/>
    <n v="28900"/>
    <n v="1"/>
    <n v="28900"/>
  </r>
  <r>
    <s v="0260"/>
    <x v="78"/>
    <n v="14"/>
    <x v="7"/>
    <x v="0"/>
    <x v="0"/>
    <x v="3"/>
    <n v="6900"/>
    <n v="9"/>
    <n v="62100"/>
  </r>
  <r>
    <s v="0261"/>
    <x v="79"/>
    <n v="4"/>
    <x v="12"/>
    <x v="1"/>
    <x v="1"/>
    <x v="0"/>
    <n v="19900"/>
    <n v="8"/>
    <n v="159200"/>
  </r>
  <r>
    <s v="0262"/>
    <x v="80"/>
    <n v="8"/>
    <x v="10"/>
    <x v="5"/>
    <x v="2"/>
    <x v="2"/>
    <n v="15900"/>
    <n v="1"/>
    <n v="15900"/>
  </r>
  <r>
    <s v="0263"/>
    <x v="81"/>
    <n v="7"/>
    <x v="17"/>
    <x v="5"/>
    <x v="2"/>
    <x v="2"/>
    <n v="15900"/>
    <n v="5"/>
    <n v="79500"/>
  </r>
  <r>
    <s v="0264"/>
    <x v="82"/>
    <n v="17"/>
    <x v="6"/>
    <x v="4"/>
    <x v="3"/>
    <x v="0"/>
    <n v="19900"/>
    <n v="1"/>
    <n v="19900"/>
  </r>
  <r>
    <s v="0265"/>
    <x v="82"/>
    <n v="17"/>
    <x v="6"/>
    <x v="3"/>
    <x v="3"/>
    <x v="1"/>
    <n v="28900"/>
    <n v="7"/>
    <n v="202300"/>
  </r>
  <r>
    <s v="0266"/>
    <x v="83"/>
    <n v="12"/>
    <x v="16"/>
    <x v="6"/>
    <x v="0"/>
    <x v="3"/>
    <n v="6900"/>
    <n v="4"/>
    <n v="27600"/>
  </r>
  <r>
    <s v="0267"/>
    <x v="83"/>
    <n v="16"/>
    <x v="4"/>
    <x v="3"/>
    <x v="3"/>
    <x v="0"/>
    <n v="19900"/>
    <n v="8"/>
    <n v="159200"/>
  </r>
  <r>
    <s v="0268"/>
    <x v="83"/>
    <n v="4"/>
    <x v="12"/>
    <x v="7"/>
    <x v="1"/>
    <x v="0"/>
    <n v="19900"/>
    <n v="1"/>
    <n v="19900"/>
  </r>
  <r>
    <s v="0269"/>
    <x v="83"/>
    <n v="20"/>
    <x v="8"/>
    <x v="3"/>
    <x v="3"/>
    <x v="0"/>
    <n v="19900"/>
    <n v="6"/>
    <n v="119400"/>
  </r>
  <r>
    <s v="0270"/>
    <x v="83"/>
    <n v="14"/>
    <x v="7"/>
    <x v="6"/>
    <x v="0"/>
    <x v="4"/>
    <n v="39900"/>
    <n v="9"/>
    <n v="359100"/>
  </r>
  <r>
    <s v="0271"/>
    <x v="83"/>
    <n v="14"/>
    <x v="7"/>
    <x v="0"/>
    <x v="0"/>
    <x v="0"/>
    <n v="19900"/>
    <n v="3"/>
    <n v="59700"/>
  </r>
  <r>
    <s v="0272"/>
    <x v="83"/>
    <n v="15"/>
    <x v="19"/>
    <x v="6"/>
    <x v="0"/>
    <x v="1"/>
    <n v="28900"/>
    <n v="7"/>
    <n v="202300"/>
  </r>
  <r>
    <s v="0273"/>
    <x v="83"/>
    <n v="3"/>
    <x v="9"/>
    <x v="7"/>
    <x v="1"/>
    <x v="0"/>
    <n v="19900"/>
    <n v="9"/>
    <n v="179100"/>
  </r>
  <r>
    <s v="0274"/>
    <x v="83"/>
    <n v="7"/>
    <x v="17"/>
    <x v="2"/>
    <x v="2"/>
    <x v="0"/>
    <n v="19900"/>
    <n v="3"/>
    <n v="59700"/>
  </r>
  <r>
    <s v="0275"/>
    <x v="83"/>
    <n v="7"/>
    <x v="17"/>
    <x v="5"/>
    <x v="2"/>
    <x v="1"/>
    <n v="28900"/>
    <n v="0"/>
    <n v="0"/>
  </r>
  <r>
    <s v="0276"/>
    <x v="83"/>
    <n v="2"/>
    <x v="18"/>
    <x v="1"/>
    <x v="1"/>
    <x v="2"/>
    <n v="15900"/>
    <n v="7"/>
    <n v="111300"/>
  </r>
  <r>
    <s v="0277"/>
    <x v="84"/>
    <n v="16"/>
    <x v="4"/>
    <x v="3"/>
    <x v="3"/>
    <x v="1"/>
    <n v="28900"/>
    <n v="3"/>
    <n v="86700"/>
  </r>
  <r>
    <s v="0278"/>
    <x v="84"/>
    <n v="6"/>
    <x v="11"/>
    <x v="2"/>
    <x v="2"/>
    <x v="4"/>
    <n v="39900"/>
    <n v="8"/>
    <n v="319200"/>
  </r>
  <r>
    <s v="0279"/>
    <x v="84"/>
    <n v="9"/>
    <x v="2"/>
    <x v="2"/>
    <x v="2"/>
    <x v="3"/>
    <n v="6900"/>
    <n v="9"/>
    <n v="62100"/>
  </r>
  <r>
    <s v="0280"/>
    <x v="84"/>
    <n v="16"/>
    <x v="4"/>
    <x v="4"/>
    <x v="3"/>
    <x v="0"/>
    <n v="19900"/>
    <n v="1"/>
    <n v="19900"/>
  </r>
  <r>
    <s v="0281"/>
    <x v="84"/>
    <n v="20"/>
    <x v="8"/>
    <x v="4"/>
    <x v="3"/>
    <x v="3"/>
    <n v="6900"/>
    <n v="3"/>
    <n v="20700"/>
  </r>
  <r>
    <s v="0282"/>
    <x v="85"/>
    <n v="16"/>
    <x v="4"/>
    <x v="3"/>
    <x v="3"/>
    <x v="2"/>
    <n v="15900"/>
    <n v="6"/>
    <n v="95400"/>
  </r>
  <r>
    <s v="0283"/>
    <x v="85"/>
    <n v="20"/>
    <x v="8"/>
    <x v="4"/>
    <x v="3"/>
    <x v="2"/>
    <n v="15900"/>
    <n v="0"/>
    <n v="0"/>
  </r>
  <r>
    <s v="0284"/>
    <x v="85"/>
    <n v="2"/>
    <x v="18"/>
    <x v="1"/>
    <x v="1"/>
    <x v="2"/>
    <n v="15900"/>
    <n v="4"/>
    <n v="63600"/>
  </r>
  <r>
    <s v="0285"/>
    <x v="85"/>
    <n v="11"/>
    <x v="0"/>
    <x v="0"/>
    <x v="0"/>
    <x v="1"/>
    <n v="28900"/>
    <n v="3"/>
    <n v="86700"/>
  </r>
  <r>
    <s v="0286"/>
    <x v="85"/>
    <n v="13"/>
    <x v="5"/>
    <x v="6"/>
    <x v="0"/>
    <x v="3"/>
    <n v="6900"/>
    <n v="6"/>
    <n v="41400"/>
  </r>
  <r>
    <s v="0287"/>
    <x v="85"/>
    <n v="4"/>
    <x v="12"/>
    <x v="1"/>
    <x v="1"/>
    <x v="1"/>
    <n v="28900"/>
    <n v="7"/>
    <n v="202300"/>
  </r>
  <r>
    <s v="0288"/>
    <x v="85"/>
    <n v="3"/>
    <x v="9"/>
    <x v="7"/>
    <x v="1"/>
    <x v="2"/>
    <n v="15900"/>
    <n v="2"/>
    <n v="31800"/>
  </r>
  <r>
    <s v="0289"/>
    <x v="86"/>
    <n v="20"/>
    <x v="8"/>
    <x v="4"/>
    <x v="3"/>
    <x v="1"/>
    <n v="28900"/>
    <n v="1"/>
    <n v="28900"/>
  </r>
  <r>
    <s v="0290"/>
    <x v="87"/>
    <n v="3"/>
    <x v="9"/>
    <x v="1"/>
    <x v="1"/>
    <x v="2"/>
    <n v="15900"/>
    <n v="9"/>
    <n v="143100"/>
  </r>
  <r>
    <s v="0291"/>
    <x v="88"/>
    <n v="19"/>
    <x v="13"/>
    <x v="3"/>
    <x v="3"/>
    <x v="3"/>
    <n v="6900"/>
    <n v="3"/>
    <n v="20700"/>
  </r>
  <r>
    <s v="0292"/>
    <x v="88"/>
    <n v="1"/>
    <x v="1"/>
    <x v="7"/>
    <x v="1"/>
    <x v="2"/>
    <n v="15900"/>
    <n v="0"/>
    <n v="0"/>
  </r>
  <r>
    <s v="0293"/>
    <x v="88"/>
    <n v="2"/>
    <x v="18"/>
    <x v="1"/>
    <x v="1"/>
    <x v="0"/>
    <n v="19900"/>
    <n v="7"/>
    <n v="139300"/>
  </r>
  <r>
    <s v="0294"/>
    <x v="88"/>
    <n v="16"/>
    <x v="4"/>
    <x v="3"/>
    <x v="3"/>
    <x v="2"/>
    <n v="15900"/>
    <n v="2"/>
    <n v="31800"/>
  </r>
  <r>
    <s v="0295"/>
    <x v="89"/>
    <n v="7"/>
    <x v="17"/>
    <x v="5"/>
    <x v="2"/>
    <x v="3"/>
    <n v="6900"/>
    <n v="3"/>
    <n v="20700"/>
  </r>
  <r>
    <s v="0296"/>
    <x v="89"/>
    <n v="9"/>
    <x v="2"/>
    <x v="2"/>
    <x v="2"/>
    <x v="3"/>
    <n v="6900"/>
    <n v="4"/>
    <n v="27600"/>
  </r>
  <r>
    <s v="0297"/>
    <x v="89"/>
    <n v="14"/>
    <x v="7"/>
    <x v="0"/>
    <x v="0"/>
    <x v="4"/>
    <n v="39900"/>
    <n v="5"/>
    <n v="199500"/>
  </r>
  <r>
    <s v="0298"/>
    <x v="89"/>
    <n v="13"/>
    <x v="5"/>
    <x v="6"/>
    <x v="0"/>
    <x v="3"/>
    <n v="6900"/>
    <n v="4"/>
    <n v="27600"/>
  </r>
  <r>
    <s v="0299"/>
    <x v="89"/>
    <n v="12"/>
    <x v="16"/>
    <x v="0"/>
    <x v="0"/>
    <x v="0"/>
    <n v="19900"/>
    <n v="8"/>
    <n v="159200"/>
  </r>
  <r>
    <s v="0300"/>
    <x v="90"/>
    <n v="7"/>
    <x v="17"/>
    <x v="2"/>
    <x v="2"/>
    <x v="3"/>
    <n v="6900"/>
    <n v="2"/>
    <n v="13800"/>
  </r>
  <r>
    <s v="0301"/>
    <x v="91"/>
    <n v="10"/>
    <x v="14"/>
    <x v="2"/>
    <x v="2"/>
    <x v="4"/>
    <n v="39900"/>
    <n v="9"/>
    <n v="359100"/>
  </r>
  <r>
    <s v="0302"/>
    <x v="92"/>
    <n v="6"/>
    <x v="11"/>
    <x v="5"/>
    <x v="2"/>
    <x v="3"/>
    <n v="6900"/>
    <n v="6"/>
    <n v="41400"/>
  </r>
  <r>
    <s v="0303"/>
    <x v="93"/>
    <n v="20"/>
    <x v="8"/>
    <x v="3"/>
    <x v="3"/>
    <x v="2"/>
    <n v="15900"/>
    <n v="0"/>
    <n v="0"/>
  </r>
  <r>
    <s v="0304"/>
    <x v="93"/>
    <n v="2"/>
    <x v="18"/>
    <x v="7"/>
    <x v="1"/>
    <x v="3"/>
    <n v="6900"/>
    <n v="1"/>
    <n v="6900"/>
  </r>
  <r>
    <s v="0305"/>
    <x v="94"/>
    <n v="8"/>
    <x v="10"/>
    <x v="5"/>
    <x v="2"/>
    <x v="1"/>
    <n v="28900"/>
    <n v="9"/>
    <n v="260100"/>
  </r>
  <r>
    <s v="0306"/>
    <x v="94"/>
    <n v="1"/>
    <x v="1"/>
    <x v="1"/>
    <x v="1"/>
    <x v="2"/>
    <n v="15900"/>
    <n v="3"/>
    <n v="47700"/>
  </r>
  <r>
    <s v="0307"/>
    <x v="94"/>
    <n v="4"/>
    <x v="12"/>
    <x v="1"/>
    <x v="1"/>
    <x v="0"/>
    <n v="19900"/>
    <n v="5"/>
    <n v="99500"/>
  </r>
  <r>
    <s v="0308"/>
    <x v="94"/>
    <n v="12"/>
    <x v="16"/>
    <x v="0"/>
    <x v="0"/>
    <x v="0"/>
    <n v="19900"/>
    <n v="6"/>
    <n v="119400"/>
  </r>
  <r>
    <s v="0309"/>
    <x v="95"/>
    <n v="15"/>
    <x v="19"/>
    <x v="0"/>
    <x v="0"/>
    <x v="1"/>
    <n v="28900"/>
    <n v="8"/>
    <n v="231200"/>
  </r>
  <r>
    <s v="0310"/>
    <x v="95"/>
    <n v="6"/>
    <x v="11"/>
    <x v="5"/>
    <x v="2"/>
    <x v="3"/>
    <n v="6900"/>
    <n v="0"/>
    <n v="0"/>
  </r>
  <r>
    <s v="0311"/>
    <x v="96"/>
    <n v="19"/>
    <x v="13"/>
    <x v="3"/>
    <x v="3"/>
    <x v="1"/>
    <n v="28900"/>
    <n v="5"/>
    <n v="144500"/>
  </r>
  <r>
    <s v="0312"/>
    <x v="96"/>
    <n v="18"/>
    <x v="3"/>
    <x v="3"/>
    <x v="3"/>
    <x v="0"/>
    <n v="19900"/>
    <n v="0"/>
    <n v="0"/>
  </r>
  <r>
    <s v="0313"/>
    <x v="96"/>
    <n v="7"/>
    <x v="17"/>
    <x v="2"/>
    <x v="2"/>
    <x v="0"/>
    <n v="19900"/>
    <n v="9"/>
    <n v="179100"/>
  </r>
  <r>
    <s v="0314"/>
    <x v="96"/>
    <n v="2"/>
    <x v="18"/>
    <x v="7"/>
    <x v="1"/>
    <x v="0"/>
    <n v="19900"/>
    <n v="5"/>
    <n v="99500"/>
  </r>
  <r>
    <s v="0315"/>
    <x v="97"/>
    <n v="19"/>
    <x v="13"/>
    <x v="3"/>
    <x v="3"/>
    <x v="0"/>
    <n v="19900"/>
    <n v="9"/>
    <n v="179100"/>
  </r>
  <r>
    <s v="0316"/>
    <x v="97"/>
    <n v="19"/>
    <x v="13"/>
    <x v="3"/>
    <x v="3"/>
    <x v="0"/>
    <n v="19900"/>
    <n v="8"/>
    <n v="159200"/>
  </r>
  <r>
    <s v="0317"/>
    <x v="98"/>
    <n v="2"/>
    <x v="18"/>
    <x v="1"/>
    <x v="1"/>
    <x v="0"/>
    <n v="19900"/>
    <n v="3"/>
    <n v="59700"/>
  </r>
  <r>
    <s v="0318"/>
    <x v="98"/>
    <n v="5"/>
    <x v="15"/>
    <x v="7"/>
    <x v="1"/>
    <x v="0"/>
    <n v="19900"/>
    <n v="4"/>
    <n v="79600"/>
  </r>
  <r>
    <s v="0319"/>
    <x v="99"/>
    <n v="14"/>
    <x v="7"/>
    <x v="0"/>
    <x v="0"/>
    <x v="3"/>
    <n v="6900"/>
    <n v="3"/>
    <n v="20700"/>
  </r>
  <r>
    <s v="0320"/>
    <x v="100"/>
    <n v="12"/>
    <x v="16"/>
    <x v="6"/>
    <x v="0"/>
    <x v="3"/>
    <n v="6900"/>
    <n v="0"/>
    <n v="0"/>
  </r>
  <r>
    <s v="0321"/>
    <x v="101"/>
    <n v="9"/>
    <x v="2"/>
    <x v="2"/>
    <x v="2"/>
    <x v="4"/>
    <n v="39900"/>
    <n v="1"/>
    <n v="39900"/>
  </r>
  <r>
    <s v="0322"/>
    <x v="102"/>
    <n v="2"/>
    <x v="18"/>
    <x v="1"/>
    <x v="1"/>
    <x v="1"/>
    <n v="28900"/>
    <n v="8"/>
    <n v="231200"/>
  </r>
  <r>
    <s v="0323"/>
    <x v="102"/>
    <n v="19"/>
    <x v="13"/>
    <x v="3"/>
    <x v="3"/>
    <x v="1"/>
    <n v="28900"/>
    <n v="3"/>
    <n v="86700"/>
  </r>
  <r>
    <s v="0324"/>
    <x v="103"/>
    <n v="17"/>
    <x v="6"/>
    <x v="4"/>
    <x v="3"/>
    <x v="2"/>
    <n v="15900"/>
    <n v="4"/>
    <n v="63600"/>
  </r>
  <r>
    <s v="0325"/>
    <x v="103"/>
    <n v="14"/>
    <x v="7"/>
    <x v="6"/>
    <x v="0"/>
    <x v="4"/>
    <n v="39900"/>
    <n v="3"/>
    <n v="119700"/>
  </r>
  <r>
    <s v="0326"/>
    <x v="103"/>
    <n v="7"/>
    <x v="17"/>
    <x v="2"/>
    <x v="2"/>
    <x v="3"/>
    <n v="6900"/>
    <n v="2"/>
    <n v="13800"/>
  </r>
  <r>
    <s v="0327"/>
    <x v="103"/>
    <n v="9"/>
    <x v="2"/>
    <x v="5"/>
    <x v="2"/>
    <x v="0"/>
    <n v="19900"/>
    <n v="9"/>
    <n v="179100"/>
  </r>
  <r>
    <s v="0328"/>
    <x v="103"/>
    <n v="8"/>
    <x v="10"/>
    <x v="2"/>
    <x v="2"/>
    <x v="0"/>
    <n v="19900"/>
    <n v="2"/>
    <n v="39800"/>
  </r>
  <r>
    <s v="0329"/>
    <x v="103"/>
    <n v="14"/>
    <x v="7"/>
    <x v="0"/>
    <x v="0"/>
    <x v="1"/>
    <n v="28900"/>
    <n v="4"/>
    <n v="115600"/>
  </r>
  <r>
    <s v="0330"/>
    <x v="103"/>
    <n v="7"/>
    <x v="17"/>
    <x v="5"/>
    <x v="2"/>
    <x v="4"/>
    <n v="39900"/>
    <n v="8"/>
    <n v="319200"/>
  </r>
  <r>
    <s v="0331"/>
    <x v="103"/>
    <n v="10"/>
    <x v="14"/>
    <x v="5"/>
    <x v="2"/>
    <x v="4"/>
    <n v="39900"/>
    <n v="9"/>
    <n v="359100"/>
  </r>
  <r>
    <s v="0332"/>
    <x v="103"/>
    <n v="6"/>
    <x v="11"/>
    <x v="5"/>
    <x v="2"/>
    <x v="0"/>
    <n v="19900"/>
    <n v="8"/>
    <n v="159200"/>
  </r>
  <r>
    <s v="0333"/>
    <x v="103"/>
    <n v="18"/>
    <x v="3"/>
    <x v="3"/>
    <x v="3"/>
    <x v="4"/>
    <n v="39900"/>
    <n v="4"/>
    <n v="159600"/>
  </r>
  <r>
    <s v="0334"/>
    <x v="104"/>
    <n v="4"/>
    <x v="12"/>
    <x v="7"/>
    <x v="1"/>
    <x v="1"/>
    <n v="28900"/>
    <n v="6"/>
    <n v="173400"/>
  </r>
  <r>
    <s v="0335"/>
    <x v="104"/>
    <n v="2"/>
    <x v="18"/>
    <x v="7"/>
    <x v="1"/>
    <x v="3"/>
    <n v="6900"/>
    <n v="9"/>
    <n v="62100"/>
  </r>
  <r>
    <s v="0336"/>
    <x v="105"/>
    <n v="4"/>
    <x v="12"/>
    <x v="1"/>
    <x v="1"/>
    <x v="2"/>
    <n v="15900"/>
    <n v="9"/>
    <n v="143100"/>
  </r>
  <r>
    <s v="0337"/>
    <x v="106"/>
    <n v="11"/>
    <x v="0"/>
    <x v="6"/>
    <x v="0"/>
    <x v="3"/>
    <n v="6900"/>
    <n v="8"/>
    <n v="55200"/>
  </r>
  <r>
    <s v="0338"/>
    <x v="106"/>
    <n v="13"/>
    <x v="5"/>
    <x v="0"/>
    <x v="0"/>
    <x v="4"/>
    <n v="39900"/>
    <n v="8"/>
    <n v="319200"/>
  </r>
  <r>
    <s v="0339"/>
    <x v="107"/>
    <n v="8"/>
    <x v="10"/>
    <x v="2"/>
    <x v="2"/>
    <x v="3"/>
    <n v="6900"/>
    <n v="6"/>
    <n v="41400"/>
  </r>
  <r>
    <s v="0340"/>
    <x v="108"/>
    <n v="8"/>
    <x v="10"/>
    <x v="5"/>
    <x v="2"/>
    <x v="2"/>
    <n v="15900"/>
    <n v="6"/>
    <n v="95400"/>
  </r>
  <r>
    <s v="0341"/>
    <x v="108"/>
    <n v="1"/>
    <x v="1"/>
    <x v="1"/>
    <x v="1"/>
    <x v="1"/>
    <n v="28900"/>
    <n v="3"/>
    <n v="86700"/>
  </r>
  <r>
    <s v="0342"/>
    <x v="108"/>
    <n v="19"/>
    <x v="13"/>
    <x v="4"/>
    <x v="3"/>
    <x v="3"/>
    <n v="6900"/>
    <n v="1"/>
    <n v="6900"/>
  </r>
  <r>
    <s v="0343"/>
    <x v="108"/>
    <n v="5"/>
    <x v="15"/>
    <x v="1"/>
    <x v="1"/>
    <x v="2"/>
    <n v="15900"/>
    <n v="0"/>
    <n v="0"/>
  </r>
  <r>
    <s v="0344"/>
    <x v="108"/>
    <n v="9"/>
    <x v="2"/>
    <x v="2"/>
    <x v="2"/>
    <x v="0"/>
    <n v="19900"/>
    <n v="6"/>
    <n v="119400"/>
  </r>
  <r>
    <s v="0345"/>
    <x v="108"/>
    <n v="13"/>
    <x v="5"/>
    <x v="0"/>
    <x v="0"/>
    <x v="0"/>
    <n v="19900"/>
    <n v="2"/>
    <n v="39800"/>
  </r>
  <r>
    <s v="0346"/>
    <x v="108"/>
    <n v="17"/>
    <x v="6"/>
    <x v="3"/>
    <x v="3"/>
    <x v="3"/>
    <n v="6900"/>
    <n v="2"/>
    <n v="13800"/>
  </r>
  <r>
    <s v="0347"/>
    <x v="108"/>
    <n v="18"/>
    <x v="3"/>
    <x v="3"/>
    <x v="3"/>
    <x v="0"/>
    <n v="19900"/>
    <n v="0"/>
    <n v="0"/>
  </r>
  <r>
    <s v="0348"/>
    <x v="108"/>
    <n v="19"/>
    <x v="13"/>
    <x v="3"/>
    <x v="3"/>
    <x v="1"/>
    <n v="28900"/>
    <n v="1"/>
    <n v="28900"/>
  </r>
  <r>
    <s v="0349"/>
    <x v="108"/>
    <n v="13"/>
    <x v="5"/>
    <x v="6"/>
    <x v="0"/>
    <x v="2"/>
    <n v="15900"/>
    <n v="5"/>
    <n v="79500"/>
  </r>
  <r>
    <s v="0350"/>
    <x v="108"/>
    <n v="3"/>
    <x v="9"/>
    <x v="1"/>
    <x v="1"/>
    <x v="4"/>
    <n v="39900"/>
    <n v="1"/>
    <n v="39900"/>
  </r>
  <r>
    <s v="0351"/>
    <x v="108"/>
    <n v="4"/>
    <x v="12"/>
    <x v="7"/>
    <x v="1"/>
    <x v="3"/>
    <n v="6900"/>
    <n v="6"/>
    <n v="41400"/>
  </r>
  <r>
    <s v="0352"/>
    <x v="108"/>
    <n v="10"/>
    <x v="14"/>
    <x v="5"/>
    <x v="2"/>
    <x v="2"/>
    <n v="15900"/>
    <n v="9"/>
    <n v="143100"/>
  </r>
  <r>
    <s v="0353"/>
    <x v="109"/>
    <n v="4"/>
    <x v="12"/>
    <x v="1"/>
    <x v="1"/>
    <x v="4"/>
    <n v="39900"/>
    <n v="1"/>
    <n v="39900"/>
  </r>
  <r>
    <s v="0354"/>
    <x v="109"/>
    <n v="5"/>
    <x v="15"/>
    <x v="1"/>
    <x v="1"/>
    <x v="3"/>
    <n v="6900"/>
    <n v="1"/>
    <n v="6900"/>
  </r>
  <r>
    <s v="0355"/>
    <x v="109"/>
    <n v="17"/>
    <x v="6"/>
    <x v="3"/>
    <x v="3"/>
    <x v="4"/>
    <n v="39900"/>
    <n v="6"/>
    <n v="239400"/>
  </r>
  <r>
    <s v="0356"/>
    <x v="110"/>
    <n v="18"/>
    <x v="3"/>
    <x v="4"/>
    <x v="3"/>
    <x v="0"/>
    <n v="19900"/>
    <n v="8"/>
    <n v="159200"/>
  </r>
  <r>
    <s v="0357"/>
    <x v="110"/>
    <n v="3"/>
    <x v="9"/>
    <x v="7"/>
    <x v="1"/>
    <x v="4"/>
    <n v="39900"/>
    <n v="2"/>
    <n v="79800"/>
  </r>
  <r>
    <s v="0358"/>
    <x v="111"/>
    <n v="2"/>
    <x v="18"/>
    <x v="1"/>
    <x v="1"/>
    <x v="3"/>
    <n v="6900"/>
    <n v="2"/>
    <n v="13800"/>
  </r>
  <r>
    <s v="0359"/>
    <x v="111"/>
    <n v="1"/>
    <x v="1"/>
    <x v="7"/>
    <x v="1"/>
    <x v="4"/>
    <n v="39900"/>
    <n v="5"/>
    <n v="199500"/>
  </r>
  <r>
    <s v="0360"/>
    <x v="111"/>
    <n v="19"/>
    <x v="13"/>
    <x v="3"/>
    <x v="3"/>
    <x v="0"/>
    <n v="19900"/>
    <n v="9"/>
    <n v="179100"/>
  </r>
  <r>
    <s v="0361"/>
    <x v="111"/>
    <n v="10"/>
    <x v="14"/>
    <x v="2"/>
    <x v="2"/>
    <x v="3"/>
    <n v="6900"/>
    <n v="7"/>
    <n v="48300"/>
  </r>
  <r>
    <s v="0362"/>
    <x v="111"/>
    <n v="5"/>
    <x v="15"/>
    <x v="1"/>
    <x v="1"/>
    <x v="4"/>
    <n v="39900"/>
    <n v="2"/>
    <n v="79800"/>
  </r>
  <r>
    <s v="0363"/>
    <x v="111"/>
    <n v="5"/>
    <x v="15"/>
    <x v="7"/>
    <x v="1"/>
    <x v="2"/>
    <n v="15900"/>
    <n v="5"/>
    <n v="79500"/>
  </r>
  <r>
    <s v="0364"/>
    <x v="111"/>
    <n v="16"/>
    <x v="4"/>
    <x v="4"/>
    <x v="3"/>
    <x v="2"/>
    <n v="15900"/>
    <n v="9"/>
    <n v="143100"/>
  </r>
  <r>
    <s v="0365"/>
    <x v="112"/>
    <n v="7"/>
    <x v="17"/>
    <x v="2"/>
    <x v="2"/>
    <x v="1"/>
    <n v="28900"/>
    <n v="9"/>
    <n v="260100"/>
  </r>
  <r>
    <s v="0366"/>
    <x v="112"/>
    <n v="7"/>
    <x v="17"/>
    <x v="5"/>
    <x v="2"/>
    <x v="3"/>
    <n v="6900"/>
    <n v="0"/>
    <n v="0"/>
  </r>
  <r>
    <s v="0367"/>
    <x v="113"/>
    <n v="7"/>
    <x v="17"/>
    <x v="2"/>
    <x v="2"/>
    <x v="1"/>
    <n v="28900"/>
    <n v="2"/>
    <n v="57800"/>
  </r>
  <r>
    <s v="0368"/>
    <x v="113"/>
    <n v="8"/>
    <x v="10"/>
    <x v="2"/>
    <x v="2"/>
    <x v="1"/>
    <n v="28900"/>
    <n v="6"/>
    <n v="173400"/>
  </r>
  <r>
    <s v="0369"/>
    <x v="113"/>
    <n v="6"/>
    <x v="11"/>
    <x v="5"/>
    <x v="2"/>
    <x v="2"/>
    <n v="15900"/>
    <n v="7"/>
    <n v="111300"/>
  </r>
  <r>
    <s v="0370"/>
    <x v="113"/>
    <n v="15"/>
    <x v="19"/>
    <x v="6"/>
    <x v="0"/>
    <x v="0"/>
    <n v="19900"/>
    <n v="4"/>
    <n v="79600"/>
  </r>
  <r>
    <s v="0371"/>
    <x v="113"/>
    <n v="18"/>
    <x v="3"/>
    <x v="4"/>
    <x v="3"/>
    <x v="2"/>
    <n v="15900"/>
    <n v="8"/>
    <n v="127200"/>
  </r>
  <r>
    <s v="0372"/>
    <x v="113"/>
    <n v="7"/>
    <x v="17"/>
    <x v="2"/>
    <x v="2"/>
    <x v="1"/>
    <n v="28900"/>
    <n v="8"/>
    <n v="231200"/>
  </r>
  <r>
    <s v="0373"/>
    <x v="113"/>
    <n v="15"/>
    <x v="19"/>
    <x v="0"/>
    <x v="0"/>
    <x v="0"/>
    <n v="19900"/>
    <n v="6"/>
    <n v="119400"/>
  </r>
  <r>
    <s v="0374"/>
    <x v="114"/>
    <n v="5"/>
    <x v="15"/>
    <x v="1"/>
    <x v="1"/>
    <x v="4"/>
    <n v="39900"/>
    <n v="3"/>
    <n v="119700"/>
  </r>
  <r>
    <s v="0375"/>
    <x v="114"/>
    <n v="15"/>
    <x v="19"/>
    <x v="6"/>
    <x v="0"/>
    <x v="2"/>
    <n v="15900"/>
    <n v="4"/>
    <n v="63600"/>
  </r>
  <r>
    <s v="0376"/>
    <x v="114"/>
    <n v="16"/>
    <x v="4"/>
    <x v="4"/>
    <x v="3"/>
    <x v="3"/>
    <n v="6900"/>
    <n v="3"/>
    <n v="20700"/>
  </r>
  <r>
    <s v="0377"/>
    <x v="114"/>
    <n v="12"/>
    <x v="16"/>
    <x v="6"/>
    <x v="0"/>
    <x v="0"/>
    <n v="19900"/>
    <n v="6"/>
    <n v="119400"/>
  </r>
  <r>
    <s v="0378"/>
    <x v="114"/>
    <n v="11"/>
    <x v="0"/>
    <x v="0"/>
    <x v="0"/>
    <x v="4"/>
    <n v="39900"/>
    <n v="3"/>
    <n v="119700"/>
  </r>
  <r>
    <s v="0379"/>
    <x v="114"/>
    <n v="15"/>
    <x v="19"/>
    <x v="0"/>
    <x v="0"/>
    <x v="2"/>
    <n v="15900"/>
    <n v="0"/>
    <n v="0"/>
  </r>
  <r>
    <s v="0380"/>
    <x v="115"/>
    <n v="19"/>
    <x v="13"/>
    <x v="4"/>
    <x v="3"/>
    <x v="2"/>
    <n v="15900"/>
    <n v="5"/>
    <n v="79500"/>
  </r>
  <r>
    <s v="0381"/>
    <x v="116"/>
    <n v="5"/>
    <x v="15"/>
    <x v="1"/>
    <x v="1"/>
    <x v="3"/>
    <n v="6900"/>
    <n v="5"/>
    <n v="34500"/>
  </r>
  <r>
    <s v="0382"/>
    <x v="117"/>
    <n v="7"/>
    <x v="17"/>
    <x v="5"/>
    <x v="2"/>
    <x v="3"/>
    <n v="6900"/>
    <n v="8"/>
    <n v="55200"/>
  </r>
  <r>
    <s v="0383"/>
    <x v="117"/>
    <n v="2"/>
    <x v="18"/>
    <x v="1"/>
    <x v="1"/>
    <x v="2"/>
    <n v="15900"/>
    <n v="7"/>
    <n v="111300"/>
  </r>
  <r>
    <s v="0384"/>
    <x v="117"/>
    <n v="1"/>
    <x v="1"/>
    <x v="7"/>
    <x v="1"/>
    <x v="2"/>
    <n v="15900"/>
    <n v="5"/>
    <n v="79500"/>
  </r>
  <r>
    <s v="0385"/>
    <x v="117"/>
    <n v="17"/>
    <x v="6"/>
    <x v="4"/>
    <x v="3"/>
    <x v="1"/>
    <n v="28900"/>
    <n v="3"/>
    <n v="86700"/>
  </r>
  <r>
    <s v="0386"/>
    <x v="117"/>
    <n v="3"/>
    <x v="9"/>
    <x v="1"/>
    <x v="1"/>
    <x v="4"/>
    <n v="39900"/>
    <n v="2"/>
    <n v="79800"/>
  </r>
  <r>
    <s v="0387"/>
    <x v="117"/>
    <n v="9"/>
    <x v="2"/>
    <x v="5"/>
    <x v="2"/>
    <x v="2"/>
    <n v="15900"/>
    <n v="8"/>
    <n v="127200"/>
  </r>
  <r>
    <s v="0388"/>
    <x v="117"/>
    <n v="20"/>
    <x v="8"/>
    <x v="4"/>
    <x v="3"/>
    <x v="3"/>
    <n v="6900"/>
    <n v="4"/>
    <n v="27600"/>
  </r>
  <r>
    <s v="0389"/>
    <x v="117"/>
    <n v="13"/>
    <x v="5"/>
    <x v="6"/>
    <x v="0"/>
    <x v="1"/>
    <n v="28900"/>
    <n v="3"/>
    <n v="86700"/>
  </r>
  <r>
    <s v="0390"/>
    <x v="117"/>
    <n v="1"/>
    <x v="1"/>
    <x v="7"/>
    <x v="1"/>
    <x v="1"/>
    <n v="28900"/>
    <n v="4"/>
    <n v="115600"/>
  </r>
  <r>
    <s v="0391"/>
    <x v="117"/>
    <n v="10"/>
    <x v="14"/>
    <x v="5"/>
    <x v="2"/>
    <x v="0"/>
    <n v="19900"/>
    <n v="0"/>
    <n v="0"/>
  </r>
  <r>
    <s v="0392"/>
    <x v="118"/>
    <n v="8"/>
    <x v="10"/>
    <x v="2"/>
    <x v="2"/>
    <x v="1"/>
    <n v="28900"/>
    <n v="0"/>
    <n v="0"/>
  </r>
  <r>
    <s v="0393"/>
    <x v="118"/>
    <n v="14"/>
    <x v="7"/>
    <x v="6"/>
    <x v="0"/>
    <x v="3"/>
    <n v="6900"/>
    <n v="7"/>
    <n v="48300"/>
  </r>
  <r>
    <s v="0394"/>
    <x v="119"/>
    <n v="18"/>
    <x v="3"/>
    <x v="3"/>
    <x v="3"/>
    <x v="0"/>
    <n v="19900"/>
    <n v="3"/>
    <n v="59700"/>
  </r>
  <r>
    <s v="0395"/>
    <x v="120"/>
    <n v="18"/>
    <x v="3"/>
    <x v="3"/>
    <x v="3"/>
    <x v="3"/>
    <n v="6900"/>
    <n v="3"/>
    <n v="20700"/>
  </r>
  <r>
    <s v="0396"/>
    <x v="121"/>
    <n v="14"/>
    <x v="7"/>
    <x v="6"/>
    <x v="0"/>
    <x v="2"/>
    <n v="15900"/>
    <n v="5"/>
    <n v="79500"/>
  </r>
  <r>
    <s v="0397"/>
    <x v="121"/>
    <n v="19"/>
    <x v="13"/>
    <x v="4"/>
    <x v="3"/>
    <x v="1"/>
    <n v="28900"/>
    <n v="1"/>
    <n v="28900"/>
  </r>
  <r>
    <s v="0398"/>
    <x v="122"/>
    <n v="18"/>
    <x v="3"/>
    <x v="4"/>
    <x v="3"/>
    <x v="2"/>
    <n v="15900"/>
    <n v="0"/>
    <n v="0"/>
  </r>
  <r>
    <s v="0399"/>
    <x v="122"/>
    <n v="5"/>
    <x v="15"/>
    <x v="7"/>
    <x v="1"/>
    <x v="4"/>
    <n v="39900"/>
    <n v="7"/>
    <n v="279300"/>
  </r>
  <r>
    <s v="0400"/>
    <x v="122"/>
    <n v="19"/>
    <x v="13"/>
    <x v="3"/>
    <x v="3"/>
    <x v="1"/>
    <n v="28900"/>
    <n v="6"/>
    <n v="173400"/>
  </r>
  <r>
    <s v="0401"/>
    <x v="123"/>
    <n v="5"/>
    <x v="15"/>
    <x v="1"/>
    <x v="1"/>
    <x v="3"/>
    <n v="6900"/>
    <n v="0"/>
    <n v="0"/>
  </r>
  <r>
    <s v="0402"/>
    <x v="124"/>
    <n v="16"/>
    <x v="4"/>
    <x v="4"/>
    <x v="3"/>
    <x v="1"/>
    <n v="28900"/>
    <n v="8"/>
    <n v="231200"/>
  </r>
  <r>
    <s v="0403"/>
    <x v="124"/>
    <n v="12"/>
    <x v="16"/>
    <x v="6"/>
    <x v="0"/>
    <x v="4"/>
    <n v="39900"/>
    <n v="6"/>
    <n v="239400"/>
  </r>
  <r>
    <s v="0404"/>
    <x v="125"/>
    <n v="5"/>
    <x v="15"/>
    <x v="1"/>
    <x v="1"/>
    <x v="2"/>
    <n v="15900"/>
    <n v="9"/>
    <n v="143100"/>
  </r>
  <r>
    <s v="0405"/>
    <x v="125"/>
    <n v="1"/>
    <x v="1"/>
    <x v="1"/>
    <x v="1"/>
    <x v="2"/>
    <n v="15900"/>
    <n v="5"/>
    <n v="79500"/>
  </r>
  <r>
    <s v="0406"/>
    <x v="125"/>
    <n v="6"/>
    <x v="11"/>
    <x v="5"/>
    <x v="2"/>
    <x v="2"/>
    <n v="15900"/>
    <n v="8"/>
    <n v="127200"/>
  </r>
  <r>
    <s v="0407"/>
    <x v="125"/>
    <n v="16"/>
    <x v="4"/>
    <x v="4"/>
    <x v="3"/>
    <x v="3"/>
    <n v="6900"/>
    <n v="7"/>
    <n v="48300"/>
  </r>
  <r>
    <s v="0408"/>
    <x v="125"/>
    <n v="4"/>
    <x v="12"/>
    <x v="7"/>
    <x v="1"/>
    <x v="1"/>
    <n v="28900"/>
    <n v="6"/>
    <n v="173400"/>
  </r>
  <r>
    <s v="0409"/>
    <x v="125"/>
    <n v="16"/>
    <x v="4"/>
    <x v="3"/>
    <x v="3"/>
    <x v="0"/>
    <n v="19900"/>
    <n v="3"/>
    <n v="59700"/>
  </r>
  <r>
    <s v="0410"/>
    <x v="125"/>
    <n v="16"/>
    <x v="4"/>
    <x v="4"/>
    <x v="3"/>
    <x v="2"/>
    <n v="15900"/>
    <n v="4"/>
    <n v="63600"/>
  </r>
  <r>
    <s v="0411"/>
    <x v="125"/>
    <n v="8"/>
    <x v="10"/>
    <x v="5"/>
    <x v="2"/>
    <x v="2"/>
    <n v="15900"/>
    <n v="4"/>
    <n v="63600"/>
  </r>
  <r>
    <s v="0412"/>
    <x v="125"/>
    <n v="13"/>
    <x v="5"/>
    <x v="0"/>
    <x v="0"/>
    <x v="3"/>
    <n v="6900"/>
    <n v="7"/>
    <n v="48300"/>
  </r>
  <r>
    <s v="0413"/>
    <x v="125"/>
    <n v="3"/>
    <x v="9"/>
    <x v="7"/>
    <x v="1"/>
    <x v="0"/>
    <n v="19900"/>
    <n v="1"/>
    <n v="19900"/>
  </r>
  <r>
    <s v="0414"/>
    <x v="126"/>
    <n v="19"/>
    <x v="13"/>
    <x v="3"/>
    <x v="3"/>
    <x v="3"/>
    <n v="6900"/>
    <n v="6"/>
    <n v="41400"/>
  </r>
  <r>
    <s v="0415"/>
    <x v="127"/>
    <n v="17"/>
    <x v="6"/>
    <x v="4"/>
    <x v="3"/>
    <x v="2"/>
    <n v="15900"/>
    <n v="7"/>
    <n v="111300"/>
  </r>
  <r>
    <s v="0416"/>
    <x v="127"/>
    <n v="13"/>
    <x v="5"/>
    <x v="0"/>
    <x v="0"/>
    <x v="0"/>
    <n v="19900"/>
    <n v="1"/>
    <n v="19900"/>
  </r>
  <r>
    <s v="0417"/>
    <x v="128"/>
    <n v="2"/>
    <x v="18"/>
    <x v="1"/>
    <x v="1"/>
    <x v="4"/>
    <n v="39900"/>
    <n v="1"/>
    <n v="39900"/>
  </r>
  <r>
    <s v="0418"/>
    <x v="129"/>
    <n v="6"/>
    <x v="11"/>
    <x v="5"/>
    <x v="2"/>
    <x v="2"/>
    <n v="15900"/>
    <n v="9"/>
    <n v="143100"/>
  </r>
  <r>
    <s v="0419"/>
    <x v="129"/>
    <n v="14"/>
    <x v="7"/>
    <x v="0"/>
    <x v="0"/>
    <x v="0"/>
    <n v="19900"/>
    <n v="3"/>
    <n v="59700"/>
  </r>
  <r>
    <s v="0420"/>
    <x v="130"/>
    <n v="18"/>
    <x v="3"/>
    <x v="4"/>
    <x v="3"/>
    <x v="2"/>
    <n v="15900"/>
    <n v="9"/>
    <n v="143100"/>
  </r>
  <r>
    <s v="0421"/>
    <x v="130"/>
    <n v="6"/>
    <x v="11"/>
    <x v="5"/>
    <x v="2"/>
    <x v="2"/>
    <n v="15900"/>
    <n v="4"/>
    <n v="63600"/>
  </r>
  <r>
    <s v="0422"/>
    <x v="131"/>
    <n v="4"/>
    <x v="12"/>
    <x v="7"/>
    <x v="1"/>
    <x v="2"/>
    <n v="15900"/>
    <n v="9"/>
    <n v="143100"/>
  </r>
  <r>
    <s v="0423"/>
    <x v="131"/>
    <n v="5"/>
    <x v="15"/>
    <x v="7"/>
    <x v="1"/>
    <x v="3"/>
    <n v="6900"/>
    <n v="4"/>
    <n v="27600"/>
  </r>
  <r>
    <s v="0424"/>
    <x v="131"/>
    <n v="1"/>
    <x v="1"/>
    <x v="7"/>
    <x v="1"/>
    <x v="3"/>
    <n v="6900"/>
    <n v="8"/>
    <n v="55200"/>
  </r>
  <r>
    <s v="0425"/>
    <x v="131"/>
    <n v="1"/>
    <x v="1"/>
    <x v="7"/>
    <x v="1"/>
    <x v="1"/>
    <n v="28900"/>
    <n v="7"/>
    <n v="202300"/>
  </r>
  <r>
    <s v="0426"/>
    <x v="131"/>
    <n v="17"/>
    <x v="6"/>
    <x v="4"/>
    <x v="3"/>
    <x v="0"/>
    <n v="19900"/>
    <n v="8"/>
    <n v="159200"/>
  </r>
  <r>
    <s v="0427"/>
    <x v="132"/>
    <n v="5"/>
    <x v="15"/>
    <x v="1"/>
    <x v="1"/>
    <x v="0"/>
    <n v="19900"/>
    <n v="6"/>
    <n v="119400"/>
  </r>
  <r>
    <s v="0428"/>
    <x v="132"/>
    <n v="13"/>
    <x v="5"/>
    <x v="6"/>
    <x v="0"/>
    <x v="3"/>
    <n v="6900"/>
    <n v="3"/>
    <n v="20700"/>
  </r>
  <r>
    <s v="0429"/>
    <x v="133"/>
    <n v="18"/>
    <x v="3"/>
    <x v="4"/>
    <x v="3"/>
    <x v="3"/>
    <n v="6900"/>
    <n v="9"/>
    <n v="62100"/>
  </r>
  <r>
    <s v="0430"/>
    <x v="134"/>
    <n v="16"/>
    <x v="4"/>
    <x v="4"/>
    <x v="3"/>
    <x v="1"/>
    <n v="28900"/>
    <n v="7"/>
    <n v="202300"/>
  </r>
  <r>
    <s v="0431"/>
    <x v="134"/>
    <n v="4"/>
    <x v="12"/>
    <x v="7"/>
    <x v="1"/>
    <x v="1"/>
    <n v="28900"/>
    <n v="6"/>
    <n v="173400"/>
  </r>
  <r>
    <s v="0432"/>
    <x v="134"/>
    <n v="2"/>
    <x v="18"/>
    <x v="1"/>
    <x v="1"/>
    <x v="4"/>
    <n v="39900"/>
    <n v="3"/>
    <n v="119700"/>
  </r>
  <r>
    <s v="0433"/>
    <x v="134"/>
    <n v="3"/>
    <x v="9"/>
    <x v="1"/>
    <x v="1"/>
    <x v="1"/>
    <n v="28900"/>
    <n v="0"/>
    <n v="0"/>
  </r>
  <r>
    <s v="0434"/>
    <x v="134"/>
    <n v="9"/>
    <x v="2"/>
    <x v="2"/>
    <x v="2"/>
    <x v="1"/>
    <n v="28900"/>
    <n v="5"/>
    <n v="144500"/>
  </r>
  <r>
    <s v="0435"/>
    <x v="134"/>
    <n v="8"/>
    <x v="10"/>
    <x v="5"/>
    <x v="2"/>
    <x v="1"/>
    <n v="28900"/>
    <n v="5"/>
    <n v="144500"/>
  </r>
  <r>
    <s v="0436"/>
    <x v="134"/>
    <n v="17"/>
    <x v="6"/>
    <x v="4"/>
    <x v="3"/>
    <x v="0"/>
    <n v="19900"/>
    <n v="0"/>
    <n v="0"/>
  </r>
  <r>
    <s v="0437"/>
    <x v="134"/>
    <n v="2"/>
    <x v="18"/>
    <x v="7"/>
    <x v="1"/>
    <x v="3"/>
    <n v="6900"/>
    <n v="7"/>
    <n v="48300"/>
  </r>
  <r>
    <s v="0438"/>
    <x v="134"/>
    <n v="2"/>
    <x v="18"/>
    <x v="7"/>
    <x v="1"/>
    <x v="3"/>
    <n v="6900"/>
    <n v="6"/>
    <n v="41400"/>
  </r>
  <r>
    <s v="0439"/>
    <x v="134"/>
    <n v="16"/>
    <x v="4"/>
    <x v="4"/>
    <x v="3"/>
    <x v="2"/>
    <n v="15900"/>
    <n v="1"/>
    <n v="15900"/>
  </r>
  <r>
    <s v="0440"/>
    <x v="134"/>
    <n v="19"/>
    <x v="13"/>
    <x v="4"/>
    <x v="3"/>
    <x v="3"/>
    <n v="6900"/>
    <n v="8"/>
    <n v="55200"/>
  </r>
  <r>
    <s v="0441"/>
    <x v="134"/>
    <n v="18"/>
    <x v="3"/>
    <x v="4"/>
    <x v="3"/>
    <x v="0"/>
    <n v="19900"/>
    <n v="6"/>
    <n v="119400"/>
  </r>
  <r>
    <s v="0442"/>
    <x v="134"/>
    <n v="1"/>
    <x v="1"/>
    <x v="1"/>
    <x v="1"/>
    <x v="4"/>
    <n v="39900"/>
    <n v="1"/>
    <n v="39900"/>
  </r>
  <r>
    <s v="0443"/>
    <x v="134"/>
    <n v="14"/>
    <x v="7"/>
    <x v="0"/>
    <x v="0"/>
    <x v="3"/>
    <n v="6900"/>
    <n v="6"/>
    <n v="41400"/>
  </r>
  <r>
    <s v="0444"/>
    <x v="135"/>
    <n v="17"/>
    <x v="6"/>
    <x v="4"/>
    <x v="3"/>
    <x v="3"/>
    <n v="6900"/>
    <n v="7"/>
    <n v="48300"/>
  </r>
  <r>
    <s v="0445"/>
    <x v="135"/>
    <n v="9"/>
    <x v="2"/>
    <x v="5"/>
    <x v="2"/>
    <x v="0"/>
    <n v="19900"/>
    <n v="2"/>
    <n v="39800"/>
  </r>
  <r>
    <s v="0446"/>
    <x v="135"/>
    <n v="18"/>
    <x v="3"/>
    <x v="4"/>
    <x v="3"/>
    <x v="3"/>
    <n v="6900"/>
    <n v="7"/>
    <n v="48300"/>
  </r>
  <r>
    <s v="0447"/>
    <x v="135"/>
    <n v="16"/>
    <x v="4"/>
    <x v="4"/>
    <x v="3"/>
    <x v="4"/>
    <n v="39900"/>
    <n v="5"/>
    <n v="199500"/>
  </r>
  <r>
    <s v="0448"/>
    <x v="135"/>
    <n v="10"/>
    <x v="14"/>
    <x v="2"/>
    <x v="2"/>
    <x v="2"/>
    <n v="15900"/>
    <n v="1"/>
    <n v="15900"/>
  </r>
  <r>
    <s v="0449"/>
    <x v="135"/>
    <n v="10"/>
    <x v="14"/>
    <x v="2"/>
    <x v="2"/>
    <x v="1"/>
    <n v="28900"/>
    <n v="6"/>
    <n v="173400"/>
  </r>
  <r>
    <s v="0450"/>
    <x v="135"/>
    <n v="5"/>
    <x v="15"/>
    <x v="7"/>
    <x v="1"/>
    <x v="1"/>
    <n v="28900"/>
    <n v="8"/>
    <n v="231200"/>
  </r>
  <r>
    <s v="0451"/>
    <x v="135"/>
    <n v="10"/>
    <x v="14"/>
    <x v="2"/>
    <x v="2"/>
    <x v="3"/>
    <n v="6900"/>
    <n v="7"/>
    <n v="48300"/>
  </r>
  <r>
    <s v="0452"/>
    <x v="135"/>
    <n v="7"/>
    <x v="17"/>
    <x v="5"/>
    <x v="2"/>
    <x v="3"/>
    <n v="6900"/>
    <n v="3"/>
    <n v="20700"/>
  </r>
  <r>
    <s v="0453"/>
    <x v="135"/>
    <n v="6"/>
    <x v="11"/>
    <x v="5"/>
    <x v="2"/>
    <x v="4"/>
    <n v="39900"/>
    <n v="3"/>
    <n v="119700"/>
  </r>
  <r>
    <s v="0454"/>
    <x v="135"/>
    <n v="13"/>
    <x v="5"/>
    <x v="0"/>
    <x v="0"/>
    <x v="2"/>
    <n v="15900"/>
    <n v="8"/>
    <n v="127200"/>
  </r>
  <r>
    <s v="0455"/>
    <x v="136"/>
    <n v="14"/>
    <x v="7"/>
    <x v="6"/>
    <x v="0"/>
    <x v="3"/>
    <n v="6900"/>
    <n v="9"/>
    <n v="62100"/>
  </r>
  <r>
    <s v="0456"/>
    <x v="136"/>
    <n v="3"/>
    <x v="9"/>
    <x v="1"/>
    <x v="1"/>
    <x v="4"/>
    <n v="39900"/>
    <n v="7"/>
    <n v="279300"/>
  </r>
  <r>
    <s v="0457"/>
    <x v="136"/>
    <n v="3"/>
    <x v="9"/>
    <x v="1"/>
    <x v="1"/>
    <x v="2"/>
    <n v="15900"/>
    <n v="9"/>
    <n v="143100"/>
  </r>
  <r>
    <s v="0458"/>
    <x v="136"/>
    <n v="12"/>
    <x v="16"/>
    <x v="6"/>
    <x v="0"/>
    <x v="0"/>
    <n v="19900"/>
    <n v="3"/>
    <n v="59700"/>
  </r>
  <r>
    <s v="0459"/>
    <x v="136"/>
    <n v="5"/>
    <x v="15"/>
    <x v="7"/>
    <x v="1"/>
    <x v="2"/>
    <n v="15900"/>
    <n v="1"/>
    <n v="15900"/>
  </r>
  <r>
    <s v="0460"/>
    <x v="137"/>
    <n v="11"/>
    <x v="0"/>
    <x v="6"/>
    <x v="0"/>
    <x v="2"/>
    <n v="15900"/>
    <n v="4"/>
    <n v="63600"/>
  </r>
  <r>
    <s v="0461"/>
    <x v="137"/>
    <n v="7"/>
    <x v="17"/>
    <x v="5"/>
    <x v="2"/>
    <x v="4"/>
    <n v="39900"/>
    <n v="0"/>
    <n v="0"/>
  </r>
  <r>
    <s v="0462"/>
    <x v="137"/>
    <n v="1"/>
    <x v="1"/>
    <x v="1"/>
    <x v="1"/>
    <x v="4"/>
    <n v="39900"/>
    <n v="3"/>
    <n v="119700"/>
  </r>
  <r>
    <s v="0463"/>
    <x v="138"/>
    <n v="10"/>
    <x v="14"/>
    <x v="2"/>
    <x v="2"/>
    <x v="4"/>
    <n v="39900"/>
    <n v="9"/>
    <n v="359100"/>
  </r>
  <r>
    <s v="0464"/>
    <x v="138"/>
    <n v="4"/>
    <x v="12"/>
    <x v="7"/>
    <x v="1"/>
    <x v="1"/>
    <n v="28900"/>
    <n v="2"/>
    <n v="57800"/>
  </r>
  <r>
    <s v="0465"/>
    <x v="138"/>
    <n v="11"/>
    <x v="0"/>
    <x v="6"/>
    <x v="0"/>
    <x v="2"/>
    <n v="15900"/>
    <n v="9"/>
    <n v="143100"/>
  </r>
  <r>
    <s v="0466"/>
    <x v="138"/>
    <n v="2"/>
    <x v="18"/>
    <x v="1"/>
    <x v="1"/>
    <x v="2"/>
    <n v="15900"/>
    <n v="3"/>
    <n v="47700"/>
  </r>
  <r>
    <s v="0467"/>
    <x v="138"/>
    <n v="4"/>
    <x v="12"/>
    <x v="1"/>
    <x v="1"/>
    <x v="0"/>
    <n v="19900"/>
    <n v="0"/>
    <n v="0"/>
  </r>
  <r>
    <s v="0468"/>
    <x v="138"/>
    <n v="18"/>
    <x v="3"/>
    <x v="4"/>
    <x v="3"/>
    <x v="2"/>
    <n v="15900"/>
    <n v="9"/>
    <n v="143100"/>
  </r>
  <r>
    <s v="0469"/>
    <x v="139"/>
    <n v="2"/>
    <x v="18"/>
    <x v="1"/>
    <x v="1"/>
    <x v="1"/>
    <n v="28900"/>
    <n v="1"/>
    <n v="28900"/>
  </r>
  <r>
    <s v="0470"/>
    <x v="139"/>
    <n v="14"/>
    <x v="7"/>
    <x v="0"/>
    <x v="0"/>
    <x v="4"/>
    <n v="39900"/>
    <n v="9"/>
    <n v="359100"/>
  </r>
  <r>
    <s v="0471"/>
    <x v="140"/>
    <n v="5"/>
    <x v="15"/>
    <x v="7"/>
    <x v="1"/>
    <x v="1"/>
    <n v="28900"/>
    <n v="4"/>
    <n v="115600"/>
  </r>
  <r>
    <s v="0472"/>
    <x v="141"/>
    <n v="5"/>
    <x v="15"/>
    <x v="1"/>
    <x v="1"/>
    <x v="4"/>
    <n v="39900"/>
    <n v="3"/>
    <n v="119700"/>
  </r>
  <r>
    <s v="0473"/>
    <x v="142"/>
    <n v="13"/>
    <x v="5"/>
    <x v="0"/>
    <x v="0"/>
    <x v="1"/>
    <n v="28900"/>
    <n v="8"/>
    <n v="231200"/>
  </r>
  <r>
    <s v="0474"/>
    <x v="142"/>
    <n v="18"/>
    <x v="3"/>
    <x v="4"/>
    <x v="3"/>
    <x v="4"/>
    <n v="39900"/>
    <n v="3"/>
    <n v="119700"/>
  </r>
  <r>
    <s v="0475"/>
    <x v="142"/>
    <n v="13"/>
    <x v="5"/>
    <x v="0"/>
    <x v="0"/>
    <x v="0"/>
    <n v="19900"/>
    <n v="2"/>
    <n v="39800"/>
  </r>
  <r>
    <s v="0476"/>
    <x v="142"/>
    <n v="8"/>
    <x v="10"/>
    <x v="2"/>
    <x v="2"/>
    <x v="2"/>
    <n v="15900"/>
    <n v="3"/>
    <n v="47700"/>
  </r>
  <r>
    <s v="0477"/>
    <x v="142"/>
    <n v="7"/>
    <x v="17"/>
    <x v="2"/>
    <x v="2"/>
    <x v="1"/>
    <n v="28900"/>
    <n v="5"/>
    <n v="144500"/>
  </r>
  <r>
    <s v="0478"/>
    <x v="142"/>
    <n v="6"/>
    <x v="11"/>
    <x v="2"/>
    <x v="2"/>
    <x v="2"/>
    <n v="15900"/>
    <n v="3"/>
    <n v="47700"/>
  </r>
  <r>
    <s v="0479"/>
    <x v="142"/>
    <n v="7"/>
    <x v="17"/>
    <x v="2"/>
    <x v="2"/>
    <x v="2"/>
    <n v="15900"/>
    <n v="2"/>
    <n v="31800"/>
  </r>
  <r>
    <s v="0480"/>
    <x v="142"/>
    <n v="18"/>
    <x v="3"/>
    <x v="3"/>
    <x v="3"/>
    <x v="3"/>
    <n v="6900"/>
    <n v="9"/>
    <n v="62100"/>
  </r>
  <r>
    <s v="0481"/>
    <x v="143"/>
    <n v="17"/>
    <x v="6"/>
    <x v="3"/>
    <x v="3"/>
    <x v="1"/>
    <n v="28900"/>
    <n v="3"/>
    <n v="86700"/>
  </r>
  <r>
    <s v="0482"/>
    <x v="143"/>
    <n v="11"/>
    <x v="0"/>
    <x v="0"/>
    <x v="0"/>
    <x v="3"/>
    <n v="6900"/>
    <n v="6"/>
    <n v="41400"/>
  </r>
  <r>
    <s v="0483"/>
    <x v="143"/>
    <n v="16"/>
    <x v="4"/>
    <x v="3"/>
    <x v="3"/>
    <x v="3"/>
    <n v="6900"/>
    <n v="6"/>
    <n v="41400"/>
  </r>
  <r>
    <s v="0484"/>
    <x v="143"/>
    <n v="4"/>
    <x v="12"/>
    <x v="7"/>
    <x v="1"/>
    <x v="0"/>
    <n v="19900"/>
    <n v="4"/>
    <n v="79600"/>
  </r>
  <r>
    <s v="0485"/>
    <x v="144"/>
    <n v="16"/>
    <x v="4"/>
    <x v="3"/>
    <x v="3"/>
    <x v="0"/>
    <n v="19900"/>
    <n v="7"/>
    <n v="139300"/>
  </r>
  <r>
    <s v="0486"/>
    <x v="144"/>
    <n v="8"/>
    <x v="10"/>
    <x v="2"/>
    <x v="2"/>
    <x v="2"/>
    <n v="15900"/>
    <n v="4"/>
    <n v="63600"/>
  </r>
  <r>
    <s v="0487"/>
    <x v="144"/>
    <n v="4"/>
    <x v="12"/>
    <x v="7"/>
    <x v="1"/>
    <x v="1"/>
    <n v="28900"/>
    <n v="4"/>
    <n v="115600"/>
  </r>
  <r>
    <s v="0488"/>
    <x v="144"/>
    <n v="20"/>
    <x v="8"/>
    <x v="3"/>
    <x v="3"/>
    <x v="2"/>
    <n v="15900"/>
    <n v="2"/>
    <n v="31800"/>
  </r>
  <r>
    <s v="0489"/>
    <x v="144"/>
    <n v="13"/>
    <x v="5"/>
    <x v="0"/>
    <x v="0"/>
    <x v="2"/>
    <n v="15900"/>
    <n v="7"/>
    <n v="111300"/>
  </r>
  <r>
    <s v="0490"/>
    <x v="144"/>
    <n v="13"/>
    <x v="5"/>
    <x v="0"/>
    <x v="0"/>
    <x v="2"/>
    <n v="15900"/>
    <n v="4"/>
    <n v="63600"/>
  </r>
  <r>
    <s v="0491"/>
    <x v="144"/>
    <n v="17"/>
    <x v="6"/>
    <x v="4"/>
    <x v="3"/>
    <x v="3"/>
    <n v="6900"/>
    <n v="3"/>
    <n v="20700"/>
  </r>
  <r>
    <s v="0492"/>
    <x v="144"/>
    <n v="3"/>
    <x v="9"/>
    <x v="1"/>
    <x v="1"/>
    <x v="1"/>
    <n v="28900"/>
    <n v="6"/>
    <n v="173400"/>
  </r>
  <r>
    <s v="0493"/>
    <x v="145"/>
    <n v="9"/>
    <x v="2"/>
    <x v="5"/>
    <x v="2"/>
    <x v="4"/>
    <n v="39900"/>
    <n v="2"/>
    <n v="79800"/>
  </r>
  <r>
    <s v="0494"/>
    <x v="145"/>
    <n v="16"/>
    <x v="4"/>
    <x v="4"/>
    <x v="3"/>
    <x v="2"/>
    <n v="15900"/>
    <n v="9"/>
    <n v="143100"/>
  </r>
  <r>
    <s v="0495"/>
    <x v="145"/>
    <n v="13"/>
    <x v="5"/>
    <x v="0"/>
    <x v="0"/>
    <x v="0"/>
    <n v="19900"/>
    <n v="5"/>
    <n v="99500"/>
  </r>
  <r>
    <s v="0496"/>
    <x v="145"/>
    <n v="9"/>
    <x v="2"/>
    <x v="2"/>
    <x v="2"/>
    <x v="1"/>
    <n v="28900"/>
    <n v="6"/>
    <n v="173400"/>
  </r>
  <r>
    <s v="0497"/>
    <x v="145"/>
    <n v="4"/>
    <x v="12"/>
    <x v="7"/>
    <x v="1"/>
    <x v="1"/>
    <n v="28900"/>
    <n v="1"/>
    <n v="28900"/>
  </r>
  <r>
    <s v="0498"/>
    <x v="145"/>
    <n v="8"/>
    <x v="10"/>
    <x v="5"/>
    <x v="2"/>
    <x v="3"/>
    <n v="6900"/>
    <n v="8"/>
    <n v="55200"/>
  </r>
  <r>
    <s v="0499"/>
    <x v="145"/>
    <n v="18"/>
    <x v="3"/>
    <x v="3"/>
    <x v="3"/>
    <x v="0"/>
    <n v="19900"/>
    <n v="8"/>
    <n v="159200"/>
  </r>
  <r>
    <s v="0500"/>
    <x v="145"/>
    <n v="4"/>
    <x v="12"/>
    <x v="1"/>
    <x v="1"/>
    <x v="1"/>
    <n v="28900"/>
    <n v="6"/>
    <n v="173400"/>
  </r>
  <r>
    <s v="0501"/>
    <x v="146"/>
    <n v="2"/>
    <x v="18"/>
    <x v="1"/>
    <x v="1"/>
    <x v="0"/>
    <n v="19900"/>
    <n v="5"/>
    <n v="99500"/>
  </r>
  <r>
    <s v="0502"/>
    <x v="146"/>
    <n v="2"/>
    <x v="18"/>
    <x v="1"/>
    <x v="1"/>
    <x v="0"/>
    <n v="19900"/>
    <n v="0"/>
    <n v="0"/>
  </r>
  <r>
    <s v="0503"/>
    <x v="146"/>
    <n v="10"/>
    <x v="14"/>
    <x v="5"/>
    <x v="2"/>
    <x v="1"/>
    <n v="28900"/>
    <n v="8"/>
    <n v="231200"/>
  </r>
  <r>
    <s v="0504"/>
    <x v="147"/>
    <n v="9"/>
    <x v="2"/>
    <x v="2"/>
    <x v="2"/>
    <x v="0"/>
    <n v="19900"/>
    <n v="6"/>
    <n v="119400"/>
  </r>
  <r>
    <s v="0505"/>
    <x v="148"/>
    <n v="12"/>
    <x v="16"/>
    <x v="6"/>
    <x v="0"/>
    <x v="0"/>
    <n v="19900"/>
    <n v="2"/>
    <n v="39800"/>
  </r>
  <r>
    <s v="0506"/>
    <x v="148"/>
    <n v="17"/>
    <x v="6"/>
    <x v="3"/>
    <x v="3"/>
    <x v="3"/>
    <n v="6900"/>
    <n v="4"/>
    <n v="27600"/>
  </r>
  <r>
    <s v="0507"/>
    <x v="148"/>
    <n v="2"/>
    <x v="18"/>
    <x v="7"/>
    <x v="1"/>
    <x v="4"/>
    <n v="39900"/>
    <n v="9"/>
    <n v="359100"/>
  </r>
  <r>
    <s v="0508"/>
    <x v="148"/>
    <n v="19"/>
    <x v="13"/>
    <x v="4"/>
    <x v="3"/>
    <x v="4"/>
    <n v="39900"/>
    <n v="6"/>
    <n v="239400"/>
  </r>
  <r>
    <s v="0509"/>
    <x v="149"/>
    <n v="19"/>
    <x v="13"/>
    <x v="3"/>
    <x v="3"/>
    <x v="2"/>
    <n v="15900"/>
    <n v="8"/>
    <n v="127200"/>
  </r>
  <r>
    <s v="0510"/>
    <x v="149"/>
    <n v="2"/>
    <x v="18"/>
    <x v="1"/>
    <x v="1"/>
    <x v="3"/>
    <n v="6900"/>
    <n v="5"/>
    <n v="34500"/>
  </r>
  <r>
    <s v="0511"/>
    <x v="149"/>
    <n v="19"/>
    <x v="13"/>
    <x v="3"/>
    <x v="3"/>
    <x v="1"/>
    <n v="28900"/>
    <n v="9"/>
    <n v="260100"/>
  </r>
  <r>
    <s v="0512"/>
    <x v="149"/>
    <n v="2"/>
    <x v="18"/>
    <x v="7"/>
    <x v="1"/>
    <x v="3"/>
    <n v="6900"/>
    <n v="9"/>
    <n v="62100"/>
  </r>
  <r>
    <s v="0513"/>
    <x v="150"/>
    <n v="14"/>
    <x v="7"/>
    <x v="6"/>
    <x v="0"/>
    <x v="3"/>
    <n v="6900"/>
    <n v="3"/>
    <n v="20700"/>
  </r>
  <r>
    <s v="0514"/>
    <x v="151"/>
    <n v="14"/>
    <x v="7"/>
    <x v="0"/>
    <x v="0"/>
    <x v="3"/>
    <n v="6900"/>
    <n v="0"/>
    <n v="0"/>
  </r>
  <r>
    <s v="0515"/>
    <x v="151"/>
    <n v="8"/>
    <x v="10"/>
    <x v="5"/>
    <x v="2"/>
    <x v="1"/>
    <n v="28900"/>
    <n v="4"/>
    <n v="115600"/>
  </r>
  <r>
    <s v="0516"/>
    <x v="151"/>
    <n v="4"/>
    <x v="12"/>
    <x v="7"/>
    <x v="1"/>
    <x v="1"/>
    <n v="28900"/>
    <n v="3"/>
    <n v="86700"/>
  </r>
  <r>
    <s v="0517"/>
    <x v="152"/>
    <n v="19"/>
    <x v="13"/>
    <x v="3"/>
    <x v="3"/>
    <x v="1"/>
    <n v="28900"/>
    <n v="4"/>
    <n v="115600"/>
  </r>
  <r>
    <s v="0518"/>
    <x v="152"/>
    <n v="9"/>
    <x v="2"/>
    <x v="2"/>
    <x v="2"/>
    <x v="0"/>
    <n v="19900"/>
    <n v="7"/>
    <n v="139300"/>
  </r>
  <r>
    <s v="0519"/>
    <x v="153"/>
    <n v="5"/>
    <x v="15"/>
    <x v="7"/>
    <x v="1"/>
    <x v="0"/>
    <n v="19900"/>
    <n v="9"/>
    <n v="179100"/>
  </r>
  <r>
    <s v="0520"/>
    <x v="153"/>
    <n v="18"/>
    <x v="3"/>
    <x v="3"/>
    <x v="3"/>
    <x v="4"/>
    <n v="39900"/>
    <n v="7"/>
    <n v="279300"/>
  </r>
  <r>
    <s v="0521"/>
    <x v="153"/>
    <n v="5"/>
    <x v="15"/>
    <x v="7"/>
    <x v="1"/>
    <x v="1"/>
    <n v="28900"/>
    <n v="3"/>
    <n v="86700"/>
  </r>
  <r>
    <s v="0522"/>
    <x v="153"/>
    <n v="12"/>
    <x v="16"/>
    <x v="6"/>
    <x v="0"/>
    <x v="0"/>
    <n v="19900"/>
    <n v="9"/>
    <n v="179100"/>
  </r>
  <r>
    <s v="0523"/>
    <x v="153"/>
    <n v="18"/>
    <x v="3"/>
    <x v="3"/>
    <x v="3"/>
    <x v="1"/>
    <n v="28900"/>
    <n v="7"/>
    <n v="202300"/>
  </r>
  <r>
    <s v="0524"/>
    <x v="153"/>
    <n v="4"/>
    <x v="12"/>
    <x v="1"/>
    <x v="1"/>
    <x v="3"/>
    <n v="6900"/>
    <n v="9"/>
    <n v="62100"/>
  </r>
  <r>
    <s v="0525"/>
    <x v="153"/>
    <n v="7"/>
    <x v="17"/>
    <x v="2"/>
    <x v="2"/>
    <x v="2"/>
    <n v="15900"/>
    <n v="3"/>
    <n v="47700"/>
  </r>
  <r>
    <s v="0526"/>
    <x v="153"/>
    <n v="20"/>
    <x v="8"/>
    <x v="4"/>
    <x v="3"/>
    <x v="1"/>
    <n v="28900"/>
    <n v="7"/>
    <n v="202300"/>
  </r>
  <r>
    <s v="0527"/>
    <x v="153"/>
    <n v="1"/>
    <x v="1"/>
    <x v="7"/>
    <x v="1"/>
    <x v="1"/>
    <n v="28900"/>
    <n v="7"/>
    <n v="202300"/>
  </r>
  <r>
    <s v="0528"/>
    <x v="153"/>
    <n v="4"/>
    <x v="12"/>
    <x v="1"/>
    <x v="1"/>
    <x v="1"/>
    <n v="28900"/>
    <n v="9"/>
    <n v="260100"/>
  </r>
  <r>
    <s v="0529"/>
    <x v="153"/>
    <n v="13"/>
    <x v="5"/>
    <x v="6"/>
    <x v="0"/>
    <x v="0"/>
    <n v="19900"/>
    <n v="8"/>
    <n v="159200"/>
  </r>
  <r>
    <s v="0530"/>
    <x v="153"/>
    <n v="16"/>
    <x v="4"/>
    <x v="4"/>
    <x v="3"/>
    <x v="4"/>
    <n v="39900"/>
    <n v="7"/>
    <n v="279300"/>
  </r>
  <r>
    <s v="0531"/>
    <x v="154"/>
    <n v="8"/>
    <x v="10"/>
    <x v="2"/>
    <x v="2"/>
    <x v="0"/>
    <n v="19900"/>
    <n v="3"/>
    <n v="59700"/>
  </r>
  <r>
    <s v="0532"/>
    <x v="154"/>
    <n v="11"/>
    <x v="0"/>
    <x v="6"/>
    <x v="0"/>
    <x v="4"/>
    <n v="39900"/>
    <n v="8"/>
    <n v="319200"/>
  </r>
  <r>
    <s v="0533"/>
    <x v="155"/>
    <n v="8"/>
    <x v="10"/>
    <x v="5"/>
    <x v="2"/>
    <x v="0"/>
    <n v="19900"/>
    <n v="5"/>
    <n v="99500"/>
  </r>
  <r>
    <s v="0534"/>
    <x v="155"/>
    <n v="7"/>
    <x v="17"/>
    <x v="5"/>
    <x v="2"/>
    <x v="2"/>
    <n v="15900"/>
    <n v="9"/>
    <n v="143100"/>
  </r>
  <r>
    <s v="0535"/>
    <x v="155"/>
    <n v="19"/>
    <x v="13"/>
    <x v="3"/>
    <x v="3"/>
    <x v="0"/>
    <n v="19900"/>
    <n v="2"/>
    <n v="39800"/>
  </r>
  <r>
    <s v="0536"/>
    <x v="155"/>
    <n v="17"/>
    <x v="6"/>
    <x v="4"/>
    <x v="3"/>
    <x v="3"/>
    <n v="6900"/>
    <n v="0"/>
    <n v="0"/>
  </r>
  <r>
    <s v="0537"/>
    <x v="156"/>
    <n v="9"/>
    <x v="2"/>
    <x v="5"/>
    <x v="2"/>
    <x v="0"/>
    <n v="19900"/>
    <n v="1"/>
    <n v="19900"/>
  </r>
  <r>
    <s v="0538"/>
    <x v="156"/>
    <n v="8"/>
    <x v="10"/>
    <x v="5"/>
    <x v="2"/>
    <x v="0"/>
    <n v="19900"/>
    <n v="2"/>
    <n v="39800"/>
  </r>
  <r>
    <s v="0539"/>
    <x v="157"/>
    <n v="19"/>
    <x v="13"/>
    <x v="3"/>
    <x v="3"/>
    <x v="0"/>
    <n v="19900"/>
    <n v="0"/>
    <n v="0"/>
  </r>
  <r>
    <s v="0540"/>
    <x v="158"/>
    <n v="9"/>
    <x v="2"/>
    <x v="5"/>
    <x v="2"/>
    <x v="2"/>
    <n v="15900"/>
    <n v="3"/>
    <n v="47700"/>
  </r>
  <r>
    <s v="0541"/>
    <x v="158"/>
    <n v="9"/>
    <x v="2"/>
    <x v="5"/>
    <x v="2"/>
    <x v="1"/>
    <n v="28900"/>
    <n v="9"/>
    <n v="260100"/>
  </r>
  <r>
    <s v="0542"/>
    <x v="158"/>
    <n v="9"/>
    <x v="2"/>
    <x v="5"/>
    <x v="2"/>
    <x v="4"/>
    <n v="39900"/>
    <n v="5"/>
    <n v="199500"/>
  </r>
  <r>
    <s v="0543"/>
    <x v="158"/>
    <n v="20"/>
    <x v="8"/>
    <x v="4"/>
    <x v="3"/>
    <x v="2"/>
    <n v="15900"/>
    <n v="5"/>
    <n v="79500"/>
  </r>
  <r>
    <s v="0544"/>
    <x v="159"/>
    <n v="9"/>
    <x v="2"/>
    <x v="5"/>
    <x v="2"/>
    <x v="1"/>
    <n v="28900"/>
    <n v="6"/>
    <n v="173400"/>
  </r>
  <r>
    <s v="0545"/>
    <x v="159"/>
    <n v="14"/>
    <x v="7"/>
    <x v="6"/>
    <x v="0"/>
    <x v="4"/>
    <n v="39900"/>
    <n v="0"/>
    <n v="0"/>
  </r>
  <r>
    <s v="0546"/>
    <x v="160"/>
    <n v="4"/>
    <x v="12"/>
    <x v="7"/>
    <x v="1"/>
    <x v="0"/>
    <n v="19900"/>
    <n v="5"/>
    <n v="99500"/>
  </r>
  <r>
    <s v="0547"/>
    <x v="161"/>
    <n v="6"/>
    <x v="11"/>
    <x v="2"/>
    <x v="2"/>
    <x v="3"/>
    <n v="6900"/>
    <n v="7"/>
    <n v="48300"/>
  </r>
  <r>
    <s v="0548"/>
    <x v="161"/>
    <n v="2"/>
    <x v="18"/>
    <x v="7"/>
    <x v="1"/>
    <x v="0"/>
    <n v="19900"/>
    <n v="7"/>
    <n v="139300"/>
  </r>
  <r>
    <s v="0549"/>
    <x v="161"/>
    <n v="17"/>
    <x v="6"/>
    <x v="3"/>
    <x v="3"/>
    <x v="0"/>
    <n v="19900"/>
    <n v="2"/>
    <n v="39800"/>
  </r>
  <r>
    <s v="0550"/>
    <x v="161"/>
    <n v="18"/>
    <x v="3"/>
    <x v="3"/>
    <x v="3"/>
    <x v="2"/>
    <n v="15900"/>
    <n v="0"/>
    <n v="0"/>
  </r>
  <r>
    <s v="0551"/>
    <x v="161"/>
    <n v="5"/>
    <x v="15"/>
    <x v="1"/>
    <x v="1"/>
    <x v="3"/>
    <n v="6900"/>
    <n v="5"/>
    <n v="34500"/>
  </r>
  <r>
    <s v="0552"/>
    <x v="161"/>
    <n v="2"/>
    <x v="18"/>
    <x v="7"/>
    <x v="1"/>
    <x v="1"/>
    <n v="28900"/>
    <n v="5"/>
    <n v="144500"/>
  </r>
  <r>
    <s v="0553"/>
    <x v="161"/>
    <n v="11"/>
    <x v="0"/>
    <x v="0"/>
    <x v="0"/>
    <x v="4"/>
    <n v="39900"/>
    <n v="0"/>
    <n v="0"/>
  </r>
  <r>
    <s v="0554"/>
    <x v="162"/>
    <n v="19"/>
    <x v="13"/>
    <x v="3"/>
    <x v="3"/>
    <x v="0"/>
    <n v="19900"/>
    <n v="4"/>
    <n v="79600"/>
  </r>
  <r>
    <s v="0555"/>
    <x v="162"/>
    <n v="6"/>
    <x v="11"/>
    <x v="2"/>
    <x v="2"/>
    <x v="0"/>
    <n v="19900"/>
    <n v="9"/>
    <n v="179100"/>
  </r>
  <r>
    <s v="0556"/>
    <x v="162"/>
    <n v="10"/>
    <x v="14"/>
    <x v="5"/>
    <x v="2"/>
    <x v="4"/>
    <n v="39900"/>
    <n v="0"/>
    <n v="0"/>
  </r>
  <r>
    <s v="0557"/>
    <x v="162"/>
    <n v="5"/>
    <x v="15"/>
    <x v="7"/>
    <x v="1"/>
    <x v="2"/>
    <n v="15900"/>
    <n v="1"/>
    <n v="15900"/>
  </r>
  <r>
    <s v="0558"/>
    <x v="163"/>
    <n v="14"/>
    <x v="7"/>
    <x v="6"/>
    <x v="0"/>
    <x v="4"/>
    <n v="39900"/>
    <n v="9"/>
    <n v="359100"/>
  </r>
  <r>
    <s v="0559"/>
    <x v="163"/>
    <n v="2"/>
    <x v="18"/>
    <x v="7"/>
    <x v="1"/>
    <x v="1"/>
    <n v="28900"/>
    <n v="2"/>
    <n v="57800"/>
  </r>
  <r>
    <s v="0560"/>
    <x v="163"/>
    <n v="15"/>
    <x v="19"/>
    <x v="6"/>
    <x v="0"/>
    <x v="1"/>
    <n v="28900"/>
    <n v="5"/>
    <n v="144500"/>
  </r>
  <r>
    <s v="0561"/>
    <x v="164"/>
    <n v="13"/>
    <x v="5"/>
    <x v="0"/>
    <x v="0"/>
    <x v="1"/>
    <n v="28900"/>
    <n v="3"/>
    <n v="86700"/>
  </r>
  <r>
    <s v="0562"/>
    <x v="165"/>
    <n v="17"/>
    <x v="6"/>
    <x v="4"/>
    <x v="3"/>
    <x v="1"/>
    <n v="28900"/>
    <n v="6"/>
    <n v="173400"/>
  </r>
  <r>
    <s v="0563"/>
    <x v="166"/>
    <n v="13"/>
    <x v="5"/>
    <x v="0"/>
    <x v="0"/>
    <x v="4"/>
    <n v="39900"/>
    <n v="0"/>
    <n v="0"/>
  </r>
  <r>
    <s v="0564"/>
    <x v="166"/>
    <n v="15"/>
    <x v="19"/>
    <x v="0"/>
    <x v="0"/>
    <x v="4"/>
    <n v="39900"/>
    <n v="6"/>
    <n v="239400"/>
  </r>
  <r>
    <s v="0565"/>
    <x v="166"/>
    <n v="1"/>
    <x v="1"/>
    <x v="1"/>
    <x v="1"/>
    <x v="0"/>
    <n v="19900"/>
    <n v="0"/>
    <n v="0"/>
  </r>
  <r>
    <s v="0566"/>
    <x v="166"/>
    <n v="10"/>
    <x v="14"/>
    <x v="2"/>
    <x v="2"/>
    <x v="2"/>
    <n v="15900"/>
    <n v="8"/>
    <n v="127200"/>
  </r>
  <r>
    <s v="0567"/>
    <x v="166"/>
    <n v="1"/>
    <x v="1"/>
    <x v="7"/>
    <x v="1"/>
    <x v="2"/>
    <n v="15900"/>
    <n v="8"/>
    <n v="127200"/>
  </r>
  <r>
    <s v="0568"/>
    <x v="166"/>
    <n v="14"/>
    <x v="7"/>
    <x v="6"/>
    <x v="0"/>
    <x v="4"/>
    <n v="39900"/>
    <n v="0"/>
    <n v="0"/>
  </r>
  <r>
    <s v="0569"/>
    <x v="167"/>
    <n v="18"/>
    <x v="3"/>
    <x v="3"/>
    <x v="3"/>
    <x v="2"/>
    <n v="15900"/>
    <n v="7"/>
    <n v="111300"/>
  </r>
  <r>
    <s v="0570"/>
    <x v="168"/>
    <n v="3"/>
    <x v="9"/>
    <x v="7"/>
    <x v="1"/>
    <x v="1"/>
    <n v="28900"/>
    <n v="3"/>
    <n v="86700"/>
  </r>
  <r>
    <s v="0571"/>
    <x v="168"/>
    <n v="3"/>
    <x v="9"/>
    <x v="7"/>
    <x v="1"/>
    <x v="1"/>
    <n v="28900"/>
    <n v="1"/>
    <n v="28900"/>
  </r>
  <r>
    <s v="0572"/>
    <x v="168"/>
    <n v="11"/>
    <x v="0"/>
    <x v="6"/>
    <x v="0"/>
    <x v="2"/>
    <n v="15900"/>
    <n v="4"/>
    <n v="63600"/>
  </r>
  <r>
    <s v="0573"/>
    <x v="169"/>
    <n v="20"/>
    <x v="8"/>
    <x v="3"/>
    <x v="3"/>
    <x v="4"/>
    <n v="39900"/>
    <n v="5"/>
    <n v="199500"/>
  </r>
  <r>
    <s v="0574"/>
    <x v="170"/>
    <n v="5"/>
    <x v="15"/>
    <x v="1"/>
    <x v="1"/>
    <x v="2"/>
    <n v="15900"/>
    <n v="3"/>
    <n v="47700"/>
  </r>
  <r>
    <s v="0575"/>
    <x v="170"/>
    <n v="18"/>
    <x v="3"/>
    <x v="4"/>
    <x v="3"/>
    <x v="3"/>
    <n v="6900"/>
    <n v="1"/>
    <n v="6900"/>
  </r>
  <r>
    <s v="0576"/>
    <x v="170"/>
    <n v="4"/>
    <x v="12"/>
    <x v="7"/>
    <x v="1"/>
    <x v="3"/>
    <n v="6900"/>
    <n v="3"/>
    <n v="20700"/>
  </r>
  <r>
    <s v="0577"/>
    <x v="170"/>
    <n v="12"/>
    <x v="16"/>
    <x v="0"/>
    <x v="0"/>
    <x v="2"/>
    <n v="15900"/>
    <n v="6"/>
    <n v="95400"/>
  </r>
  <r>
    <s v="0578"/>
    <x v="171"/>
    <n v="14"/>
    <x v="7"/>
    <x v="0"/>
    <x v="0"/>
    <x v="4"/>
    <n v="39900"/>
    <n v="9"/>
    <n v="359100"/>
  </r>
  <r>
    <s v="0579"/>
    <x v="172"/>
    <n v="7"/>
    <x v="17"/>
    <x v="2"/>
    <x v="2"/>
    <x v="4"/>
    <n v="39900"/>
    <n v="0"/>
    <n v="0"/>
  </r>
  <r>
    <s v="0580"/>
    <x v="172"/>
    <n v="15"/>
    <x v="19"/>
    <x v="6"/>
    <x v="0"/>
    <x v="2"/>
    <n v="15900"/>
    <n v="6"/>
    <n v="95400"/>
  </r>
  <r>
    <s v="0581"/>
    <x v="172"/>
    <n v="15"/>
    <x v="19"/>
    <x v="0"/>
    <x v="0"/>
    <x v="2"/>
    <n v="15900"/>
    <n v="8"/>
    <n v="127200"/>
  </r>
  <r>
    <s v="0582"/>
    <x v="172"/>
    <n v="15"/>
    <x v="19"/>
    <x v="6"/>
    <x v="0"/>
    <x v="4"/>
    <n v="39900"/>
    <n v="4"/>
    <n v="159600"/>
  </r>
  <r>
    <s v="0583"/>
    <x v="172"/>
    <n v="10"/>
    <x v="14"/>
    <x v="5"/>
    <x v="2"/>
    <x v="4"/>
    <n v="39900"/>
    <n v="3"/>
    <n v="119700"/>
  </r>
  <r>
    <s v="0584"/>
    <x v="172"/>
    <n v="18"/>
    <x v="3"/>
    <x v="4"/>
    <x v="3"/>
    <x v="3"/>
    <n v="6900"/>
    <n v="0"/>
    <n v="0"/>
  </r>
  <r>
    <s v="0585"/>
    <x v="172"/>
    <n v="5"/>
    <x v="15"/>
    <x v="1"/>
    <x v="1"/>
    <x v="0"/>
    <n v="19900"/>
    <n v="1"/>
    <n v="19900"/>
  </r>
  <r>
    <s v="0586"/>
    <x v="172"/>
    <n v="4"/>
    <x v="12"/>
    <x v="1"/>
    <x v="1"/>
    <x v="1"/>
    <n v="28900"/>
    <n v="5"/>
    <n v="144500"/>
  </r>
  <r>
    <s v="0587"/>
    <x v="172"/>
    <n v="20"/>
    <x v="8"/>
    <x v="4"/>
    <x v="3"/>
    <x v="3"/>
    <n v="6900"/>
    <n v="3"/>
    <n v="20700"/>
  </r>
  <r>
    <s v="0588"/>
    <x v="173"/>
    <n v="17"/>
    <x v="6"/>
    <x v="3"/>
    <x v="3"/>
    <x v="3"/>
    <n v="6900"/>
    <n v="1"/>
    <n v="6900"/>
  </r>
  <r>
    <s v="0589"/>
    <x v="174"/>
    <n v="5"/>
    <x v="15"/>
    <x v="1"/>
    <x v="1"/>
    <x v="4"/>
    <n v="39900"/>
    <n v="3"/>
    <n v="119700"/>
  </r>
  <r>
    <s v="0590"/>
    <x v="174"/>
    <n v="18"/>
    <x v="3"/>
    <x v="4"/>
    <x v="3"/>
    <x v="2"/>
    <n v="15900"/>
    <n v="5"/>
    <n v="79500"/>
  </r>
  <r>
    <s v="0591"/>
    <x v="175"/>
    <n v="4"/>
    <x v="12"/>
    <x v="7"/>
    <x v="1"/>
    <x v="1"/>
    <n v="28900"/>
    <n v="3"/>
    <n v="86700"/>
  </r>
  <r>
    <s v="0592"/>
    <x v="176"/>
    <n v="6"/>
    <x v="11"/>
    <x v="5"/>
    <x v="2"/>
    <x v="1"/>
    <n v="28900"/>
    <n v="9"/>
    <n v="260100"/>
  </r>
  <r>
    <s v="0593"/>
    <x v="176"/>
    <n v="17"/>
    <x v="6"/>
    <x v="3"/>
    <x v="3"/>
    <x v="3"/>
    <n v="6900"/>
    <n v="9"/>
    <n v="62100"/>
  </r>
  <r>
    <s v="0594"/>
    <x v="176"/>
    <n v="2"/>
    <x v="18"/>
    <x v="7"/>
    <x v="1"/>
    <x v="1"/>
    <n v="28900"/>
    <n v="1"/>
    <n v="28900"/>
  </r>
  <r>
    <s v="0595"/>
    <x v="176"/>
    <n v="10"/>
    <x v="14"/>
    <x v="5"/>
    <x v="2"/>
    <x v="0"/>
    <n v="19900"/>
    <n v="6"/>
    <n v="119400"/>
  </r>
  <r>
    <s v="0596"/>
    <x v="176"/>
    <n v="11"/>
    <x v="0"/>
    <x v="6"/>
    <x v="0"/>
    <x v="4"/>
    <n v="39900"/>
    <n v="9"/>
    <n v="359100"/>
  </r>
  <r>
    <s v="0597"/>
    <x v="177"/>
    <n v="4"/>
    <x v="12"/>
    <x v="1"/>
    <x v="1"/>
    <x v="3"/>
    <n v="6900"/>
    <n v="8"/>
    <n v="55200"/>
  </r>
  <r>
    <s v="0598"/>
    <x v="178"/>
    <n v="10"/>
    <x v="14"/>
    <x v="2"/>
    <x v="2"/>
    <x v="4"/>
    <n v="39900"/>
    <n v="9"/>
    <n v="359100"/>
  </r>
  <r>
    <s v="0599"/>
    <x v="178"/>
    <n v="2"/>
    <x v="18"/>
    <x v="1"/>
    <x v="1"/>
    <x v="2"/>
    <n v="15900"/>
    <n v="5"/>
    <n v="79500"/>
  </r>
  <r>
    <s v="0600"/>
    <x v="178"/>
    <n v="5"/>
    <x v="15"/>
    <x v="1"/>
    <x v="1"/>
    <x v="1"/>
    <n v="28900"/>
    <n v="0"/>
    <n v="0"/>
  </r>
  <r>
    <s v="0601"/>
    <x v="178"/>
    <n v="10"/>
    <x v="14"/>
    <x v="5"/>
    <x v="2"/>
    <x v="3"/>
    <n v="6900"/>
    <n v="3"/>
    <n v="20700"/>
  </r>
  <r>
    <s v="0602"/>
    <x v="178"/>
    <n v="12"/>
    <x v="16"/>
    <x v="6"/>
    <x v="0"/>
    <x v="0"/>
    <n v="19900"/>
    <n v="3"/>
    <n v="59700"/>
  </r>
  <r>
    <s v="0603"/>
    <x v="178"/>
    <n v="11"/>
    <x v="0"/>
    <x v="0"/>
    <x v="0"/>
    <x v="1"/>
    <n v="28900"/>
    <n v="7"/>
    <n v="202300"/>
  </r>
  <r>
    <s v="0604"/>
    <x v="178"/>
    <n v="1"/>
    <x v="1"/>
    <x v="7"/>
    <x v="1"/>
    <x v="1"/>
    <n v="28900"/>
    <n v="8"/>
    <n v="231200"/>
  </r>
  <r>
    <s v="0605"/>
    <x v="179"/>
    <n v="15"/>
    <x v="19"/>
    <x v="6"/>
    <x v="0"/>
    <x v="2"/>
    <n v="15900"/>
    <n v="5"/>
    <n v="79500"/>
  </r>
  <r>
    <s v="0606"/>
    <x v="180"/>
    <n v="12"/>
    <x v="16"/>
    <x v="0"/>
    <x v="0"/>
    <x v="1"/>
    <n v="28900"/>
    <n v="3"/>
    <n v="86700"/>
  </r>
  <r>
    <s v="0607"/>
    <x v="180"/>
    <n v="20"/>
    <x v="8"/>
    <x v="3"/>
    <x v="3"/>
    <x v="4"/>
    <n v="39900"/>
    <n v="7"/>
    <n v="279300"/>
  </r>
  <r>
    <s v="0608"/>
    <x v="180"/>
    <n v="12"/>
    <x v="16"/>
    <x v="0"/>
    <x v="0"/>
    <x v="3"/>
    <n v="6900"/>
    <n v="4"/>
    <n v="27600"/>
  </r>
  <r>
    <s v="0609"/>
    <x v="180"/>
    <n v="19"/>
    <x v="13"/>
    <x v="3"/>
    <x v="3"/>
    <x v="3"/>
    <n v="6900"/>
    <n v="4"/>
    <n v="27600"/>
  </r>
  <r>
    <s v="0610"/>
    <x v="181"/>
    <n v="12"/>
    <x v="16"/>
    <x v="6"/>
    <x v="0"/>
    <x v="3"/>
    <n v="6900"/>
    <n v="8"/>
    <n v="55200"/>
  </r>
  <r>
    <s v="0611"/>
    <x v="181"/>
    <n v="10"/>
    <x v="14"/>
    <x v="5"/>
    <x v="2"/>
    <x v="1"/>
    <n v="28900"/>
    <n v="9"/>
    <n v="260100"/>
  </r>
  <r>
    <s v="0612"/>
    <x v="181"/>
    <n v="17"/>
    <x v="6"/>
    <x v="3"/>
    <x v="3"/>
    <x v="1"/>
    <n v="28900"/>
    <n v="9"/>
    <n v="260100"/>
  </r>
  <r>
    <s v="0613"/>
    <x v="182"/>
    <n v="15"/>
    <x v="19"/>
    <x v="6"/>
    <x v="0"/>
    <x v="3"/>
    <n v="6900"/>
    <n v="2"/>
    <n v="13800"/>
  </r>
  <r>
    <s v="0614"/>
    <x v="183"/>
    <n v="20"/>
    <x v="8"/>
    <x v="4"/>
    <x v="3"/>
    <x v="1"/>
    <n v="28900"/>
    <n v="0"/>
    <n v="0"/>
  </r>
  <r>
    <s v="0615"/>
    <x v="184"/>
    <n v="10"/>
    <x v="14"/>
    <x v="2"/>
    <x v="2"/>
    <x v="2"/>
    <n v="15900"/>
    <n v="2"/>
    <n v="31800"/>
  </r>
  <r>
    <s v="0616"/>
    <x v="185"/>
    <n v="11"/>
    <x v="0"/>
    <x v="6"/>
    <x v="0"/>
    <x v="3"/>
    <n v="6900"/>
    <n v="7"/>
    <n v="48300"/>
  </r>
  <r>
    <s v="0617"/>
    <x v="186"/>
    <n v="19"/>
    <x v="13"/>
    <x v="4"/>
    <x v="3"/>
    <x v="0"/>
    <n v="19900"/>
    <n v="8"/>
    <n v="159200"/>
  </r>
  <r>
    <s v="0618"/>
    <x v="186"/>
    <n v="19"/>
    <x v="13"/>
    <x v="4"/>
    <x v="3"/>
    <x v="4"/>
    <n v="39900"/>
    <n v="0"/>
    <n v="0"/>
  </r>
  <r>
    <s v="0619"/>
    <x v="187"/>
    <n v="17"/>
    <x v="6"/>
    <x v="4"/>
    <x v="3"/>
    <x v="1"/>
    <n v="28900"/>
    <n v="6"/>
    <n v="173400"/>
  </r>
  <r>
    <s v="0620"/>
    <x v="187"/>
    <n v="20"/>
    <x v="8"/>
    <x v="4"/>
    <x v="3"/>
    <x v="2"/>
    <n v="15900"/>
    <n v="9"/>
    <n v="143100"/>
  </r>
  <r>
    <s v="0621"/>
    <x v="187"/>
    <n v="10"/>
    <x v="14"/>
    <x v="5"/>
    <x v="2"/>
    <x v="2"/>
    <n v="15900"/>
    <n v="7"/>
    <n v="111300"/>
  </r>
  <r>
    <s v="0622"/>
    <x v="187"/>
    <n v="13"/>
    <x v="5"/>
    <x v="6"/>
    <x v="0"/>
    <x v="2"/>
    <n v="15900"/>
    <n v="9"/>
    <n v="143100"/>
  </r>
  <r>
    <s v="0623"/>
    <x v="187"/>
    <n v="14"/>
    <x v="7"/>
    <x v="6"/>
    <x v="0"/>
    <x v="0"/>
    <n v="19900"/>
    <n v="0"/>
    <n v="0"/>
  </r>
  <r>
    <s v="0624"/>
    <x v="188"/>
    <n v="3"/>
    <x v="9"/>
    <x v="7"/>
    <x v="1"/>
    <x v="0"/>
    <n v="19900"/>
    <n v="4"/>
    <n v="79600"/>
  </r>
  <r>
    <s v="0625"/>
    <x v="188"/>
    <n v="17"/>
    <x v="6"/>
    <x v="3"/>
    <x v="3"/>
    <x v="4"/>
    <n v="39900"/>
    <n v="8"/>
    <n v="319200"/>
  </r>
  <r>
    <s v="0626"/>
    <x v="188"/>
    <n v="1"/>
    <x v="1"/>
    <x v="1"/>
    <x v="1"/>
    <x v="1"/>
    <n v="28900"/>
    <n v="0"/>
    <n v="0"/>
  </r>
  <r>
    <s v="0627"/>
    <x v="188"/>
    <n v="18"/>
    <x v="3"/>
    <x v="3"/>
    <x v="3"/>
    <x v="3"/>
    <n v="6900"/>
    <n v="4"/>
    <n v="27600"/>
  </r>
  <r>
    <s v="0628"/>
    <x v="188"/>
    <n v="14"/>
    <x v="7"/>
    <x v="0"/>
    <x v="0"/>
    <x v="4"/>
    <n v="39900"/>
    <n v="5"/>
    <n v="199500"/>
  </r>
  <r>
    <s v="0629"/>
    <x v="188"/>
    <n v="2"/>
    <x v="18"/>
    <x v="7"/>
    <x v="1"/>
    <x v="3"/>
    <n v="6900"/>
    <n v="6"/>
    <n v="41400"/>
  </r>
  <r>
    <s v="0630"/>
    <x v="189"/>
    <n v="10"/>
    <x v="14"/>
    <x v="2"/>
    <x v="2"/>
    <x v="2"/>
    <n v="15900"/>
    <n v="3"/>
    <n v="47700"/>
  </r>
  <r>
    <s v="0631"/>
    <x v="190"/>
    <n v="13"/>
    <x v="5"/>
    <x v="0"/>
    <x v="0"/>
    <x v="0"/>
    <n v="19900"/>
    <n v="4"/>
    <n v="79600"/>
  </r>
  <r>
    <s v="0632"/>
    <x v="190"/>
    <n v="17"/>
    <x v="6"/>
    <x v="3"/>
    <x v="3"/>
    <x v="3"/>
    <n v="6900"/>
    <n v="3"/>
    <n v="20700"/>
  </r>
  <r>
    <s v="0633"/>
    <x v="191"/>
    <n v="20"/>
    <x v="8"/>
    <x v="3"/>
    <x v="3"/>
    <x v="2"/>
    <n v="15900"/>
    <n v="3"/>
    <n v="47700"/>
  </r>
  <r>
    <s v="0634"/>
    <x v="191"/>
    <n v="5"/>
    <x v="15"/>
    <x v="1"/>
    <x v="1"/>
    <x v="4"/>
    <n v="39900"/>
    <n v="0"/>
    <n v="0"/>
  </r>
  <r>
    <s v="0635"/>
    <x v="191"/>
    <n v="3"/>
    <x v="9"/>
    <x v="1"/>
    <x v="1"/>
    <x v="2"/>
    <n v="15900"/>
    <n v="5"/>
    <n v="79500"/>
  </r>
  <r>
    <s v="0636"/>
    <x v="192"/>
    <n v="16"/>
    <x v="4"/>
    <x v="3"/>
    <x v="3"/>
    <x v="3"/>
    <n v="6900"/>
    <n v="5"/>
    <n v="34500"/>
  </r>
  <r>
    <s v="0637"/>
    <x v="193"/>
    <n v="17"/>
    <x v="6"/>
    <x v="3"/>
    <x v="3"/>
    <x v="2"/>
    <n v="15900"/>
    <n v="6"/>
    <n v="95400"/>
  </r>
  <r>
    <s v="0638"/>
    <x v="193"/>
    <n v="11"/>
    <x v="0"/>
    <x v="0"/>
    <x v="0"/>
    <x v="2"/>
    <n v="15900"/>
    <n v="5"/>
    <n v="79500"/>
  </r>
  <r>
    <s v="0639"/>
    <x v="193"/>
    <n v="16"/>
    <x v="4"/>
    <x v="3"/>
    <x v="3"/>
    <x v="4"/>
    <n v="39900"/>
    <n v="3"/>
    <n v="119700"/>
  </r>
  <r>
    <s v="0640"/>
    <x v="194"/>
    <n v="20"/>
    <x v="8"/>
    <x v="4"/>
    <x v="3"/>
    <x v="1"/>
    <n v="28900"/>
    <n v="4"/>
    <n v="115600"/>
  </r>
  <r>
    <s v="0641"/>
    <x v="194"/>
    <n v="10"/>
    <x v="14"/>
    <x v="5"/>
    <x v="2"/>
    <x v="4"/>
    <n v="39900"/>
    <n v="7"/>
    <n v="279300"/>
  </r>
  <r>
    <s v="0642"/>
    <x v="195"/>
    <n v="10"/>
    <x v="14"/>
    <x v="5"/>
    <x v="2"/>
    <x v="4"/>
    <n v="39900"/>
    <n v="9"/>
    <n v="359100"/>
  </r>
  <r>
    <s v="0643"/>
    <x v="195"/>
    <n v="13"/>
    <x v="5"/>
    <x v="0"/>
    <x v="0"/>
    <x v="4"/>
    <n v="39900"/>
    <n v="8"/>
    <n v="319200"/>
  </r>
  <r>
    <s v="0644"/>
    <x v="196"/>
    <n v="6"/>
    <x v="11"/>
    <x v="5"/>
    <x v="2"/>
    <x v="0"/>
    <n v="19900"/>
    <n v="6"/>
    <n v="119400"/>
  </r>
  <r>
    <s v="0645"/>
    <x v="196"/>
    <n v="1"/>
    <x v="1"/>
    <x v="1"/>
    <x v="1"/>
    <x v="3"/>
    <n v="6900"/>
    <n v="9"/>
    <n v="62100"/>
  </r>
  <r>
    <s v="0646"/>
    <x v="196"/>
    <n v="14"/>
    <x v="7"/>
    <x v="0"/>
    <x v="0"/>
    <x v="0"/>
    <n v="19900"/>
    <n v="0"/>
    <n v="0"/>
  </r>
  <r>
    <s v="0647"/>
    <x v="196"/>
    <n v="13"/>
    <x v="5"/>
    <x v="0"/>
    <x v="0"/>
    <x v="1"/>
    <n v="28900"/>
    <n v="3"/>
    <n v="86700"/>
  </r>
  <r>
    <s v="0648"/>
    <x v="196"/>
    <n v="8"/>
    <x v="10"/>
    <x v="2"/>
    <x v="2"/>
    <x v="0"/>
    <n v="19900"/>
    <n v="1"/>
    <n v="19900"/>
  </r>
  <r>
    <s v="0649"/>
    <x v="197"/>
    <n v="8"/>
    <x v="10"/>
    <x v="5"/>
    <x v="2"/>
    <x v="4"/>
    <n v="39900"/>
    <n v="5"/>
    <n v="199500"/>
  </r>
  <r>
    <s v="0650"/>
    <x v="197"/>
    <n v="13"/>
    <x v="5"/>
    <x v="6"/>
    <x v="0"/>
    <x v="1"/>
    <n v="28900"/>
    <n v="3"/>
    <n v="86700"/>
  </r>
  <r>
    <s v="0651"/>
    <x v="197"/>
    <n v="17"/>
    <x v="6"/>
    <x v="4"/>
    <x v="3"/>
    <x v="2"/>
    <n v="15900"/>
    <n v="2"/>
    <n v="31800"/>
  </r>
  <r>
    <s v="0652"/>
    <x v="197"/>
    <n v="15"/>
    <x v="19"/>
    <x v="6"/>
    <x v="0"/>
    <x v="2"/>
    <n v="15900"/>
    <n v="3"/>
    <n v="47700"/>
  </r>
  <r>
    <s v="0653"/>
    <x v="198"/>
    <n v="5"/>
    <x v="15"/>
    <x v="7"/>
    <x v="1"/>
    <x v="2"/>
    <n v="15900"/>
    <n v="1"/>
    <n v="15900"/>
  </r>
  <r>
    <s v="0654"/>
    <x v="198"/>
    <n v="1"/>
    <x v="1"/>
    <x v="1"/>
    <x v="1"/>
    <x v="3"/>
    <n v="6900"/>
    <n v="0"/>
    <n v="0"/>
  </r>
  <r>
    <s v="0655"/>
    <x v="198"/>
    <n v="2"/>
    <x v="18"/>
    <x v="1"/>
    <x v="1"/>
    <x v="1"/>
    <n v="28900"/>
    <n v="2"/>
    <n v="57800"/>
  </r>
  <r>
    <s v="0656"/>
    <x v="198"/>
    <n v="12"/>
    <x v="16"/>
    <x v="6"/>
    <x v="0"/>
    <x v="2"/>
    <n v="15900"/>
    <n v="5"/>
    <n v="79500"/>
  </r>
  <r>
    <s v="0657"/>
    <x v="198"/>
    <n v="6"/>
    <x v="11"/>
    <x v="5"/>
    <x v="2"/>
    <x v="3"/>
    <n v="6900"/>
    <n v="3"/>
    <n v="20700"/>
  </r>
  <r>
    <s v="0658"/>
    <x v="198"/>
    <n v="5"/>
    <x v="15"/>
    <x v="1"/>
    <x v="1"/>
    <x v="2"/>
    <n v="15900"/>
    <n v="9"/>
    <n v="143100"/>
  </r>
  <r>
    <s v="0659"/>
    <x v="199"/>
    <n v="15"/>
    <x v="19"/>
    <x v="6"/>
    <x v="0"/>
    <x v="0"/>
    <n v="19900"/>
    <n v="1"/>
    <n v="19900"/>
  </r>
  <r>
    <s v="0660"/>
    <x v="199"/>
    <n v="1"/>
    <x v="1"/>
    <x v="1"/>
    <x v="1"/>
    <x v="1"/>
    <n v="28900"/>
    <n v="4"/>
    <n v="115600"/>
  </r>
  <r>
    <s v="0661"/>
    <x v="200"/>
    <n v="16"/>
    <x v="4"/>
    <x v="3"/>
    <x v="3"/>
    <x v="2"/>
    <n v="15900"/>
    <n v="3"/>
    <n v="47700"/>
  </r>
  <r>
    <s v="0662"/>
    <x v="200"/>
    <n v="9"/>
    <x v="2"/>
    <x v="5"/>
    <x v="2"/>
    <x v="3"/>
    <n v="6900"/>
    <n v="2"/>
    <n v="13800"/>
  </r>
  <r>
    <s v="0663"/>
    <x v="200"/>
    <n v="20"/>
    <x v="8"/>
    <x v="3"/>
    <x v="3"/>
    <x v="2"/>
    <n v="15900"/>
    <n v="4"/>
    <n v="63600"/>
  </r>
  <r>
    <s v="0664"/>
    <x v="201"/>
    <n v="14"/>
    <x v="7"/>
    <x v="6"/>
    <x v="0"/>
    <x v="4"/>
    <n v="39900"/>
    <n v="5"/>
    <n v="199500"/>
  </r>
  <r>
    <s v="0665"/>
    <x v="202"/>
    <n v="1"/>
    <x v="1"/>
    <x v="1"/>
    <x v="1"/>
    <x v="4"/>
    <n v="39900"/>
    <n v="8"/>
    <n v="319200"/>
  </r>
  <r>
    <s v="0666"/>
    <x v="202"/>
    <n v="13"/>
    <x v="5"/>
    <x v="6"/>
    <x v="0"/>
    <x v="3"/>
    <n v="6900"/>
    <n v="0"/>
    <n v="0"/>
  </r>
  <r>
    <s v="0667"/>
    <x v="203"/>
    <n v="14"/>
    <x v="7"/>
    <x v="6"/>
    <x v="0"/>
    <x v="3"/>
    <n v="6900"/>
    <n v="8"/>
    <n v="55200"/>
  </r>
  <r>
    <s v="0668"/>
    <x v="204"/>
    <n v="10"/>
    <x v="14"/>
    <x v="2"/>
    <x v="2"/>
    <x v="3"/>
    <n v="6900"/>
    <n v="2"/>
    <n v="13800"/>
  </r>
  <r>
    <s v="0669"/>
    <x v="204"/>
    <n v="9"/>
    <x v="2"/>
    <x v="2"/>
    <x v="2"/>
    <x v="4"/>
    <n v="39900"/>
    <n v="6"/>
    <n v="239400"/>
  </r>
  <r>
    <s v="0670"/>
    <x v="204"/>
    <n v="2"/>
    <x v="18"/>
    <x v="1"/>
    <x v="1"/>
    <x v="0"/>
    <n v="19900"/>
    <n v="1"/>
    <n v="19900"/>
  </r>
  <r>
    <s v="0671"/>
    <x v="204"/>
    <n v="13"/>
    <x v="5"/>
    <x v="0"/>
    <x v="0"/>
    <x v="4"/>
    <n v="39900"/>
    <n v="1"/>
    <n v="39900"/>
  </r>
  <r>
    <s v="0672"/>
    <x v="205"/>
    <n v="12"/>
    <x v="16"/>
    <x v="0"/>
    <x v="0"/>
    <x v="2"/>
    <n v="15900"/>
    <n v="7"/>
    <n v="111300"/>
  </r>
  <r>
    <s v="0673"/>
    <x v="205"/>
    <n v="17"/>
    <x v="6"/>
    <x v="3"/>
    <x v="3"/>
    <x v="2"/>
    <n v="15900"/>
    <n v="8"/>
    <n v="127200"/>
  </r>
  <r>
    <s v="0674"/>
    <x v="206"/>
    <n v="18"/>
    <x v="3"/>
    <x v="4"/>
    <x v="3"/>
    <x v="1"/>
    <n v="28900"/>
    <n v="8"/>
    <n v="231200"/>
  </r>
  <r>
    <s v="0675"/>
    <x v="206"/>
    <n v="13"/>
    <x v="5"/>
    <x v="0"/>
    <x v="0"/>
    <x v="2"/>
    <n v="15900"/>
    <n v="4"/>
    <n v="63600"/>
  </r>
  <r>
    <s v="0676"/>
    <x v="206"/>
    <n v="15"/>
    <x v="19"/>
    <x v="0"/>
    <x v="0"/>
    <x v="3"/>
    <n v="6900"/>
    <n v="4"/>
    <n v="27600"/>
  </r>
  <r>
    <s v="0677"/>
    <x v="206"/>
    <n v="15"/>
    <x v="19"/>
    <x v="0"/>
    <x v="0"/>
    <x v="2"/>
    <n v="15900"/>
    <n v="9"/>
    <n v="143100"/>
  </r>
  <r>
    <s v="0678"/>
    <x v="206"/>
    <n v="18"/>
    <x v="3"/>
    <x v="4"/>
    <x v="3"/>
    <x v="3"/>
    <n v="6900"/>
    <n v="6"/>
    <n v="41400"/>
  </r>
  <r>
    <s v="0679"/>
    <x v="206"/>
    <n v="7"/>
    <x v="17"/>
    <x v="2"/>
    <x v="2"/>
    <x v="2"/>
    <n v="15900"/>
    <n v="6"/>
    <n v="95400"/>
  </r>
  <r>
    <s v="0680"/>
    <x v="206"/>
    <n v="13"/>
    <x v="5"/>
    <x v="0"/>
    <x v="0"/>
    <x v="3"/>
    <n v="6900"/>
    <n v="3"/>
    <n v="20700"/>
  </r>
  <r>
    <s v="0681"/>
    <x v="206"/>
    <n v="3"/>
    <x v="9"/>
    <x v="7"/>
    <x v="1"/>
    <x v="3"/>
    <n v="6900"/>
    <n v="4"/>
    <n v="27600"/>
  </r>
  <r>
    <s v="0682"/>
    <x v="207"/>
    <n v="18"/>
    <x v="3"/>
    <x v="3"/>
    <x v="3"/>
    <x v="1"/>
    <n v="28900"/>
    <n v="3"/>
    <n v="86700"/>
  </r>
  <r>
    <s v="0683"/>
    <x v="207"/>
    <n v="16"/>
    <x v="4"/>
    <x v="4"/>
    <x v="3"/>
    <x v="1"/>
    <n v="28900"/>
    <n v="6"/>
    <n v="173400"/>
  </r>
  <r>
    <s v="0684"/>
    <x v="207"/>
    <n v="18"/>
    <x v="3"/>
    <x v="3"/>
    <x v="3"/>
    <x v="2"/>
    <n v="15900"/>
    <n v="3"/>
    <n v="47700"/>
  </r>
  <r>
    <s v="0685"/>
    <x v="207"/>
    <n v="11"/>
    <x v="0"/>
    <x v="6"/>
    <x v="0"/>
    <x v="0"/>
    <n v="19900"/>
    <n v="4"/>
    <n v="79600"/>
  </r>
  <r>
    <s v="0686"/>
    <x v="207"/>
    <n v="1"/>
    <x v="1"/>
    <x v="7"/>
    <x v="1"/>
    <x v="3"/>
    <n v="6900"/>
    <n v="1"/>
    <n v="6900"/>
  </r>
  <r>
    <s v="0687"/>
    <x v="207"/>
    <n v="15"/>
    <x v="19"/>
    <x v="6"/>
    <x v="0"/>
    <x v="3"/>
    <n v="6900"/>
    <n v="0"/>
    <n v="0"/>
  </r>
  <r>
    <s v="0688"/>
    <x v="207"/>
    <n v="19"/>
    <x v="13"/>
    <x v="3"/>
    <x v="3"/>
    <x v="0"/>
    <n v="19900"/>
    <n v="5"/>
    <n v="99500"/>
  </r>
  <r>
    <s v="0689"/>
    <x v="207"/>
    <n v="19"/>
    <x v="13"/>
    <x v="4"/>
    <x v="3"/>
    <x v="2"/>
    <n v="15900"/>
    <n v="8"/>
    <n v="127200"/>
  </r>
  <r>
    <s v="0690"/>
    <x v="207"/>
    <n v="5"/>
    <x v="15"/>
    <x v="1"/>
    <x v="1"/>
    <x v="4"/>
    <n v="39900"/>
    <n v="5"/>
    <n v="199500"/>
  </r>
  <r>
    <s v="0691"/>
    <x v="207"/>
    <n v="19"/>
    <x v="13"/>
    <x v="3"/>
    <x v="3"/>
    <x v="1"/>
    <n v="28900"/>
    <n v="2"/>
    <n v="57800"/>
  </r>
  <r>
    <s v="0692"/>
    <x v="207"/>
    <n v="7"/>
    <x v="17"/>
    <x v="5"/>
    <x v="2"/>
    <x v="1"/>
    <n v="28900"/>
    <n v="4"/>
    <n v="115600"/>
  </r>
  <r>
    <s v="0693"/>
    <x v="207"/>
    <n v="11"/>
    <x v="0"/>
    <x v="0"/>
    <x v="0"/>
    <x v="0"/>
    <n v="19900"/>
    <n v="5"/>
    <n v="99500"/>
  </r>
  <r>
    <s v="0694"/>
    <x v="207"/>
    <n v="8"/>
    <x v="10"/>
    <x v="5"/>
    <x v="2"/>
    <x v="2"/>
    <n v="15900"/>
    <n v="8"/>
    <n v="127200"/>
  </r>
  <r>
    <s v="0695"/>
    <x v="208"/>
    <n v="12"/>
    <x v="16"/>
    <x v="6"/>
    <x v="0"/>
    <x v="1"/>
    <n v="28900"/>
    <n v="7"/>
    <n v="202300"/>
  </r>
  <r>
    <s v="0696"/>
    <x v="209"/>
    <n v="3"/>
    <x v="9"/>
    <x v="7"/>
    <x v="1"/>
    <x v="0"/>
    <n v="19900"/>
    <n v="8"/>
    <n v="159200"/>
  </r>
  <r>
    <s v="0697"/>
    <x v="209"/>
    <n v="5"/>
    <x v="15"/>
    <x v="7"/>
    <x v="1"/>
    <x v="2"/>
    <n v="15900"/>
    <n v="1"/>
    <n v="15900"/>
  </r>
  <r>
    <s v="0698"/>
    <x v="210"/>
    <n v="8"/>
    <x v="10"/>
    <x v="5"/>
    <x v="2"/>
    <x v="1"/>
    <n v="28900"/>
    <n v="9"/>
    <n v="260100"/>
  </r>
  <r>
    <s v="0699"/>
    <x v="211"/>
    <n v="5"/>
    <x v="15"/>
    <x v="7"/>
    <x v="1"/>
    <x v="0"/>
    <n v="19900"/>
    <n v="3"/>
    <n v="59700"/>
  </r>
  <r>
    <s v="0700"/>
    <x v="212"/>
    <n v="20"/>
    <x v="8"/>
    <x v="4"/>
    <x v="3"/>
    <x v="1"/>
    <n v="28900"/>
    <n v="0"/>
    <n v="0"/>
  </r>
  <r>
    <s v="0701"/>
    <x v="213"/>
    <n v="15"/>
    <x v="19"/>
    <x v="0"/>
    <x v="0"/>
    <x v="1"/>
    <n v="28900"/>
    <n v="2"/>
    <n v="57800"/>
  </r>
  <r>
    <s v="0702"/>
    <x v="214"/>
    <n v="6"/>
    <x v="11"/>
    <x v="5"/>
    <x v="2"/>
    <x v="0"/>
    <n v="19900"/>
    <n v="3"/>
    <n v="59700"/>
  </r>
  <r>
    <s v="0703"/>
    <x v="214"/>
    <n v="19"/>
    <x v="13"/>
    <x v="4"/>
    <x v="3"/>
    <x v="1"/>
    <n v="28900"/>
    <n v="9"/>
    <n v="260100"/>
  </r>
  <r>
    <s v="0704"/>
    <x v="214"/>
    <n v="15"/>
    <x v="19"/>
    <x v="0"/>
    <x v="0"/>
    <x v="1"/>
    <n v="28900"/>
    <n v="6"/>
    <n v="173400"/>
  </r>
  <r>
    <s v="0705"/>
    <x v="214"/>
    <n v="14"/>
    <x v="7"/>
    <x v="0"/>
    <x v="0"/>
    <x v="1"/>
    <n v="28900"/>
    <n v="0"/>
    <n v="0"/>
  </r>
  <r>
    <s v="0706"/>
    <x v="214"/>
    <n v="7"/>
    <x v="17"/>
    <x v="5"/>
    <x v="2"/>
    <x v="2"/>
    <n v="15900"/>
    <n v="2"/>
    <n v="31800"/>
  </r>
  <r>
    <s v="0707"/>
    <x v="214"/>
    <n v="10"/>
    <x v="14"/>
    <x v="5"/>
    <x v="2"/>
    <x v="0"/>
    <n v="19900"/>
    <n v="1"/>
    <n v="19900"/>
  </r>
  <r>
    <s v="0708"/>
    <x v="214"/>
    <n v="1"/>
    <x v="1"/>
    <x v="1"/>
    <x v="1"/>
    <x v="1"/>
    <n v="28900"/>
    <n v="4"/>
    <n v="115600"/>
  </r>
  <r>
    <s v="0709"/>
    <x v="214"/>
    <n v="1"/>
    <x v="1"/>
    <x v="1"/>
    <x v="1"/>
    <x v="2"/>
    <n v="15900"/>
    <n v="9"/>
    <n v="143100"/>
  </r>
  <r>
    <s v="0710"/>
    <x v="214"/>
    <n v="13"/>
    <x v="5"/>
    <x v="0"/>
    <x v="0"/>
    <x v="1"/>
    <n v="28900"/>
    <n v="8"/>
    <n v="231200"/>
  </r>
  <r>
    <s v="0711"/>
    <x v="214"/>
    <n v="19"/>
    <x v="13"/>
    <x v="3"/>
    <x v="3"/>
    <x v="0"/>
    <n v="19900"/>
    <n v="1"/>
    <n v="19900"/>
  </r>
  <r>
    <s v="0712"/>
    <x v="215"/>
    <n v="12"/>
    <x v="16"/>
    <x v="0"/>
    <x v="0"/>
    <x v="2"/>
    <n v="15900"/>
    <n v="0"/>
    <n v="0"/>
  </r>
  <r>
    <s v="0713"/>
    <x v="215"/>
    <n v="19"/>
    <x v="13"/>
    <x v="3"/>
    <x v="3"/>
    <x v="2"/>
    <n v="15900"/>
    <n v="8"/>
    <n v="127200"/>
  </r>
  <r>
    <s v="0714"/>
    <x v="216"/>
    <n v="4"/>
    <x v="12"/>
    <x v="1"/>
    <x v="1"/>
    <x v="1"/>
    <n v="28900"/>
    <n v="6"/>
    <n v="173400"/>
  </r>
  <r>
    <s v="0715"/>
    <x v="216"/>
    <n v="13"/>
    <x v="5"/>
    <x v="6"/>
    <x v="0"/>
    <x v="2"/>
    <n v="15900"/>
    <n v="5"/>
    <n v="79500"/>
  </r>
  <r>
    <s v="0716"/>
    <x v="216"/>
    <n v="4"/>
    <x v="12"/>
    <x v="1"/>
    <x v="1"/>
    <x v="3"/>
    <n v="6900"/>
    <n v="8"/>
    <n v="55200"/>
  </r>
  <r>
    <s v="0717"/>
    <x v="216"/>
    <n v="12"/>
    <x v="16"/>
    <x v="0"/>
    <x v="0"/>
    <x v="0"/>
    <n v="19900"/>
    <n v="2"/>
    <n v="39800"/>
  </r>
  <r>
    <s v="0718"/>
    <x v="217"/>
    <n v="13"/>
    <x v="5"/>
    <x v="6"/>
    <x v="0"/>
    <x v="2"/>
    <n v="15900"/>
    <n v="3"/>
    <n v="47700"/>
  </r>
  <r>
    <s v="0719"/>
    <x v="217"/>
    <n v="2"/>
    <x v="18"/>
    <x v="7"/>
    <x v="1"/>
    <x v="2"/>
    <n v="15900"/>
    <n v="4"/>
    <n v="63600"/>
  </r>
  <r>
    <s v="0720"/>
    <x v="218"/>
    <n v="9"/>
    <x v="2"/>
    <x v="5"/>
    <x v="2"/>
    <x v="1"/>
    <n v="28900"/>
    <n v="9"/>
    <n v="260100"/>
  </r>
  <r>
    <s v="0721"/>
    <x v="218"/>
    <n v="7"/>
    <x v="17"/>
    <x v="5"/>
    <x v="2"/>
    <x v="2"/>
    <n v="15900"/>
    <n v="5"/>
    <n v="79500"/>
  </r>
  <r>
    <s v="0722"/>
    <x v="218"/>
    <n v="11"/>
    <x v="0"/>
    <x v="6"/>
    <x v="0"/>
    <x v="2"/>
    <n v="15900"/>
    <n v="4"/>
    <n v="63600"/>
  </r>
  <r>
    <s v="0723"/>
    <x v="219"/>
    <n v="8"/>
    <x v="10"/>
    <x v="5"/>
    <x v="2"/>
    <x v="4"/>
    <n v="39900"/>
    <n v="2"/>
    <n v="79800"/>
  </r>
  <r>
    <s v="0724"/>
    <x v="219"/>
    <n v="7"/>
    <x v="17"/>
    <x v="5"/>
    <x v="2"/>
    <x v="1"/>
    <n v="28900"/>
    <n v="5"/>
    <n v="144500"/>
  </r>
  <r>
    <s v="0725"/>
    <x v="219"/>
    <n v="8"/>
    <x v="10"/>
    <x v="2"/>
    <x v="2"/>
    <x v="1"/>
    <n v="28900"/>
    <n v="2"/>
    <n v="57800"/>
  </r>
  <r>
    <s v="0726"/>
    <x v="219"/>
    <n v="8"/>
    <x v="10"/>
    <x v="5"/>
    <x v="2"/>
    <x v="1"/>
    <n v="28900"/>
    <n v="1"/>
    <n v="28900"/>
  </r>
  <r>
    <s v="0727"/>
    <x v="219"/>
    <n v="17"/>
    <x v="6"/>
    <x v="4"/>
    <x v="3"/>
    <x v="3"/>
    <n v="6900"/>
    <n v="3"/>
    <n v="20700"/>
  </r>
  <r>
    <s v="0728"/>
    <x v="220"/>
    <n v="10"/>
    <x v="14"/>
    <x v="2"/>
    <x v="2"/>
    <x v="1"/>
    <n v="28900"/>
    <n v="7"/>
    <n v="202300"/>
  </r>
  <r>
    <s v="0729"/>
    <x v="220"/>
    <n v="6"/>
    <x v="11"/>
    <x v="5"/>
    <x v="2"/>
    <x v="0"/>
    <n v="19900"/>
    <n v="7"/>
    <n v="139300"/>
  </r>
  <r>
    <s v="0730"/>
    <x v="221"/>
    <n v="18"/>
    <x v="3"/>
    <x v="4"/>
    <x v="3"/>
    <x v="4"/>
    <n v="39900"/>
    <n v="4"/>
    <n v="159600"/>
  </r>
  <r>
    <s v="0731"/>
    <x v="221"/>
    <n v="13"/>
    <x v="5"/>
    <x v="0"/>
    <x v="0"/>
    <x v="4"/>
    <n v="39900"/>
    <n v="4"/>
    <n v="159600"/>
  </r>
  <r>
    <s v="0732"/>
    <x v="221"/>
    <n v="1"/>
    <x v="1"/>
    <x v="7"/>
    <x v="1"/>
    <x v="1"/>
    <n v="28900"/>
    <n v="6"/>
    <n v="173400"/>
  </r>
  <r>
    <s v="0733"/>
    <x v="221"/>
    <n v="17"/>
    <x v="6"/>
    <x v="4"/>
    <x v="3"/>
    <x v="2"/>
    <n v="15900"/>
    <n v="4"/>
    <n v="63600"/>
  </r>
  <r>
    <s v="0734"/>
    <x v="221"/>
    <n v="3"/>
    <x v="9"/>
    <x v="1"/>
    <x v="1"/>
    <x v="1"/>
    <n v="28900"/>
    <n v="2"/>
    <n v="57800"/>
  </r>
  <r>
    <s v="0735"/>
    <x v="222"/>
    <n v="3"/>
    <x v="9"/>
    <x v="7"/>
    <x v="1"/>
    <x v="4"/>
    <n v="39900"/>
    <n v="0"/>
    <n v="0"/>
  </r>
  <r>
    <s v="0736"/>
    <x v="222"/>
    <n v="14"/>
    <x v="7"/>
    <x v="0"/>
    <x v="0"/>
    <x v="2"/>
    <n v="15900"/>
    <n v="6"/>
    <n v="95400"/>
  </r>
  <r>
    <s v="0737"/>
    <x v="222"/>
    <n v="12"/>
    <x v="16"/>
    <x v="6"/>
    <x v="0"/>
    <x v="2"/>
    <n v="15900"/>
    <n v="5"/>
    <n v="79500"/>
  </r>
  <r>
    <s v="0738"/>
    <x v="223"/>
    <n v="8"/>
    <x v="10"/>
    <x v="2"/>
    <x v="2"/>
    <x v="4"/>
    <n v="39900"/>
    <n v="7"/>
    <n v="279300"/>
  </r>
  <r>
    <s v="0739"/>
    <x v="224"/>
    <n v="1"/>
    <x v="1"/>
    <x v="7"/>
    <x v="1"/>
    <x v="3"/>
    <n v="6900"/>
    <n v="6"/>
    <n v="41400"/>
  </r>
  <r>
    <s v="0740"/>
    <x v="224"/>
    <n v="19"/>
    <x v="13"/>
    <x v="4"/>
    <x v="3"/>
    <x v="0"/>
    <n v="19900"/>
    <n v="4"/>
    <n v="79600"/>
  </r>
  <r>
    <s v="0741"/>
    <x v="225"/>
    <n v="1"/>
    <x v="1"/>
    <x v="7"/>
    <x v="1"/>
    <x v="1"/>
    <n v="28900"/>
    <n v="7"/>
    <n v="202300"/>
  </r>
  <r>
    <s v="0742"/>
    <x v="225"/>
    <n v="18"/>
    <x v="3"/>
    <x v="4"/>
    <x v="3"/>
    <x v="1"/>
    <n v="28900"/>
    <n v="0"/>
    <n v="0"/>
  </r>
  <r>
    <s v="0743"/>
    <x v="226"/>
    <n v="19"/>
    <x v="13"/>
    <x v="3"/>
    <x v="3"/>
    <x v="3"/>
    <n v="6900"/>
    <n v="9"/>
    <n v="62100"/>
  </r>
  <r>
    <s v="0744"/>
    <x v="227"/>
    <n v="12"/>
    <x v="16"/>
    <x v="6"/>
    <x v="0"/>
    <x v="3"/>
    <n v="6900"/>
    <n v="5"/>
    <n v="34500"/>
  </r>
  <r>
    <s v="0745"/>
    <x v="227"/>
    <n v="8"/>
    <x v="10"/>
    <x v="2"/>
    <x v="2"/>
    <x v="4"/>
    <n v="39900"/>
    <n v="0"/>
    <n v="0"/>
  </r>
  <r>
    <s v="0746"/>
    <x v="228"/>
    <n v="2"/>
    <x v="18"/>
    <x v="7"/>
    <x v="1"/>
    <x v="2"/>
    <n v="15900"/>
    <n v="8"/>
    <n v="127200"/>
  </r>
  <r>
    <s v="0747"/>
    <x v="228"/>
    <n v="6"/>
    <x v="11"/>
    <x v="2"/>
    <x v="2"/>
    <x v="0"/>
    <n v="19900"/>
    <n v="3"/>
    <n v="59700"/>
  </r>
  <r>
    <s v="0748"/>
    <x v="229"/>
    <n v="8"/>
    <x v="10"/>
    <x v="2"/>
    <x v="2"/>
    <x v="0"/>
    <n v="19900"/>
    <n v="7"/>
    <n v="139300"/>
  </r>
  <r>
    <s v="0749"/>
    <x v="229"/>
    <n v="11"/>
    <x v="0"/>
    <x v="6"/>
    <x v="0"/>
    <x v="1"/>
    <n v="28900"/>
    <n v="3"/>
    <n v="86700"/>
  </r>
  <r>
    <s v="0750"/>
    <x v="229"/>
    <n v="20"/>
    <x v="8"/>
    <x v="4"/>
    <x v="3"/>
    <x v="2"/>
    <n v="15900"/>
    <n v="9"/>
    <n v="143100"/>
  </r>
  <r>
    <s v="0751"/>
    <x v="229"/>
    <n v="10"/>
    <x v="14"/>
    <x v="2"/>
    <x v="2"/>
    <x v="1"/>
    <n v="28900"/>
    <n v="5"/>
    <n v="144500"/>
  </r>
  <r>
    <s v="0752"/>
    <x v="230"/>
    <n v="8"/>
    <x v="10"/>
    <x v="5"/>
    <x v="2"/>
    <x v="4"/>
    <n v="39900"/>
    <n v="1"/>
    <n v="39900"/>
  </r>
  <r>
    <s v="0753"/>
    <x v="230"/>
    <n v="5"/>
    <x v="15"/>
    <x v="1"/>
    <x v="1"/>
    <x v="4"/>
    <n v="39900"/>
    <n v="6"/>
    <n v="239400"/>
  </r>
  <r>
    <s v="0754"/>
    <x v="231"/>
    <n v="14"/>
    <x v="7"/>
    <x v="6"/>
    <x v="0"/>
    <x v="0"/>
    <n v="19900"/>
    <n v="2"/>
    <n v="39800"/>
  </r>
  <r>
    <s v="0755"/>
    <x v="231"/>
    <n v="20"/>
    <x v="8"/>
    <x v="3"/>
    <x v="3"/>
    <x v="0"/>
    <n v="19900"/>
    <n v="6"/>
    <n v="119400"/>
  </r>
  <r>
    <s v="0756"/>
    <x v="231"/>
    <n v="17"/>
    <x v="6"/>
    <x v="3"/>
    <x v="3"/>
    <x v="4"/>
    <n v="39900"/>
    <n v="6"/>
    <n v="239400"/>
  </r>
  <r>
    <s v="0757"/>
    <x v="231"/>
    <n v="13"/>
    <x v="5"/>
    <x v="6"/>
    <x v="0"/>
    <x v="1"/>
    <n v="28900"/>
    <n v="0"/>
    <n v="0"/>
  </r>
  <r>
    <s v="0758"/>
    <x v="231"/>
    <n v="10"/>
    <x v="14"/>
    <x v="5"/>
    <x v="2"/>
    <x v="4"/>
    <n v="39900"/>
    <n v="4"/>
    <n v="159600"/>
  </r>
  <r>
    <s v="0759"/>
    <x v="231"/>
    <n v="3"/>
    <x v="9"/>
    <x v="7"/>
    <x v="1"/>
    <x v="1"/>
    <n v="28900"/>
    <n v="1"/>
    <n v="28900"/>
  </r>
  <r>
    <s v="0760"/>
    <x v="232"/>
    <n v="19"/>
    <x v="13"/>
    <x v="4"/>
    <x v="3"/>
    <x v="4"/>
    <n v="39900"/>
    <n v="6"/>
    <n v="239400"/>
  </r>
  <r>
    <s v="0761"/>
    <x v="232"/>
    <n v="16"/>
    <x v="4"/>
    <x v="4"/>
    <x v="3"/>
    <x v="2"/>
    <n v="15900"/>
    <n v="6"/>
    <n v="95400"/>
  </r>
  <r>
    <s v="0762"/>
    <x v="232"/>
    <n v="16"/>
    <x v="4"/>
    <x v="4"/>
    <x v="3"/>
    <x v="1"/>
    <n v="28900"/>
    <n v="2"/>
    <n v="57800"/>
  </r>
  <r>
    <s v="0763"/>
    <x v="232"/>
    <n v="17"/>
    <x v="6"/>
    <x v="3"/>
    <x v="3"/>
    <x v="3"/>
    <n v="6900"/>
    <n v="8"/>
    <n v="55200"/>
  </r>
  <r>
    <s v="0764"/>
    <x v="233"/>
    <n v="8"/>
    <x v="10"/>
    <x v="5"/>
    <x v="2"/>
    <x v="4"/>
    <n v="39900"/>
    <n v="2"/>
    <n v="79800"/>
  </r>
  <r>
    <s v="0765"/>
    <x v="233"/>
    <n v="19"/>
    <x v="13"/>
    <x v="4"/>
    <x v="3"/>
    <x v="2"/>
    <n v="15900"/>
    <n v="8"/>
    <n v="127200"/>
  </r>
  <r>
    <s v="0766"/>
    <x v="233"/>
    <n v="14"/>
    <x v="7"/>
    <x v="6"/>
    <x v="0"/>
    <x v="4"/>
    <n v="39900"/>
    <n v="9"/>
    <n v="359100"/>
  </r>
  <r>
    <s v="0767"/>
    <x v="234"/>
    <n v="13"/>
    <x v="5"/>
    <x v="0"/>
    <x v="0"/>
    <x v="0"/>
    <n v="19900"/>
    <n v="1"/>
    <n v="19900"/>
  </r>
  <r>
    <s v="0768"/>
    <x v="235"/>
    <n v="15"/>
    <x v="19"/>
    <x v="6"/>
    <x v="0"/>
    <x v="2"/>
    <n v="15900"/>
    <n v="1"/>
    <n v="15900"/>
  </r>
  <r>
    <s v="0769"/>
    <x v="236"/>
    <n v="7"/>
    <x v="17"/>
    <x v="2"/>
    <x v="2"/>
    <x v="4"/>
    <n v="39900"/>
    <n v="6"/>
    <n v="239400"/>
  </r>
  <r>
    <s v="0770"/>
    <x v="236"/>
    <n v="11"/>
    <x v="0"/>
    <x v="0"/>
    <x v="0"/>
    <x v="4"/>
    <n v="39900"/>
    <n v="0"/>
    <n v="0"/>
  </r>
  <r>
    <s v="0771"/>
    <x v="237"/>
    <n v="4"/>
    <x v="12"/>
    <x v="1"/>
    <x v="1"/>
    <x v="1"/>
    <n v="28900"/>
    <n v="2"/>
    <n v="57800"/>
  </r>
  <r>
    <s v="0772"/>
    <x v="237"/>
    <n v="6"/>
    <x v="11"/>
    <x v="5"/>
    <x v="2"/>
    <x v="1"/>
    <n v="28900"/>
    <n v="3"/>
    <n v="86700"/>
  </r>
  <r>
    <s v="0773"/>
    <x v="237"/>
    <n v="20"/>
    <x v="8"/>
    <x v="4"/>
    <x v="3"/>
    <x v="3"/>
    <n v="6900"/>
    <n v="0"/>
    <n v="0"/>
  </r>
  <r>
    <s v="0774"/>
    <x v="237"/>
    <n v="15"/>
    <x v="19"/>
    <x v="0"/>
    <x v="0"/>
    <x v="3"/>
    <n v="6900"/>
    <n v="2"/>
    <n v="13800"/>
  </r>
  <r>
    <s v="0775"/>
    <x v="237"/>
    <n v="13"/>
    <x v="5"/>
    <x v="6"/>
    <x v="0"/>
    <x v="4"/>
    <n v="39900"/>
    <n v="1"/>
    <n v="39900"/>
  </r>
  <r>
    <s v="0776"/>
    <x v="238"/>
    <n v="17"/>
    <x v="6"/>
    <x v="4"/>
    <x v="3"/>
    <x v="4"/>
    <n v="39900"/>
    <n v="2"/>
    <n v="79800"/>
  </r>
  <r>
    <s v="0777"/>
    <x v="238"/>
    <n v="4"/>
    <x v="12"/>
    <x v="7"/>
    <x v="1"/>
    <x v="4"/>
    <n v="39900"/>
    <n v="3"/>
    <n v="119700"/>
  </r>
  <r>
    <s v="0778"/>
    <x v="238"/>
    <n v="2"/>
    <x v="18"/>
    <x v="1"/>
    <x v="1"/>
    <x v="1"/>
    <n v="28900"/>
    <n v="5"/>
    <n v="144500"/>
  </r>
  <r>
    <s v="0779"/>
    <x v="238"/>
    <n v="14"/>
    <x v="7"/>
    <x v="6"/>
    <x v="0"/>
    <x v="1"/>
    <n v="28900"/>
    <n v="6"/>
    <n v="173400"/>
  </r>
  <r>
    <s v="0780"/>
    <x v="238"/>
    <n v="7"/>
    <x v="17"/>
    <x v="2"/>
    <x v="2"/>
    <x v="4"/>
    <n v="39900"/>
    <n v="8"/>
    <n v="319200"/>
  </r>
  <r>
    <s v="0781"/>
    <x v="239"/>
    <n v="11"/>
    <x v="0"/>
    <x v="6"/>
    <x v="0"/>
    <x v="3"/>
    <n v="6900"/>
    <n v="6"/>
    <n v="41400"/>
  </r>
  <r>
    <s v="0782"/>
    <x v="240"/>
    <n v="1"/>
    <x v="1"/>
    <x v="1"/>
    <x v="1"/>
    <x v="2"/>
    <n v="15900"/>
    <n v="9"/>
    <n v="143100"/>
  </r>
  <r>
    <s v="0783"/>
    <x v="240"/>
    <n v="8"/>
    <x v="10"/>
    <x v="2"/>
    <x v="2"/>
    <x v="4"/>
    <n v="39900"/>
    <n v="3"/>
    <n v="119700"/>
  </r>
  <r>
    <s v="0784"/>
    <x v="240"/>
    <n v="2"/>
    <x v="18"/>
    <x v="1"/>
    <x v="1"/>
    <x v="0"/>
    <n v="19900"/>
    <n v="5"/>
    <n v="99500"/>
  </r>
  <r>
    <s v="0785"/>
    <x v="240"/>
    <n v="5"/>
    <x v="15"/>
    <x v="7"/>
    <x v="1"/>
    <x v="4"/>
    <n v="39900"/>
    <n v="6"/>
    <n v="239400"/>
  </r>
  <r>
    <s v="0786"/>
    <x v="240"/>
    <n v="4"/>
    <x v="12"/>
    <x v="7"/>
    <x v="1"/>
    <x v="1"/>
    <n v="28900"/>
    <n v="6"/>
    <n v="173400"/>
  </r>
  <r>
    <s v="0787"/>
    <x v="241"/>
    <n v="14"/>
    <x v="7"/>
    <x v="0"/>
    <x v="0"/>
    <x v="3"/>
    <n v="6900"/>
    <n v="1"/>
    <n v="6900"/>
  </r>
  <r>
    <s v="0788"/>
    <x v="241"/>
    <n v="14"/>
    <x v="7"/>
    <x v="6"/>
    <x v="0"/>
    <x v="0"/>
    <n v="19900"/>
    <n v="6"/>
    <n v="119400"/>
  </r>
  <r>
    <s v="0789"/>
    <x v="241"/>
    <n v="6"/>
    <x v="11"/>
    <x v="5"/>
    <x v="2"/>
    <x v="2"/>
    <n v="15900"/>
    <n v="8"/>
    <n v="127200"/>
  </r>
  <r>
    <s v="0790"/>
    <x v="241"/>
    <n v="13"/>
    <x v="5"/>
    <x v="6"/>
    <x v="0"/>
    <x v="2"/>
    <n v="15900"/>
    <n v="8"/>
    <n v="127200"/>
  </r>
  <r>
    <s v="0791"/>
    <x v="242"/>
    <n v="18"/>
    <x v="3"/>
    <x v="3"/>
    <x v="3"/>
    <x v="4"/>
    <n v="39900"/>
    <n v="3"/>
    <n v="119700"/>
  </r>
  <r>
    <s v="0792"/>
    <x v="242"/>
    <n v="16"/>
    <x v="4"/>
    <x v="3"/>
    <x v="3"/>
    <x v="2"/>
    <n v="15900"/>
    <n v="9"/>
    <n v="143100"/>
  </r>
  <r>
    <s v="0793"/>
    <x v="243"/>
    <n v="10"/>
    <x v="14"/>
    <x v="5"/>
    <x v="2"/>
    <x v="4"/>
    <n v="39900"/>
    <n v="3"/>
    <n v="119700"/>
  </r>
  <r>
    <s v="0794"/>
    <x v="243"/>
    <n v="11"/>
    <x v="0"/>
    <x v="0"/>
    <x v="0"/>
    <x v="0"/>
    <n v="19900"/>
    <n v="8"/>
    <n v="159200"/>
  </r>
  <r>
    <s v="0795"/>
    <x v="243"/>
    <n v="13"/>
    <x v="5"/>
    <x v="6"/>
    <x v="0"/>
    <x v="0"/>
    <n v="19900"/>
    <n v="9"/>
    <n v="179100"/>
  </r>
  <r>
    <s v="0796"/>
    <x v="243"/>
    <n v="18"/>
    <x v="3"/>
    <x v="4"/>
    <x v="3"/>
    <x v="1"/>
    <n v="28900"/>
    <n v="4"/>
    <n v="115600"/>
  </r>
  <r>
    <s v="0797"/>
    <x v="244"/>
    <n v="4"/>
    <x v="12"/>
    <x v="7"/>
    <x v="1"/>
    <x v="3"/>
    <n v="6900"/>
    <n v="2"/>
    <n v="13800"/>
  </r>
  <r>
    <s v="0798"/>
    <x v="244"/>
    <n v="20"/>
    <x v="8"/>
    <x v="4"/>
    <x v="3"/>
    <x v="3"/>
    <n v="6900"/>
    <n v="6"/>
    <n v="41400"/>
  </r>
  <r>
    <s v="0799"/>
    <x v="245"/>
    <n v="16"/>
    <x v="4"/>
    <x v="4"/>
    <x v="3"/>
    <x v="4"/>
    <n v="39900"/>
    <n v="5"/>
    <n v="199500"/>
  </r>
  <r>
    <s v="0800"/>
    <x v="245"/>
    <n v="3"/>
    <x v="9"/>
    <x v="7"/>
    <x v="1"/>
    <x v="2"/>
    <n v="15900"/>
    <n v="4"/>
    <n v="63600"/>
  </r>
  <r>
    <s v="0801"/>
    <x v="245"/>
    <n v="10"/>
    <x v="14"/>
    <x v="5"/>
    <x v="2"/>
    <x v="1"/>
    <n v="28900"/>
    <n v="7"/>
    <n v="202300"/>
  </r>
  <r>
    <s v="0802"/>
    <x v="245"/>
    <n v="6"/>
    <x v="11"/>
    <x v="5"/>
    <x v="2"/>
    <x v="4"/>
    <n v="39900"/>
    <n v="8"/>
    <n v="319200"/>
  </r>
  <r>
    <s v="0803"/>
    <x v="245"/>
    <n v="17"/>
    <x v="6"/>
    <x v="4"/>
    <x v="3"/>
    <x v="0"/>
    <n v="19900"/>
    <n v="5"/>
    <n v="99500"/>
  </r>
  <r>
    <s v="0804"/>
    <x v="246"/>
    <n v="16"/>
    <x v="4"/>
    <x v="3"/>
    <x v="3"/>
    <x v="3"/>
    <n v="6900"/>
    <n v="1"/>
    <n v="6900"/>
  </r>
  <r>
    <s v="0805"/>
    <x v="247"/>
    <n v="19"/>
    <x v="13"/>
    <x v="4"/>
    <x v="3"/>
    <x v="4"/>
    <n v="39900"/>
    <n v="7"/>
    <n v="279300"/>
  </r>
  <r>
    <s v="0806"/>
    <x v="247"/>
    <n v="5"/>
    <x v="15"/>
    <x v="1"/>
    <x v="1"/>
    <x v="4"/>
    <n v="39900"/>
    <n v="6"/>
    <n v="239400"/>
  </r>
  <r>
    <s v="0807"/>
    <x v="247"/>
    <n v="11"/>
    <x v="0"/>
    <x v="0"/>
    <x v="0"/>
    <x v="2"/>
    <n v="15900"/>
    <n v="5"/>
    <n v="79500"/>
  </r>
  <r>
    <s v="0808"/>
    <x v="248"/>
    <n v="13"/>
    <x v="5"/>
    <x v="6"/>
    <x v="0"/>
    <x v="3"/>
    <n v="6900"/>
    <n v="5"/>
    <n v="34500"/>
  </r>
  <r>
    <s v="0809"/>
    <x v="248"/>
    <n v="19"/>
    <x v="13"/>
    <x v="3"/>
    <x v="3"/>
    <x v="0"/>
    <n v="19900"/>
    <n v="9"/>
    <n v="179100"/>
  </r>
  <r>
    <s v="0810"/>
    <x v="248"/>
    <n v="15"/>
    <x v="19"/>
    <x v="0"/>
    <x v="0"/>
    <x v="3"/>
    <n v="6900"/>
    <n v="5"/>
    <n v="34500"/>
  </r>
  <r>
    <s v="0811"/>
    <x v="248"/>
    <n v="14"/>
    <x v="7"/>
    <x v="0"/>
    <x v="0"/>
    <x v="3"/>
    <n v="6900"/>
    <n v="9"/>
    <n v="62100"/>
  </r>
  <r>
    <s v="0812"/>
    <x v="249"/>
    <n v="16"/>
    <x v="4"/>
    <x v="4"/>
    <x v="3"/>
    <x v="4"/>
    <n v="39900"/>
    <n v="1"/>
    <n v="39900"/>
  </r>
  <r>
    <s v="0813"/>
    <x v="250"/>
    <n v="16"/>
    <x v="4"/>
    <x v="4"/>
    <x v="3"/>
    <x v="2"/>
    <n v="15900"/>
    <n v="8"/>
    <n v="127200"/>
  </r>
  <r>
    <s v="0814"/>
    <x v="250"/>
    <n v="16"/>
    <x v="4"/>
    <x v="3"/>
    <x v="3"/>
    <x v="2"/>
    <n v="15900"/>
    <n v="4"/>
    <n v="63600"/>
  </r>
  <r>
    <s v="0815"/>
    <x v="250"/>
    <n v="3"/>
    <x v="9"/>
    <x v="1"/>
    <x v="1"/>
    <x v="2"/>
    <n v="15900"/>
    <n v="8"/>
    <n v="127200"/>
  </r>
  <r>
    <s v="0816"/>
    <x v="250"/>
    <n v="15"/>
    <x v="19"/>
    <x v="6"/>
    <x v="0"/>
    <x v="4"/>
    <n v="39900"/>
    <n v="4"/>
    <n v="159600"/>
  </r>
  <r>
    <s v="0817"/>
    <x v="250"/>
    <n v="20"/>
    <x v="8"/>
    <x v="3"/>
    <x v="3"/>
    <x v="3"/>
    <n v="6900"/>
    <n v="5"/>
    <n v="34500"/>
  </r>
  <r>
    <s v="0818"/>
    <x v="251"/>
    <n v="13"/>
    <x v="5"/>
    <x v="0"/>
    <x v="0"/>
    <x v="4"/>
    <n v="39900"/>
    <n v="3"/>
    <n v="119700"/>
  </r>
  <r>
    <s v="0819"/>
    <x v="251"/>
    <n v="6"/>
    <x v="11"/>
    <x v="2"/>
    <x v="2"/>
    <x v="1"/>
    <n v="28900"/>
    <n v="0"/>
    <n v="0"/>
  </r>
  <r>
    <s v="0820"/>
    <x v="252"/>
    <n v="11"/>
    <x v="0"/>
    <x v="6"/>
    <x v="0"/>
    <x v="2"/>
    <n v="15900"/>
    <n v="4"/>
    <n v="63600"/>
  </r>
  <r>
    <s v="0821"/>
    <x v="252"/>
    <n v="12"/>
    <x v="16"/>
    <x v="0"/>
    <x v="0"/>
    <x v="2"/>
    <n v="15900"/>
    <n v="4"/>
    <n v="63600"/>
  </r>
  <r>
    <s v="0822"/>
    <x v="252"/>
    <n v="19"/>
    <x v="13"/>
    <x v="3"/>
    <x v="3"/>
    <x v="4"/>
    <n v="39900"/>
    <n v="4"/>
    <n v="159600"/>
  </r>
  <r>
    <s v="0823"/>
    <x v="252"/>
    <n v="11"/>
    <x v="0"/>
    <x v="6"/>
    <x v="0"/>
    <x v="3"/>
    <n v="6900"/>
    <n v="8"/>
    <n v="55200"/>
  </r>
  <r>
    <s v="0824"/>
    <x v="252"/>
    <n v="8"/>
    <x v="10"/>
    <x v="2"/>
    <x v="2"/>
    <x v="1"/>
    <n v="28900"/>
    <n v="0"/>
    <n v="0"/>
  </r>
  <r>
    <s v="0825"/>
    <x v="253"/>
    <n v="20"/>
    <x v="8"/>
    <x v="4"/>
    <x v="3"/>
    <x v="4"/>
    <n v="39900"/>
    <n v="9"/>
    <n v="359100"/>
  </r>
  <r>
    <s v="0826"/>
    <x v="253"/>
    <n v="15"/>
    <x v="19"/>
    <x v="6"/>
    <x v="0"/>
    <x v="1"/>
    <n v="28900"/>
    <n v="1"/>
    <n v="28900"/>
  </r>
  <r>
    <s v="0827"/>
    <x v="253"/>
    <n v="1"/>
    <x v="1"/>
    <x v="1"/>
    <x v="1"/>
    <x v="2"/>
    <n v="15900"/>
    <n v="3"/>
    <n v="47700"/>
  </r>
  <r>
    <s v="0828"/>
    <x v="254"/>
    <n v="5"/>
    <x v="15"/>
    <x v="1"/>
    <x v="1"/>
    <x v="0"/>
    <n v="19900"/>
    <n v="3"/>
    <n v="59700"/>
  </r>
  <r>
    <s v="0829"/>
    <x v="254"/>
    <n v="14"/>
    <x v="7"/>
    <x v="0"/>
    <x v="0"/>
    <x v="3"/>
    <n v="6900"/>
    <n v="4"/>
    <n v="27600"/>
  </r>
  <r>
    <s v="0830"/>
    <x v="255"/>
    <n v="1"/>
    <x v="1"/>
    <x v="1"/>
    <x v="1"/>
    <x v="4"/>
    <n v="39900"/>
    <n v="6"/>
    <n v="239400"/>
  </r>
  <r>
    <s v="0831"/>
    <x v="256"/>
    <n v="1"/>
    <x v="1"/>
    <x v="1"/>
    <x v="1"/>
    <x v="0"/>
    <n v="19900"/>
    <n v="1"/>
    <n v="19900"/>
  </r>
  <r>
    <s v="0832"/>
    <x v="256"/>
    <n v="3"/>
    <x v="9"/>
    <x v="7"/>
    <x v="1"/>
    <x v="1"/>
    <n v="28900"/>
    <n v="1"/>
    <n v="28900"/>
  </r>
  <r>
    <s v="0833"/>
    <x v="257"/>
    <n v="16"/>
    <x v="4"/>
    <x v="4"/>
    <x v="3"/>
    <x v="4"/>
    <n v="39900"/>
    <n v="9"/>
    <n v="359100"/>
  </r>
  <r>
    <s v="0834"/>
    <x v="257"/>
    <n v="6"/>
    <x v="11"/>
    <x v="5"/>
    <x v="2"/>
    <x v="3"/>
    <n v="6900"/>
    <n v="6"/>
    <n v="41400"/>
  </r>
  <r>
    <s v="0835"/>
    <x v="257"/>
    <n v="19"/>
    <x v="13"/>
    <x v="4"/>
    <x v="3"/>
    <x v="4"/>
    <n v="39900"/>
    <n v="2"/>
    <n v="79800"/>
  </r>
  <r>
    <s v="0836"/>
    <x v="258"/>
    <n v="5"/>
    <x v="15"/>
    <x v="1"/>
    <x v="1"/>
    <x v="3"/>
    <n v="6900"/>
    <n v="6"/>
    <n v="41400"/>
  </r>
  <r>
    <s v="0837"/>
    <x v="259"/>
    <n v="3"/>
    <x v="9"/>
    <x v="7"/>
    <x v="1"/>
    <x v="0"/>
    <n v="19900"/>
    <n v="6"/>
    <n v="119400"/>
  </r>
  <r>
    <s v="0838"/>
    <x v="260"/>
    <n v="7"/>
    <x v="17"/>
    <x v="5"/>
    <x v="2"/>
    <x v="4"/>
    <n v="39900"/>
    <n v="3"/>
    <n v="119700"/>
  </r>
  <r>
    <s v="0839"/>
    <x v="261"/>
    <n v="20"/>
    <x v="8"/>
    <x v="4"/>
    <x v="3"/>
    <x v="1"/>
    <n v="28900"/>
    <n v="4"/>
    <n v="115600"/>
  </r>
  <r>
    <s v="0840"/>
    <x v="262"/>
    <n v="6"/>
    <x v="11"/>
    <x v="5"/>
    <x v="2"/>
    <x v="2"/>
    <n v="15900"/>
    <n v="8"/>
    <n v="127200"/>
  </r>
  <r>
    <s v="0841"/>
    <x v="262"/>
    <n v="7"/>
    <x v="17"/>
    <x v="2"/>
    <x v="2"/>
    <x v="1"/>
    <n v="28900"/>
    <n v="2"/>
    <n v="57800"/>
  </r>
  <r>
    <s v="0842"/>
    <x v="262"/>
    <n v="12"/>
    <x v="16"/>
    <x v="6"/>
    <x v="0"/>
    <x v="0"/>
    <n v="19900"/>
    <n v="4"/>
    <n v="79600"/>
  </r>
  <r>
    <s v="0843"/>
    <x v="262"/>
    <n v="4"/>
    <x v="12"/>
    <x v="1"/>
    <x v="1"/>
    <x v="0"/>
    <n v="19900"/>
    <n v="7"/>
    <n v="139300"/>
  </r>
  <r>
    <s v="0844"/>
    <x v="263"/>
    <n v="11"/>
    <x v="0"/>
    <x v="0"/>
    <x v="0"/>
    <x v="1"/>
    <n v="28900"/>
    <n v="6"/>
    <n v="173400"/>
  </r>
  <r>
    <s v="0845"/>
    <x v="263"/>
    <n v="8"/>
    <x v="10"/>
    <x v="5"/>
    <x v="2"/>
    <x v="2"/>
    <n v="15900"/>
    <n v="7"/>
    <n v="111300"/>
  </r>
  <r>
    <s v="0846"/>
    <x v="264"/>
    <n v="8"/>
    <x v="10"/>
    <x v="5"/>
    <x v="2"/>
    <x v="0"/>
    <n v="19900"/>
    <n v="8"/>
    <n v="159200"/>
  </r>
  <r>
    <s v="0847"/>
    <x v="264"/>
    <n v="5"/>
    <x v="15"/>
    <x v="1"/>
    <x v="1"/>
    <x v="2"/>
    <n v="15900"/>
    <n v="0"/>
    <n v="0"/>
  </r>
  <r>
    <s v="0848"/>
    <x v="264"/>
    <n v="15"/>
    <x v="19"/>
    <x v="0"/>
    <x v="0"/>
    <x v="1"/>
    <n v="28900"/>
    <n v="3"/>
    <n v="86700"/>
  </r>
  <r>
    <s v="0849"/>
    <x v="264"/>
    <n v="4"/>
    <x v="12"/>
    <x v="1"/>
    <x v="1"/>
    <x v="0"/>
    <n v="19900"/>
    <n v="8"/>
    <n v="159200"/>
  </r>
  <r>
    <s v="0850"/>
    <x v="264"/>
    <n v="10"/>
    <x v="14"/>
    <x v="5"/>
    <x v="2"/>
    <x v="1"/>
    <n v="28900"/>
    <n v="0"/>
    <n v="0"/>
  </r>
  <r>
    <s v="0851"/>
    <x v="264"/>
    <n v="17"/>
    <x v="6"/>
    <x v="3"/>
    <x v="3"/>
    <x v="1"/>
    <n v="28900"/>
    <n v="0"/>
    <n v="0"/>
  </r>
  <r>
    <s v="0852"/>
    <x v="264"/>
    <n v="6"/>
    <x v="11"/>
    <x v="5"/>
    <x v="2"/>
    <x v="4"/>
    <n v="39900"/>
    <n v="9"/>
    <n v="359100"/>
  </r>
  <r>
    <s v="0853"/>
    <x v="264"/>
    <n v="14"/>
    <x v="7"/>
    <x v="6"/>
    <x v="0"/>
    <x v="4"/>
    <n v="39900"/>
    <n v="4"/>
    <n v="159600"/>
  </r>
  <r>
    <s v="0854"/>
    <x v="264"/>
    <n v="7"/>
    <x v="17"/>
    <x v="2"/>
    <x v="2"/>
    <x v="0"/>
    <n v="19900"/>
    <n v="5"/>
    <n v="99500"/>
  </r>
  <r>
    <s v="0855"/>
    <x v="264"/>
    <n v="9"/>
    <x v="2"/>
    <x v="2"/>
    <x v="2"/>
    <x v="1"/>
    <n v="28900"/>
    <n v="7"/>
    <n v="202300"/>
  </r>
  <r>
    <s v="0856"/>
    <x v="264"/>
    <n v="19"/>
    <x v="13"/>
    <x v="4"/>
    <x v="3"/>
    <x v="2"/>
    <n v="15900"/>
    <n v="3"/>
    <n v="47700"/>
  </r>
  <r>
    <s v="0857"/>
    <x v="265"/>
    <n v="19"/>
    <x v="13"/>
    <x v="3"/>
    <x v="3"/>
    <x v="1"/>
    <n v="28900"/>
    <n v="8"/>
    <n v="231200"/>
  </r>
  <r>
    <s v="0858"/>
    <x v="266"/>
    <n v="17"/>
    <x v="6"/>
    <x v="3"/>
    <x v="3"/>
    <x v="3"/>
    <n v="6900"/>
    <n v="5"/>
    <n v="34500"/>
  </r>
  <r>
    <s v="0859"/>
    <x v="266"/>
    <n v="19"/>
    <x v="13"/>
    <x v="4"/>
    <x v="3"/>
    <x v="1"/>
    <n v="28900"/>
    <n v="4"/>
    <n v="115600"/>
  </r>
  <r>
    <s v="0860"/>
    <x v="266"/>
    <n v="6"/>
    <x v="11"/>
    <x v="5"/>
    <x v="2"/>
    <x v="0"/>
    <n v="19900"/>
    <n v="8"/>
    <n v="159200"/>
  </r>
  <r>
    <s v="0861"/>
    <x v="266"/>
    <n v="14"/>
    <x v="7"/>
    <x v="0"/>
    <x v="0"/>
    <x v="4"/>
    <n v="39900"/>
    <n v="2"/>
    <n v="79800"/>
  </r>
  <r>
    <s v="0862"/>
    <x v="267"/>
    <n v="17"/>
    <x v="6"/>
    <x v="3"/>
    <x v="3"/>
    <x v="3"/>
    <n v="6900"/>
    <n v="8"/>
    <n v="55200"/>
  </r>
  <r>
    <s v="0863"/>
    <x v="267"/>
    <n v="16"/>
    <x v="4"/>
    <x v="3"/>
    <x v="3"/>
    <x v="0"/>
    <n v="19900"/>
    <n v="0"/>
    <n v="0"/>
  </r>
  <r>
    <s v="0864"/>
    <x v="267"/>
    <n v="3"/>
    <x v="9"/>
    <x v="7"/>
    <x v="1"/>
    <x v="1"/>
    <n v="28900"/>
    <n v="4"/>
    <n v="115600"/>
  </r>
  <r>
    <s v="0865"/>
    <x v="268"/>
    <n v="16"/>
    <x v="4"/>
    <x v="3"/>
    <x v="3"/>
    <x v="3"/>
    <n v="6900"/>
    <n v="6"/>
    <n v="41400"/>
  </r>
  <r>
    <s v="0866"/>
    <x v="268"/>
    <n v="19"/>
    <x v="13"/>
    <x v="4"/>
    <x v="3"/>
    <x v="3"/>
    <n v="6900"/>
    <n v="2"/>
    <n v="13800"/>
  </r>
  <r>
    <s v="0867"/>
    <x v="269"/>
    <n v="7"/>
    <x v="17"/>
    <x v="5"/>
    <x v="2"/>
    <x v="0"/>
    <n v="19900"/>
    <n v="6"/>
    <n v="119400"/>
  </r>
  <r>
    <s v="0868"/>
    <x v="269"/>
    <n v="9"/>
    <x v="2"/>
    <x v="5"/>
    <x v="2"/>
    <x v="3"/>
    <n v="6900"/>
    <n v="7"/>
    <n v="48300"/>
  </r>
  <r>
    <s v="0869"/>
    <x v="270"/>
    <n v="14"/>
    <x v="7"/>
    <x v="6"/>
    <x v="0"/>
    <x v="4"/>
    <n v="39900"/>
    <n v="3"/>
    <n v="119700"/>
  </r>
  <r>
    <s v="0870"/>
    <x v="270"/>
    <n v="3"/>
    <x v="9"/>
    <x v="7"/>
    <x v="1"/>
    <x v="2"/>
    <n v="15900"/>
    <n v="5"/>
    <n v="79500"/>
  </r>
  <r>
    <s v="0871"/>
    <x v="270"/>
    <n v="9"/>
    <x v="2"/>
    <x v="5"/>
    <x v="2"/>
    <x v="3"/>
    <n v="6900"/>
    <n v="6"/>
    <n v="41400"/>
  </r>
  <r>
    <s v="0872"/>
    <x v="270"/>
    <n v="1"/>
    <x v="1"/>
    <x v="1"/>
    <x v="1"/>
    <x v="2"/>
    <n v="15900"/>
    <n v="5"/>
    <n v="79500"/>
  </r>
  <r>
    <s v="0873"/>
    <x v="271"/>
    <n v="20"/>
    <x v="8"/>
    <x v="3"/>
    <x v="3"/>
    <x v="0"/>
    <n v="19900"/>
    <n v="3"/>
    <n v="59700"/>
  </r>
  <r>
    <s v="0874"/>
    <x v="271"/>
    <n v="3"/>
    <x v="9"/>
    <x v="7"/>
    <x v="1"/>
    <x v="1"/>
    <n v="28900"/>
    <n v="8"/>
    <n v="231200"/>
  </r>
  <r>
    <s v="0875"/>
    <x v="271"/>
    <n v="4"/>
    <x v="12"/>
    <x v="7"/>
    <x v="1"/>
    <x v="3"/>
    <n v="6900"/>
    <n v="6"/>
    <n v="41400"/>
  </r>
  <r>
    <s v="0876"/>
    <x v="271"/>
    <n v="7"/>
    <x v="17"/>
    <x v="5"/>
    <x v="2"/>
    <x v="1"/>
    <n v="28900"/>
    <n v="0"/>
    <n v="0"/>
  </r>
  <r>
    <s v="0877"/>
    <x v="272"/>
    <n v="11"/>
    <x v="0"/>
    <x v="0"/>
    <x v="0"/>
    <x v="1"/>
    <n v="28900"/>
    <n v="1"/>
    <n v="28900"/>
  </r>
  <r>
    <s v="0878"/>
    <x v="272"/>
    <n v="15"/>
    <x v="19"/>
    <x v="6"/>
    <x v="0"/>
    <x v="2"/>
    <n v="15900"/>
    <n v="0"/>
    <n v="0"/>
  </r>
  <r>
    <s v="0879"/>
    <x v="272"/>
    <n v="20"/>
    <x v="8"/>
    <x v="4"/>
    <x v="3"/>
    <x v="0"/>
    <n v="19900"/>
    <n v="1"/>
    <n v="19900"/>
  </r>
  <r>
    <s v="0880"/>
    <x v="272"/>
    <n v="6"/>
    <x v="11"/>
    <x v="2"/>
    <x v="2"/>
    <x v="0"/>
    <n v="19900"/>
    <n v="7"/>
    <n v="139300"/>
  </r>
  <r>
    <s v="0881"/>
    <x v="273"/>
    <n v="9"/>
    <x v="2"/>
    <x v="2"/>
    <x v="2"/>
    <x v="4"/>
    <n v="39900"/>
    <n v="7"/>
    <n v="279300"/>
  </r>
  <r>
    <s v="0882"/>
    <x v="273"/>
    <n v="7"/>
    <x v="17"/>
    <x v="5"/>
    <x v="2"/>
    <x v="2"/>
    <n v="15900"/>
    <n v="2"/>
    <n v="31800"/>
  </r>
  <r>
    <s v="0883"/>
    <x v="274"/>
    <n v="3"/>
    <x v="9"/>
    <x v="7"/>
    <x v="1"/>
    <x v="0"/>
    <n v="19900"/>
    <n v="5"/>
    <n v="99500"/>
  </r>
  <r>
    <s v="0884"/>
    <x v="274"/>
    <n v="14"/>
    <x v="7"/>
    <x v="6"/>
    <x v="0"/>
    <x v="1"/>
    <n v="28900"/>
    <n v="9"/>
    <n v="260100"/>
  </r>
  <r>
    <s v="0885"/>
    <x v="274"/>
    <n v="15"/>
    <x v="19"/>
    <x v="6"/>
    <x v="0"/>
    <x v="2"/>
    <n v="15900"/>
    <n v="8"/>
    <n v="127200"/>
  </r>
  <r>
    <s v="0886"/>
    <x v="275"/>
    <n v="20"/>
    <x v="8"/>
    <x v="3"/>
    <x v="3"/>
    <x v="2"/>
    <n v="15900"/>
    <n v="1"/>
    <n v="15900"/>
  </r>
  <r>
    <s v="0887"/>
    <x v="276"/>
    <n v="20"/>
    <x v="8"/>
    <x v="4"/>
    <x v="3"/>
    <x v="1"/>
    <n v="28900"/>
    <n v="1"/>
    <n v="28900"/>
  </r>
  <r>
    <s v="0888"/>
    <x v="276"/>
    <n v="15"/>
    <x v="19"/>
    <x v="0"/>
    <x v="0"/>
    <x v="0"/>
    <n v="19900"/>
    <n v="3"/>
    <n v="59700"/>
  </r>
  <r>
    <s v="0889"/>
    <x v="277"/>
    <n v="20"/>
    <x v="8"/>
    <x v="3"/>
    <x v="3"/>
    <x v="0"/>
    <n v="19900"/>
    <n v="3"/>
    <n v="59700"/>
  </r>
  <r>
    <s v="0890"/>
    <x v="277"/>
    <n v="9"/>
    <x v="2"/>
    <x v="5"/>
    <x v="2"/>
    <x v="1"/>
    <n v="28900"/>
    <n v="9"/>
    <n v="260100"/>
  </r>
  <r>
    <s v="0891"/>
    <x v="277"/>
    <n v="4"/>
    <x v="12"/>
    <x v="1"/>
    <x v="1"/>
    <x v="0"/>
    <n v="19900"/>
    <n v="9"/>
    <n v="179100"/>
  </r>
  <r>
    <s v="0892"/>
    <x v="277"/>
    <n v="16"/>
    <x v="4"/>
    <x v="4"/>
    <x v="3"/>
    <x v="2"/>
    <n v="15900"/>
    <n v="7"/>
    <n v="111300"/>
  </r>
  <r>
    <s v="0893"/>
    <x v="277"/>
    <n v="5"/>
    <x v="15"/>
    <x v="7"/>
    <x v="1"/>
    <x v="3"/>
    <n v="6900"/>
    <n v="3"/>
    <n v="20700"/>
  </r>
  <r>
    <s v="0894"/>
    <x v="278"/>
    <n v="11"/>
    <x v="0"/>
    <x v="6"/>
    <x v="0"/>
    <x v="2"/>
    <n v="15900"/>
    <n v="6"/>
    <n v="95400"/>
  </r>
  <r>
    <s v="0895"/>
    <x v="278"/>
    <n v="9"/>
    <x v="2"/>
    <x v="2"/>
    <x v="2"/>
    <x v="0"/>
    <n v="19900"/>
    <n v="2"/>
    <n v="39800"/>
  </r>
  <r>
    <s v="0896"/>
    <x v="278"/>
    <n v="6"/>
    <x v="11"/>
    <x v="5"/>
    <x v="2"/>
    <x v="0"/>
    <n v="19900"/>
    <n v="8"/>
    <n v="159200"/>
  </r>
  <r>
    <s v="0897"/>
    <x v="278"/>
    <n v="4"/>
    <x v="12"/>
    <x v="1"/>
    <x v="1"/>
    <x v="4"/>
    <n v="39900"/>
    <n v="0"/>
    <n v="0"/>
  </r>
  <r>
    <s v="0898"/>
    <x v="278"/>
    <n v="17"/>
    <x v="6"/>
    <x v="4"/>
    <x v="3"/>
    <x v="0"/>
    <n v="19900"/>
    <n v="2"/>
    <n v="39800"/>
  </r>
  <r>
    <s v="0899"/>
    <x v="279"/>
    <n v="1"/>
    <x v="1"/>
    <x v="7"/>
    <x v="1"/>
    <x v="0"/>
    <n v="19900"/>
    <n v="4"/>
    <n v="79600"/>
  </r>
  <r>
    <s v="0900"/>
    <x v="279"/>
    <n v="4"/>
    <x v="12"/>
    <x v="1"/>
    <x v="1"/>
    <x v="2"/>
    <n v="15900"/>
    <n v="5"/>
    <n v="79500"/>
  </r>
  <r>
    <s v="0901"/>
    <x v="280"/>
    <n v="15"/>
    <x v="19"/>
    <x v="0"/>
    <x v="0"/>
    <x v="4"/>
    <n v="39900"/>
    <n v="7"/>
    <n v="279300"/>
  </r>
  <r>
    <s v="0902"/>
    <x v="281"/>
    <n v="13"/>
    <x v="5"/>
    <x v="0"/>
    <x v="0"/>
    <x v="4"/>
    <n v="39900"/>
    <n v="4"/>
    <n v="159600"/>
  </r>
  <r>
    <s v="0903"/>
    <x v="282"/>
    <n v="6"/>
    <x v="11"/>
    <x v="2"/>
    <x v="2"/>
    <x v="1"/>
    <n v="28900"/>
    <n v="3"/>
    <n v="86700"/>
  </r>
  <r>
    <s v="0904"/>
    <x v="282"/>
    <n v="5"/>
    <x v="15"/>
    <x v="1"/>
    <x v="1"/>
    <x v="1"/>
    <n v="28900"/>
    <n v="1"/>
    <n v="28900"/>
  </r>
  <r>
    <s v="0905"/>
    <x v="283"/>
    <n v="13"/>
    <x v="5"/>
    <x v="0"/>
    <x v="0"/>
    <x v="1"/>
    <n v="28900"/>
    <n v="7"/>
    <n v="202300"/>
  </r>
  <r>
    <s v="0906"/>
    <x v="283"/>
    <n v="19"/>
    <x v="13"/>
    <x v="3"/>
    <x v="3"/>
    <x v="0"/>
    <n v="19900"/>
    <n v="5"/>
    <n v="99500"/>
  </r>
  <r>
    <s v="0907"/>
    <x v="284"/>
    <n v="10"/>
    <x v="14"/>
    <x v="2"/>
    <x v="2"/>
    <x v="0"/>
    <n v="19900"/>
    <n v="1"/>
    <n v="19900"/>
  </r>
  <r>
    <s v="0908"/>
    <x v="284"/>
    <n v="20"/>
    <x v="8"/>
    <x v="3"/>
    <x v="3"/>
    <x v="1"/>
    <n v="28900"/>
    <n v="3"/>
    <n v="86700"/>
  </r>
  <r>
    <s v="0909"/>
    <x v="285"/>
    <n v="7"/>
    <x v="17"/>
    <x v="5"/>
    <x v="2"/>
    <x v="2"/>
    <n v="15900"/>
    <n v="8"/>
    <n v="127200"/>
  </r>
  <r>
    <s v="0910"/>
    <x v="285"/>
    <n v="19"/>
    <x v="13"/>
    <x v="3"/>
    <x v="3"/>
    <x v="0"/>
    <n v="19900"/>
    <n v="3"/>
    <n v="59700"/>
  </r>
  <r>
    <s v="0911"/>
    <x v="285"/>
    <n v="18"/>
    <x v="3"/>
    <x v="3"/>
    <x v="3"/>
    <x v="3"/>
    <n v="6900"/>
    <n v="9"/>
    <n v="62100"/>
  </r>
  <r>
    <s v="0912"/>
    <x v="285"/>
    <n v="13"/>
    <x v="5"/>
    <x v="0"/>
    <x v="0"/>
    <x v="1"/>
    <n v="28900"/>
    <n v="8"/>
    <n v="231200"/>
  </r>
  <r>
    <s v="0913"/>
    <x v="285"/>
    <n v="9"/>
    <x v="2"/>
    <x v="5"/>
    <x v="2"/>
    <x v="0"/>
    <n v="19900"/>
    <n v="5"/>
    <n v="99500"/>
  </r>
  <r>
    <s v="0914"/>
    <x v="285"/>
    <n v="14"/>
    <x v="7"/>
    <x v="0"/>
    <x v="0"/>
    <x v="2"/>
    <n v="15900"/>
    <n v="7"/>
    <n v="111300"/>
  </r>
  <r>
    <s v="0915"/>
    <x v="286"/>
    <n v="3"/>
    <x v="9"/>
    <x v="1"/>
    <x v="1"/>
    <x v="3"/>
    <n v="6900"/>
    <n v="2"/>
    <n v="13800"/>
  </r>
  <r>
    <s v="0916"/>
    <x v="286"/>
    <n v="10"/>
    <x v="14"/>
    <x v="5"/>
    <x v="2"/>
    <x v="1"/>
    <n v="28900"/>
    <n v="5"/>
    <n v="144500"/>
  </r>
  <r>
    <s v="0917"/>
    <x v="287"/>
    <n v="18"/>
    <x v="3"/>
    <x v="4"/>
    <x v="3"/>
    <x v="3"/>
    <n v="6900"/>
    <n v="2"/>
    <n v="13800"/>
  </r>
  <r>
    <s v="0918"/>
    <x v="287"/>
    <n v="18"/>
    <x v="3"/>
    <x v="4"/>
    <x v="3"/>
    <x v="2"/>
    <n v="15900"/>
    <n v="5"/>
    <n v="79500"/>
  </r>
  <r>
    <s v="0919"/>
    <x v="287"/>
    <n v="14"/>
    <x v="7"/>
    <x v="6"/>
    <x v="0"/>
    <x v="4"/>
    <n v="39900"/>
    <n v="9"/>
    <n v="359100"/>
  </r>
  <r>
    <s v="0920"/>
    <x v="287"/>
    <n v="2"/>
    <x v="18"/>
    <x v="7"/>
    <x v="1"/>
    <x v="0"/>
    <n v="19900"/>
    <n v="3"/>
    <n v="59700"/>
  </r>
  <r>
    <s v="0921"/>
    <x v="288"/>
    <n v="17"/>
    <x v="6"/>
    <x v="3"/>
    <x v="3"/>
    <x v="4"/>
    <n v="39900"/>
    <n v="6"/>
    <n v="239400"/>
  </r>
  <r>
    <s v="0922"/>
    <x v="288"/>
    <n v="1"/>
    <x v="1"/>
    <x v="1"/>
    <x v="1"/>
    <x v="1"/>
    <n v="28900"/>
    <n v="7"/>
    <n v="202300"/>
  </r>
  <r>
    <s v="0923"/>
    <x v="288"/>
    <n v="15"/>
    <x v="19"/>
    <x v="6"/>
    <x v="0"/>
    <x v="2"/>
    <n v="15900"/>
    <n v="3"/>
    <n v="47700"/>
  </r>
  <r>
    <s v="0924"/>
    <x v="288"/>
    <n v="11"/>
    <x v="0"/>
    <x v="0"/>
    <x v="0"/>
    <x v="1"/>
    <n v="28900"/>
    <n v="9"/>
    <n v="260100"/>
  </r>
  <r>
    <s v="0925"/>
    <x v="288"/>
    <n v="12"/>
    <x v="16"/>
    <x v="0"/>
    <x v="0"/>
    <x v="0"/>
    <n v="19900"/>
    <n v="7"/>
    <n v="139300"/>
  </r>
  <r>
    <s v="0926"/>
    <x v="289"/>
    <n v="1"/>
    <x v="1"/>
    <x v="7"/>
    <x v="1"/>
    <x v="0"/>
    <n v="19900"/>
    <n v="0"/>
    <n v="0"/>
  </r>
  <r>
    <s v="0927"/>
    <x v="289"/>
    <n v="8"/>
    <x v="10"/>
    <x v="5"/>
    <x v="2"/>
    <x v="0"/>
    <n v="19900"/>
    <n v="8"/>
    <n v="159200"/>
  </r>
  <r>
    <s v="0928"/>
    <x v="289"/>
    <n v="20"/>
    <x v="8"/>
    <x v="4"/>
    <x v="3"/>
    <x v="2"/>
    <n v="15900"/>
    <n v="8"/>
    <n v="127200"/>
  </r>
  <r>
    <s v="0929"/>
    <x v="289"/>
    <n v="14"/>
    <x v="7"/>
    <x v="6"/>
    <x v="0"/>
    <x v="2"/>
    <n v="15900"/>
    <n v="5"/>
    <n v="79500"/>
  </r>
  <r>
    <s v="0930"/>
    <x v="289"/>
    <n v="10"/>
    <x v="14"/>
    <x v="5"/>
    <x v="2"/>
    <x v="0"/>
    <n v="19900"/>
    <n v="3"/>
    <n v="59700"/>
  </r>
  <r>
    <s v="0931"/>
    <x v="290"/>
    <n v="17"/>
    <x v="6"/>
    <x v="4"/>
    <x v="3"/>
    <x v="4"/>
    <n v="39900"/>
    <n v="0"/>
    <n v="0"/>
  </r>
  <r>
    <s v="0932"/>
    <x v="291"/>
    <n v="5"/>
    <x v="15"/>
    <x v="7"/>
    <x v="1"/>
    <x v="0"/>
    <n v="19900"/>
    <n v="6"/>
    <n v="119400"/>
  </r>
  <r>
    <s v="0933"/>
    <x v="291"/>
    <n v="10"/>
    <x v="14"/>
    <x v="5"/>
    <x v="2"/>
    <x v="2"/>
    <n v="15900"/>
    <n v="6"/>
    <n v="95400"/>
  </r>
  <r>
    <s v="0934"/>
    <x v="292"/>
    <n v="17"/>
    <x v="6"/>
    <x v="4"/>
    <x v="3"/>
    <x v="2"/>
    <n v="15900"/>
    <n v="1"/>
    <n v="15900"/>
  </r>
  <r>
    <s v="0935"/>
    <x v="292"/>
    <n v="18"/>
    <x v="3"/>
    <x v="3"/>
    <x v="3"/>
    <x v="1"/>
    <n v="28900"/>
    <n v="5"/>
    <n v="144500"/>
  </r>
  <r>
    <s v="0936"/>
    <x v="292"/>
    <n v="2"/>
    <x v="18"/>
    <x v="1"/>
    <x v="1"/>
    <x v="3"/>
    <n v="6900"/>
    <n v="8"/>
    <n v="55200"/>
  </r>
  <r>
    <s v="0937"/>
    <x v="293"/>
    <n v="17"/>
    <x v="6"/>
    <x v="3"/>
    <x v="3"/>
    <x v="3"/>
    <n v="6900"/>
    <n v="5"/>
    <n v="34500"/>
  </r>
  <r>
    <s v="0938"/>
    <x v="294"/>
    <n v="10"/>
    <x v="14"/>
    <x v="2"/>
    <x v="2"/>
    <x v="4"/>
    <n v="39900"/>
    <n v="0"/>
    <n v="0"/>
  </r>
  <r>
    <s v="0939"/>
    <x v="294"/>
    <n v="1"/>
    <x v="1"/>
    <x v="7"/>
    <x v="1"/>
    <x v="1"/>
    <n v="28900"/>
    <n v="7"/>
    <n v="202300"/>
  </r>
  <r>
    <s v="0940"/>
    <x v="294"/>
    <n v="5"/>
    <x v="15"/>
    <x v="1"/>
    <x v="1"/>
    <x v="0"/>
    <n v="19900"/>
    <n v="5"/>
    <n v="99500"/>
  </r>
  <r>
    <s v="0941"/>
    <x v="294"/>
    <n v="20"/>
    <x v="8"/>
    <x v="3"/>
    <x v="3"/>
    <x v="2"/>
    <n v="15900"/>
    <n v="5"/>
    <n v="79500"/>
  </r>
  <r>
    <s v="0942"/>
    <x v="294"/>
    <n v="1"/>
    <x v="1"/>
    <x v="1"/>
    <x v="1"/>
    <x v="4"/>
    <n v="39900"/>
    <n v="8"/>
    <n v="319200"/>
  </r>
  <r>
    <s v="0943"/>
    <x v="294"/>
    <n v="6"/>
    <x v="11"/>
    <x v="2"/>
    <x v="2"/>
    <x v="2"/>
    <n v="15900"/>
    <n v="6"/>
    <n v="95400"/>
  </r>
  <r>
    <s v="0944"/>
    <x v="295"/>
    <n v="4"/>
    <x v="12"/>
    <x v="7"/>
    <x v="1"/>
    <x v="4"/>
    <n v="39900"/>
    <n v="1"/>
    <n v="39900"/>
  </r>
  <r>
    <s v="0945"/>
    <x v="296"/>
    <n v="17"/>
    <x v="6"/>
    <x v="4"/>
    <x v="3"/>
    <x v="0"/>
    <n v="19900"/>
    <n v="5"/>
    <n v="99500"/>
  </r>
  <r>
    <s v="0946"/>
    <x v="297"/>
    <n v="1"/>
    <x v="1"/>
    <x v="1"/>
    <x v="1"/>
    <x v="0"/>
    <n v="19900"/>
    <n v="1"/>
    <n v="19900"/>
  </r>
  <r>
    <s v="0947"/>
    <x v="297"/>
    <n v="15"/>
    <x v="19"/>
    <x v="0"/>
    <x v="0"/>
    <x v="3"/>
    <n v="6900"/>
    <n v="4"/>
    <n v="27600"/>
  </r>
  <r>
    <s v="0948"/>
    <x v="297"/>
    <n v="9"/>
    <x v="2"/>
    <x v="5"/>
    <x v="2"/>
    <x v="0"/>
    <n v="19900"/>
    <n v="5"/>
    <n v="99500"/>
  </r>
  <r>
    <s v="0949"/>
    <x v="298"/>
    <n v="6"/>
    <x v="11"/>
    <x v="5"/>
    <x v="2"/>
    <x v="4"/>
    <n v="39900"/>
    <n v="5"/>
    <n v="199500"/>
  </r>
  <r>
    <s v="0950"/>
    <x v="298"/>
    <n v="20"/>
    <x v="8"/>
    <x v="3"/>
    <x v="3"/>
    <x v="3"/>
    <n v="6900"/>
    <n v="8"/>
    <n v="55200"/>
  </r>
  <r>
    <s v="0951"/>
    <x v="299"/>
    <n v="17"/>
    <x v="6"/>
    <x v="4"/>
    <x v="3"/>
    <x v="0"/>
    <n v="19900"/>
    <n v="1"/>
    <n v="19900"/>
  </r>
  <r>
    <s v="0952"/>
    <x v="299"/>
    <n v="6"/>
    <x v="11"/>
    <x v="5"/>
    <x v="2"/>
    <x v="4"/>
    <n v="39900"/>
    <n v="7"/>
    <n v="279300"/>
  </r>
  <r>
    <s v="0953"/>
    <x v="299"/>
    <n v="3"/>
    <x v="9"/>
    <x v="7"/>
    <x v="1"/>
    <x v="0"/>
    <n v="19900"/>
    <n v="1"/>
    <n v="19900"/>
  </r>
  <r>
    <s v="0954"/>
    <x v="299"/>
    <n v="4"/>
    <x v="12"/>
    <x v="1"/>
    <x v="1"/>
    <x v="0"/>
    <n v="19900"/>
    <n v="8"/>
    <n v="159200"/>
  </r>
  <r>
    <s v="0955"/>
    <x v="300"/>
    <n v="10"/>
    <x v="14"/>
    <x v="2"/>
    <x v="2"/>
    <x v="0"/>
    <n v="19900"/>
    <n v="0"/>
    <n v="0"/>
  </r>
  <r>
    <s v="0956"/>
    <x v="301"/>
    <n v="6"/>
    <x v="11"/>
    <x v="2"/>
    <x v="2"/>
    <x v="2"/>
    <n v="15900"/>
    <n v="4"/>
    <n v="63600"/>
  </r>
  <r>
    <s v="0957"/>
    <x v="301"/>
    <n v="17"/>
    <x v="6"/>
    <x v="4"/>
    <x v="3"/>
    <x v="1"/>
    <n v="28900"/>
    <n v="9"/>
    <n v="260100"/>
  </r>
  <r>
    <s v="0958"/>
    <x v="301"/>
    <n v="9"/>
    <x v="2"/>
    <x v="2"/>
    <x v="2"/>
    <x v="4"/>
    <n v="39900"/>
    <n v="2"/>
    <n v="79800"/>
  </r>
  <r>
    <s v="0959"/>
    <x v="301"/>
    <n v="2"/>
    <x v="18"/>
    <x v="1"/>
    <x v="1"/>
    <x v="3"/>
    <n v="6900"/>
    <n v="6"/>
    <n v="41400"/>
  </r>
  <r>
    <s v="0960"/>
    <x v="301"/>
    <n v="9"/>
    <x v="2"/>
    <x v="2"/>
    <x v="2"/>
    <x v="3"/>
    <n v="6900"/>
    <n v="6"/>
    <n v="41400"/>
  </r>
  <r>
    <s v="0961"/>
    <x v="301"/>
    <n v="18"/>
    <x v="3"/>
    <x v="4"/>
    <x v="3"/>
    <x v="3"/>
    <n v="6900"/>
    <n v="3"/>
    <n v="20700"/>
  </r>
  <r>
    <s v="0962"/>
    <x v="301"/>
    <n v="9"/>
    <x v="2"/>
    <x v="2"/>
    <x v="2"/>
    <x v="3"/>
    <n v="6900"/>
    <n v="2"/>
    <n v="13800"/>
  </r>
  <r>
    <s v="0963"/>
    <x v="301"/>
    <n v="14"/>
    <x v="7"/>
    <x v="0"/>
    <x v="0"/>
    <x v="2"/>
    <n v="15900"/>
    <n v="1"/>
    <n v="15900"/>
  </r>
  <r>
    <s v="0964"/>
    <x v="301"/>
    <n v="7"/>
    <x v="17"/>
    <x v="2"/>
    <x v="2"/>
    <x v="4"/>
    <n v="39900"/>
    <n v="2"/>
    <n v="79800"/>
  </r>
  <r>
    <s v="0965"/>
    <x v="301"/>
    <n v="2"/>
    <x v="18"/>
    <x v="7"/>
    <x v="1"/>
    <x v="0"/>
    <n v="19900"/>
    <n v="7"/>
    <n v="139300"/>
  </r>
  <r>
    <s v="0966"/>
    <x v="301"/>
    <n v="18"/>
    <x v="3"/>
    <x v="4"/>
    <x v="3"/>
    <x v="2"/>
    <n v="15900"/>
    <n v="7"/>
    <n v="111300"/>
  </r>
  <r>
    <s v="0967"/>
    <x v="302"/>
    <n v="14"/>
    <x v="7"/>
    <x v="6"/>
    <x v="0"/>
    <x v="4"/>
    <n v="39900"/>
    <n v="1"/>
    <n v="39900"/>
  </r>
  <r>
    <s v="0968"/>
    <x v="302"/>
    <n v="19"/>
    <x v="13"/>
    <x v="3"/>
    <x v="3"/>
    <x v="3"/>
    <n v="6900"/>
    <n v="3"/>
    <n v="20700"/>
  </r>
  <r>
    <s v="0969"/>
    <x v="302"/>
    <n v="7"/>
    <x v="17"/>
    <x v="5"/>
    <x v="2"/>
    <x v="2"/>
    <n v="15900"/>
    <n v="1"/>
    <n v="15900"/>
  </r>
  <r>
    <s v="0970"/>
    <x v="303"/>
    <n v="7"/>
    <x v="17"/>
    <x v="5"/>
    <x v="2"/>
    <x v="4"/>
    <n v="39900"/>
    <n v="0"/>
    <n v="0"/>
  </r>
  <r>
    <s v="0971"/>
    <x v="304"/>
    <n v="14"/>
    <x v="7"/>
    <x v="6"/>
    <x v="0"/>
    <x v="0"/>
    <n v="19900"/>
    <n v="0"/>
    <n v="0"/>
  </r>
  <r>
    <s v="0972"/>
    <x v="305"/>
    <n v="19"/>
    <x v="13"/>
    <x v="3"/>
    <x v="3"/>
    <x v="2"/>
    <n v="15900"/>
    <n v="4"/>
    <n v="63600"/>
  </r>
  <r>
    <s v="0973"/>
    <x v="306"/>
    <n v="13"/>
    <x v="5"/>
    <x v="0"/>
    <x v="0"/>
    <x v="4"/>
    <n v="39900"/>
    <n v="0"/>
    <n v="0"/>
  </r>
  <r>
    <s v="0974"/>
    <x v="307"/>
    <n v="1"/>
    <x v="1"/>
    <x v="1"/>
    <x v="1"/>
    <x v="3"/>
    <n v="6900"/>
    <n v="7"/>
    <n v="48300"/>
  </r>
  <r>
    <s v="0975"/>
    <x v="307"/>
    <n v="13"/>
    <x v="5"/>
    <x v="6"/>
    <x v="0"/>
    <x v="2"/>
    <n v="15900"/>
    <n v="2"/>
    <n v="31800"/>
  </r>
  <r>
    <s v="0976"/>
    <x v="307"/>
    <n v="2"/>
    <x v="18"/>
    <x v="7"/>
    <x v="1"/>
    <x v="3"/>
    <n v="6900"/>
    <n v="1"/>
    <n v="6900"/>
  </r>
  <r>
    <s v="0977"/>
    <x v="308"/>
    <n v="5"/>
    <x v="15"/>
    <x v="7"/>
    <x v="1"/>
    <x v="0"/>
    <n v="19900"/>
    <n v="9"/>
    <n v="179100"/>
  </r>
  <r>
    <s v="0978"/>
    <x v="309"/>
    <n v="20"/>
    <x v="8"/>
    <x v="3"/>
    <x v="3"/>
    <x v="2"/>
    <n v="15900"/>
    <n v="0"/>
    <n v="0"/>
  </r>
  <r>
    <s v="0979"/>
    <x v="310"/>
    <n v="16"/>
    <x v="4"/>
    <x v="3"/>
    <x v="3"/>
    <x v="3"/>
    <n v="6900"/>
    <n v="9"/>
    <n v="62100"/>
  </r>
  <r>
    <s v="0980"/>
    <x v="310"/>
    <n v="9"/>
    <x v="2"/>
    <x v="5"/>
    <x v="2"/>
    <x v="1"/>
    <n v="28900"/>
    <n v="9"/>
    <n v="260100"/>
  </r>
  <r>
    <s v="0981"/>
    <x v="310"/>
    <n v="2"/>
    <x v="18"/>
    <x v="1"/>
    <x v="1"/>
    <x v="4"/>
    <n v="39900"/>
    <n v="4"/>
    <n v="159600"/>
  </r>
  <r>
    <s v="0982"/>
    <x v="311"/>
    <n v="8"/>
    <x v="10"/>
    <x v="5"/>
    <x v="2"/>
    <x v="0"/>
    <n v="19900"/>
    <n v="1"/>
    <n v="19900"/>
  </r>
  <r>
    <s v="0983"/>
    <x v="311"/>
    <n v="18"/>
    <x v="3"/>
    <x v="4"/>
    <x v="3"/>
    <x v="4"/>
    <n v="39900"/>
    <n v="9"/>
    <n v="359100"/>
  </r>
  <r>
    <s v="0984"/>
    <x v="311"/>
    <n v="12"/>
    <x v="16"/>
    <x v="0"/>
    <x v="0"/>
    <x v="3"/>
    <n v="6900"/>
    <n v="0"/>
    <n v="0"/>
  </r>
  <r>
    <s v="0985"/>
    <x v="311"/>
    <n v="10"/>
    <x v="14"/>
    <x v="2"/>
    <x v="2"/>
    <x v="2"/>
    <n v="15900"/>
    <n v="9"/>
    <n v="143100"/>
  </r>
  <r>
    <s v="0986"/>
    <x v="311"/>
    <n v="9"/>
    <x v="2"/>
    <x v="5"/>
    <x v="2"/>
    <x v="2"/>
    <n v="15900"/>
    <n v="7"/>
    <n v="111300"/>
  </r>
  <r>
    <s v="0987"/>
    <x v="312"/>
    <n v="8"/>
    <x v="10"/>
    <x v="2"/>
    <x v="2"/>
    <x v="0"/>
    <n v="19900"/>
    <n v="7"/>
    <n v="139300"/>
  </r>
  <r>
    <s v="0988"/>
    <x v="312"/>
    <n v="17"/>
    <x v="6"/>
    <x v="3"/>
    <x v="3"/>
    <x v="0"/>
    <n v="19900"/>
    <n v="2"/>
    <n v="39800"/>
  </r>
  <r>
    <s v="0989"/>
    <x v="312"/>
    <n v="4"/>
    <x v="12"/>
    <x v="1"/>
    <x v="1"/>
    <x v="2"/>
    <n v="15900"/>
    <n v="9"/>
    <n v="143100"/>
  </r>
  <r>
    <s v="0990"/>
    <x v="312"/>
    <n v="16"/>
    <x v="4"/>
    <x v="4"/>
    <x v="3"/>
    <x v="1"/>
    <n v="28900"/>
    <n v="4"/>
    <n v="115600"/>
  </r>
  <r>
    <s v="0991"/>
    <x v="312"/>
    <n v="18"/>
    <x v="3"/>
    <x v="3"/>
    <x v="3"/>
    <x v="4"/>
    <n v="39900"/>
    <n v="9"/>
    <n v="359100"/>
  </r>
  <r>
    <s v="0992"/>
    <x v="313"/>
    <n v="19"/>
    <x v="13"/>
    <x v="4"/>
    <x v="3"/>
    <x v="0"/>
    <n v="19900"/>
    <n v="8"/>
    <n v="159200"/>
  </r>
  <r>
    <s v="0993"/>
    <x v="313"/>
    <n v="10"/>
    <x v="14"/>
    <x v="5"/>
    <x v="2"/>
    <x v="4"/>
    <n v="39900"/>
    <n v="6"/>
    <n v="239400"/>
  </r>
  <r>
    <s v="0994"/>
    <x v="313"/>
    <n v="5"/>
    <x v="15"/>
    <x v="1"/>
    <x v="1"/>
    <x v="2"/>
    <n v="15900"/>
    <n v="4"/>
    <n v="63600"/>
  </r>
  <r>
    <s v="0995"/>
    <x v="314"/>
    <n v="10"/>
    <x v="14"/>
    <x v="2"/>
    <x v="2"/>
    <x v="3"/>
    <n v="6900"/>
    <n v="1"/>
    <n v="6900"/>
  </r>
  <r>
    <s v="0996"/>
    <x v="314"/>
    <n v="7"/>
    <x v="17"/>
    <x v="2"/>
    <x v="2"/>
    <x v="0"/>
    <n v="19900"/>
    <n v="0"/>
    <n v="0"/>
  </r>
  <r>
    <s v="0997"/>
    <x v="314"/>
    <n v="13"/>
    <x v="5"/>
    <x v="6"/>
    <x v="0"/>
    <x v="0"/>
    <n v="19900"/>
    <n v="9"/>
    <n v="179100"/>
  </r>
  <r>
    <s v="0998"/>
    <x v="315"/>
    <n v="14"/>
    <x v="7"/>
    <x v="6"/>
    <x v="0"/>
    <x v="0"/>
    <n v="19900"/>
    <n v="5"/>
    <n v="99500"/>
  </r>
  <r>
    <s v="0999"/>
    <x v="316"/>
    <n v="2"/>
    <x v="18"/>
    <x v="1"/>
    <x v="1"/>
    <x v="0"/>
    <n v="19900"/>
    <n v="3"/>
    <n v="59700"/>
  </r>
  <r>
    <n v="10"/>
    <x v="317"/>
    <n v="1"/>
    <x v="1"/>
    <x v="7"/>
    <x v="1"/>
    <x v="0"/>
    <n v="19900"/>
    <n v="7"/>
    <n v="139300"/>
  </r>
  <r>
    <s v="1001"/>
    <x v="318"/>
    <n v="15"/>
    <x v="19"/>
    <x v="0"/>
    <x v="0"/>
    <x v="1"/>
    <n v="28900"/>
    <n v="7"/>
    <n v="202300"/>
  </r>
  <r>
    <s v="1002"/>
    <x v="318"/>
    <n v="2"/>
    <x v="18"/>
    <x v="7"/>
    <x v="1"/>
    <x v="0"/>
    <n v="19900"/>
    <n v="2"/>
    <n v="39800"/>
  </r>
  <r>
    <s v="1003"/>
    <x v="318"/>
    <n v="10"/>
    <x v="14"/>
    <x v="5"/>
    <x v="2"/>
    <x v="2"/>
    <n v="15900"/>
    <n v="4"/>
    <n v="63600"/>
  </r>
  <r>
    <s v="1004"/>
    <x v="318"/>
    <n v="17"/>
    <x v="6"/>
    <x v="3"/>
    <x v="3"/>
    <x v="0"/>
    <n v="19900"/>
    <n v="9"/>
    <n v="179100"/>
  </r>
  <r>
    <s v="1005"/>
    <x v="318"/>
    <n v="10"/>
    <x v="14"/>
    <x v="2"/>
    <x v="2"/>
    <x v="0"/>
    <n v="19900"/>
    <n v="1"/>
    <n v="19900"/>
  </r>
  <r>
    <s v="1006"/>
    <x v="318"/>
    <n v="19"/>
    <x v="13"/>
    <x v="3"/>
    <x v="3"/>
    <x v="2"/>
    <n v="15900"/>
    <n v="2"/>
    <n v="31800"/>
  </r>
  <r>
    <s v="1007"/>
    <x v="318"/>
    <n v="6"/>
    <x v="11"/>
    <x v="2"/>
    <x v="2"/>
    <x v="0"/>
    <n v="19900"/>
    <n v="7"/>
    <n v="139300"/>
  </r>
  <r>
    <s v="1008"/>
    <x v="319"/>
    <n v="15"/>
    <x v="19"/>
    <x v="0"/>
    <x v="0"/>
    <x v="1"/>
    <n v="28900"/>
    <n v="1"/>
    <n v="28900"/>
  </r>
  <r>
    <s v="1009"/>
    <x v="319"/>
    <n v="8"/>
    <x v="10"/>
    <x v="2"/>
    <x v="2"/>
    <x v="4"/>
    <n v="39900"/>
    <n v="0"/>
    <n v="0"/>
  </r>
  <r>
    <s v="1010"/>
    <x v="320"/>
    <n v="1"/>
    <x v="1"/>
    <x v="1"/>
    <x v="1"/>
    <x v="0"/>
    <n v="19900"/>
    <n v="2"/>
    <n v="39800"/>
  </r>
  <r>
    <s v="1011"/>
    <x v="320"/>
    <n v="7"/>
    <x v="17"/>
    <x v="5"/>
    <x v="2"/>
    <x v="1"/>
    <n v="28900"/>
    <n v="0"/>
    <n v="0"/>
  </r>
  <r>
    <s v="1012"/>
    <x v="320"/>
    <n v="3"/>
    <x v="9"/>
    <x v="7"/>
    <x v="1"/>
    <x v="1"/>
    <n v="28900"/>
    <n v="4"/>
    <n v="115600"/>
  </r>
  <r>
    <s v="1013"/>
    <x v="320"/>
    <n v="9"/>
    <x v="2"/>
    <x v="5"/>
    <x v="2"/>
    <x v="3"/>
    <n v="6900"/>
    <n v="8"/>
    <n v="55200"/>
  </r>
  <r>
    <s v="1014"/>
    <x v="321"/>
    <n v="2"/>
    <x v="18"/>
    <x v="7"/>
    <x v="1"/>
    <x v="0"/>
    <n v="19900"/>
    <n v="6"/>
    <n v="119400"/>
  </r>
  <r>
    <s v="1015"/>
    <x v="322"/>
    <n v="5"/>
    <x v="15"/>
    <x v="1"/>
    <x v="1"/>
    <x v="4"/>
    <n v="39900"/>
    <n v="2"/>
    <n v="79800"/>
  </r>
  <r>
    <s v="1016"/>
    <x v="322"/>
    <n v="6"/>
    <x v="11"/>
    <x v="2"/>
    <x v="2"/>
    <x v="1"/>
    <n v="28900"/>
    <n v="5"/>
    <n v="144500"/>
  </r>
  <r>
    <s v="1017"/>
    <x v="322"/>
    <n v="12"/>
    <x v="16"/>
    <x v="0"/>
    <x v="0"/>
    <x v="0"/>
    <n v="19900"/>
    <n v="4"/>
    <n v="79600"/>
  </r>
  <r>
    <s v="1018"/>
    <x v="322"/>
    <n v="5"/>
    <x v="15"/>
    <x v="7"/>
    <x v="1"/>
    <x v="4"/>
    <n v="39900"/>
    <n v="1"/>
    <n v="39900"/>
  </r>
  <r>
    <s v="1019"/>
    <x v="323"/>
    <n v="5"/>
    <x v="15"/>
    <x v="7"/>
    <x v="1"/>
    <x v="4"/>
    <n v="39900"/>
    <n v="8"/>
    <n v="319200"/>
  </r>
  <r>
    <s v="1020"/>
    <x v="324"/>
    <n v="20"/>
    <x v="8"/>
    <x v="4"/>
    <x v="3"/>
    <x v="3"/>
    <n v="6900"/>
    <n v="9"/>
    <n v="62100"/>
  </r>
  <r>
    <s v="1021"/>
    <x v="324"/>
    <n v="16"/>
    <x v="4"/>
    <x v="3"/>
    <x v="3"/>
    <x v="4"/>
    <n v="39900"/>
    <n v="3"/>
    <n v="119700"/>
  </r>
  <r>
    <s v="1022"/>
    <x v="325"/>
    <n v="1"/>
    <x v="1"/>
    <x v="7"/>
    <x v="1"/>
    <x v="2"/>
    <n v="15900"/>
    <n v="6"/>
    <n v="95400"/>
  </r>
  <r>
    <s v="1023"/>
    <x v="325"/>
    <n v="5"/>
    <x v="15"/>
    <x v="7"/>
    <x v="1"/>
    <x v="4"/>
    <n v="39900"/>
    <n v="6"/>
    <n v="239400"/>
  </r>
  <r>
    <s v="1024"/>
    <x v="325"/>
    <n v="15"/>
    <x v="19"/>
    <x v="6"/>
    <x v="0"/>
    <x v="3"/>
    <n v="6900"/>
    <n v="7"/>
    <n v="48300"/>
  </r>
  <r>
    <s v="1025"/>
    <x v="325"/>
    <n v="2"/>
    <x v="18"/>
    <x v="7"/>
    <x v="1"/>
    <x v="0"/>
    <n v="19900"/>
    <n v="9"/>
    <n v="179100"/>
  </r>
  <r>
    <s v="1026"/>
    <x v="325"/>
    <n v="8"/>
    <x v="10"/>
    <x v="2"/>
    <x v="2"/>
    <x v="2"/>
    <n v="15900"/>
    <n v="6"/>
    <n v="95400"/>
  </r>
  <r>
    <s v="1027"/>
    <x v="325"/>
    <n v="3"/>
    <x v="9"/>
    <x v="7"/>
    <x v="1"/>
    <x v="3"/>
    <n v="6900"/>
    <n v="5"/>
    <n v="34500"/>
  </r>
  <r>
    <s v="1028"/>
    <x v="325"/>
    <n v="20"/>
    <x v="8"/>
    <x v="3"/>
    <x v="3"/>
    <x v="2"/>
    <n v="15900"/>
    <n v="0"/>
    <n v="0"/>
  </r>
  <r>
    <s v="1029"/>
    <x v="325"/>
    <n v="8"/>
    <x v="10"/>
    <x v="2"/>
    <x v="2"/>
    <x v="4"/>
    <n v="39900"/>
    <n v="9"/>
    <n v="359100"/>
  </r>
  <r>
    <s v="1030"/>
    <x v="325"/>
    <n v="7"/>
    <x v="17"/>
    <x v="2"/>
    <x v="2"/>
    <x v="4"/>
    <n v="39900"/>
    <n v="5"/>
    <n v="199500"/>
  </r>
  <r>
    <s v="1031"/>
    <x v="325"/>
    <n v="10"/>
    <x v="14"/>
    <x v="5"/>
    <x v="2"/>
    <x v="4"/>
    <n v="39900"/>
    <n v="0"/>
    <n v="0"/>
  </r>
  <r>
    <s v="1032"/>
    <x v="325"/>
    <n v="13"/>
    <x v="5"/>
    <x v="0"/>
    <x v="0"/>
    <x v="0"/>
    <n v="19900"/>
    <n v="7"/>
    <n v="139300"/>
  </r>
  <r>
    <s v="1033"/>
    <x v="326"/>
    <n v="15"/>
    <x v="19"/>
    <x v="0"/>
    <x v="0"/>
    <x v="3"/>
    <n v="6900"/>
    <n v="7"/>
    <n v="48300"/>
  </r>
  <r>
    <s v="1034"/>
    <x v="326"/>
    <n v="3"/>
    <x v="9"/>
    <x v="1"/>
    <x v="1"/>
    <x v="4"/>
    <n v="39900"/>
    <n v="2"/>
    <n v="79800"/>
  </r>
  <r>
    <s v="1035"/>
    <x v="326"/>
    <n v="4"/>
    <x v="12"/>
    <x v="1"/>
    <x v="1"/>
    <x v="4"/>
    <n v="39900"/>
    <n v="6"/>
    <n v="239400"/>
  </r>
  <r>
    <s v="1036"/>
    <x v="326"/>
    <n v="13"/>
    <x v="5"/>
    <x v="0"/>
    <x v="0"/>
    <x v="4"/>
    <n v="39900"/>
    <n v="9"/>
    <n v="359100"/>
  </r>
  <r>
    <s v="1037"/>
    <x v="326"/>
    <n v="12"/>
    <x v="16"/>
    <x v="0"/>
    <x v="0"/>
    <x v="1"/>
    <n v="28900"/>
    <n v="6"/>
    <n v="173400"/>
  </r>
  <r>
    <s v="1038"/>
    <x v="326"/>
    <n v="17"/>
    <x v="6"/>
    <x v="4"/>
    <x v="3"/>
    <x v="0"/>
    <n v="19900"/>
    <n v="3"/>
    <n v="59700"/>
  </r>
  <r>
    <s v="1039"/>
    <x v="327"/>
    <n v="13"/>
    <x v="5"/>
    <x v="6"/>
    <x v="0"/>
    <x v="1"/>
    <n v="28900"/>
    <n v="1"/>
    <n v="28900"/>
  </r>
  <r>
    <s v="1040"/>
    <x v="327"/>
    <n v="7"/>
    <x v="17"/>
    <x v="5"/>
    <x v="2"/>
    <x v="0"/>
    <n v="19900"/>
    <n v="5"/>
    <n v="99500"/>
  </r>
  <r>
    <s v="1041"/>
    <x v="327"/>
    <n v="18"/>
    <x v="3"/>
    <x v="4"/>
    <x v="3"/>
    <x v="2"/>
    <n v="15900"/>
    <n v="2"/>
    <n v="31800"/>
  </r>
  <r>
    <s v="1042"/>
    <x v="327"/>
    <n v="14"/>
    <x v="7"/>
    <x v="6"/>
    <x v="0"/>
    <x v="1"/>
    <n v="28900"/>
    <n v="2"/>
    <n v="57800"/>
  </r>
  <r>
    <s v="1043"/>
    <x v="327"/>
    <n v="3"/>
    <x v="9"/>
    <x v="7"/>
    <x v="1"/>
    <x v="3"/>
    <n v="6900"/>
    <n v="4"/>
    <n v="27600"/>
  </r>
  <r>
    <s v="1044"/>
    <x v="327"/>
    <n v="9"/>
    <x v="2"/>
    <x v="5"/>
    <x v="2"/>
    <x v="4"/>
    <n v="39900"/>
    <n v="1"/>
    <n v="39900"/>
  </r>
  <r>
    <s v="1045"/>
    <x v="327"/>
    <n v="11"/>
    <x v="0"/>
    <x v="6"/>
    <x v="0"/>
    <x v="4"/>
    <n v="39900"/>
    <n v="3"/>
    <n v="119700"/>
  </r>
  <r>
    <s v="1046"/>
    <x v="328"/>
    <n v="4"/>
    <x v="12"/>
    <x v="7"/>
    <x v="1"/>
    <x v="4"/>
    <n v="39900"/>
    <n v="5"/>
    <n v="199500"/>
  </r>
  <r>
    <s v="1047"/>
    <x v="329"/>
    <n v="6"/>
    <x v="11"/>
    <x v="5"/>
    <x v="2"/>
    <x v="1"/>
    <n v="28900"/>
    <n v="1"/>
    <n v="28900"/>
  </r>
  <r>
    <s v="1048"/>
    <x v="329"/>
    <n v="13"/>
    <x v="5"/>
    <x v="6"/>
    <x v="0"/>
    <x v="1"/>
    <n v="28900"/>
    <n v="7"/>
    <n v="202300"/>
  </r>
  <r>
    <s v="1049"/>
    <x v="330"/>
    <n v="2"/>
    <x v="18"/>
    <x v="1"/>
    <x v="1"/>
    <x v="4"/>
    <n v="39900"/>
    <n v="8"/>
    <n v="319200"/>
  </r>
  <r>
    <s v="1050"/>
    <x v="330"/>
    <n v="4"/>
    <x v="12"/>
    <x v="7"/>
    <x v="1"/>
    <x v="4"/>
    <n v="39900"/>
    <n v="6"/>
    <n v="239400"/>
  </r>
  <r>
    <s v="1051"/>
    <x v="330"/>
    <n v="1"/>
    <x v="1"/>
    <x v="7"/>
    <x v="1"/>
    <x v="3"/>
    <n v="6900"/>
    <n v="9"/>
    <n v="62100"/>
  </r>
  <r>
    <s v="1052"/>
    <x v="331"/>
    <n v="10"/>
    <x v="14"/>
    <x v="2"/>
    <x v="2"/>
    <x v="3"/>
    <n v="6900"/>
    <n v="7"/>
    <n v="48300"/>
  </r>
  <r>
    <s v="1053"/>
    <x v="331"/>
    <n v="15"/>
    <x v="19"/>
    <x v="6"/>
    <x v="0"/>
    <x v="3"/>
    <n v="6900"/>
    <n v="1"/>
    <n v="6900"/>
  </r>
  <r>
    <s v="1054"/>
    <x v="331"/>
    <n v="6"/>
    <x v="11"/>
    <x v="5"/>
    <x v="2"/>
    <x v="2"/>
    <n v="15900"/>
    <n v="2"/>
    <n v="31800"/>
  </r>
  <r>
    <s v="1055"/>
    <x v="331"/>
    <n v="11"/>
    <x v="0"/>
    <x v="0"/>
    <x v="0"/>
    <x v="1"/>
    <n v="28900"/>
    <n v="8"/>
    <n v="231200"/>
  </r>
  <r>
    <s v="1056"/>
    <x v="331"/>
    <n v="4"/>
    <x v="12"/>
    <x v="1"/>
    <x v="1"/>
    <x v="1"/>
    <n v="28900"/>
    <n v="7"/>
    <n v="202300"/>
  </r>
  <r>
    <s v="1057"/>
    <x v="332"/>
    <n v="8"/>
    <x v="10"/>
    <x v="5"/>
    <x v="2"/>
    <x v="0"/>
    <n v="19900"/>
    <n v="3"/>
    <n v="59700"/>
  </r>
  <r>
    <s v="1058"/>
    <x v="332"/>
    <n v="9"/>
    <x v="2"/>
    <x v="5"/>
    <x v="2"/>
    <x v="4"/>
    <n v="39900"/>
    <n v="6"/>
    <n v="239400"/>
  </r>
  <r>
    <s v="1059"/>
    <x v="332"/>
    <n v="12"/>
    <x v="16"/>
    <x v="6"/>
    <x v="0"/>
    <x v="1"/>
    <n v="28900"/>
    <n v="9"/>
    <n v="260100"/>
  </r>
  <r>
    <s v="1060"/>
    <x v="333"/>
    <n v="2"/>
    <x v="18"/>
    <x v="1"/>
    <x v="1"/>
    <x v="2"/>
    <n v="15900"/>
    <n v="1"/>
    <n v="15900"/>
  </r>
  <r>
    <s v="1061"/>
    <x v="334"/>
    <n v="8"/>
    <x v="10"/>
    <x v="5"/>
    <x v="2"/>
    <x v="4"/>
    <n v="39900"/>
    <n v="5"/>
    <n v="199500"/>
  </r>
  <r>
    <s v="1062"/>
    <x v="334"/>
    <n v="17"/>
    <x v="6"/>
    <x v="4"/>
    <x v="3"/>
    <x v="1"/>
    <n v="28900"/>
    <n v="0"/>
    <n v="0"/>
  </r>
  <r>
    <s v="1063"/>
    <x v="335"/>
    <n v="7"/>
    <x v="17"/>
    <x v="5"/>
    <x v="2"/>
    <x v="4"/>
    <n v="39900"/>
    <n v="3"/>
    <n v="119700"/>
  </r>
  <r>
    <s v="1064"/>
    <x v="336"/>
    <n v="1"/>
    <x v="1"/>
    <x v="7"/>
    <x v="1"/>
    <x v="1"/>
    <n v="28900"/>
    <n v="4"/>
    <n v="115600"/>
  </r>
  <r>
    <s v="1065"/>
    <x v="336"/>
    <n v="19"/>
    <x v="13"/>
    <x v="3"/>
    <x v="3"/>
    <x v="1"/>
    <n v="28900"/>
    <n v="2"/>
    <n v="57800"/>
  </r>
  <r>
    <s v="1066"/>
    <x v="337"/>
    <n v="2"/>
    <x v="18"/>
    <x v="1"/>
    <x v="1"/>
    <x v="3"/>
    <n v="6900"/>
    <n v="7"/>
    <n v="48300"/>
  </r>
  <r>
    <s v="1067"/>
    <x v="337"/>
    <n v="16"/>
    <x v="4"/>
    <x v="4"/>
    <x v="3"/>
    <x v="4"/>
    <n v="39900"/>
    <n v="0"/>
    <n v="0"/>
  </r>
  <r>
    <s v="1068"/>
    <x v="338"/>
    <n v="5"/>
    <x v="15"/>
    <x v="7"/>
    <x v="1"/>
    <x v="4"/>
    <n v="39900"/>
    <n v="4"/>
    <n v="159600"/>
  </r>
  <r>
    <s v="1069"/>
    <x v="339"/>
    <n v="4"/>
    <x v="12"/>
    <x v="1"/>
    <x v="1"/>
    <x v="0"/>
    <n v="19900"/>
    <n v="2"/>
    <n v="39800"/>
  </r>
  <r>
    <s v="1070"/>
    <x v="339"/>
    <n v="14"/>
    <x v="7"/>
    <x v="0"/>
    <x v="0"/>
    <x v="0"/>
    <n v="19900"/>
    <n v="3"/>
    <n v="59700"/>
  </r>
  <r>
    <s v="1071"/>
    <x v="339"/>
    <n v="4"/>
    <x v="12"/>
    <x v="1"/>
    <x v="1"/>
    <x v="0"/>
    <n v="19900"/>
    <n v="5"/>
    <n v="99500"/>
  </r>
  <r>
    <s v="1072"/>
    <x v="340"/>
    <n v="4"/>
    <x v="12"/>
    <x v="1"/>
    <x v="1"/>
    <x v="3"/>
    <n v="6900"/>
    <n v="7"/>
    <n v="48300"/>
  </r>
  <r>
    <s v="1073"/>
    <x v="340"/>
    <n v="9"/>
    <x v="2"/>
    <x v="2"/>
    <x v="2"/>
    <x v="1"/>
    <n v="28900"/>
    <n v="7"/>
    <n v="202300"/>
  </r>
  <r>
    <s v="1074"/>
    <x v="341"/>
    <n v="10"/>
    <x v="14"/>
    <x v="2"/>
    <x v="2"/>
    <x v="3"/>
    <n v="6900"/>
    <n v="7"/>
    <n v="48300"/>
  </r>
  <r>
    <s v="1075"/>
    <x v="341"/>
    <n v="4"/>
    <x v="12"/>
    <x v="1"/>
    <x v="1"/>
    <x v="3"/>
    <n v="6900"/>
    <n v="5"/>
    <n v="34500"/>
  </r>
  <r>
    <s v="1076"/>
    <x v="342"/>
    <n v="20"/>
    <x v="8"/>
    <x v="3"/>
    <x v="3"/>
    <x v="1"/>
    <n v="28900"/>
    <n v="8"/>
    <n v="231200"/>
  </r>
  <r>
    <s v="1077"/>
    <x v="343"/>
    <n v="11"/>
    <x v="0"/>
    <x v="0"/>
    <x v="0"/>
    <x v="1"/>
    <n v="28900"/>
    <n v="9"/>
    <n v="260100"/>
  </r>
  <r>
    <s v="1078"/>
    <x v="344"/>
    <n v="13"/>
    <x v="5"/>
    <x v="0"/>
    <x v="0"/>
    <x v="1"/>
    <n v="28900"/>
    <n v="8"/>
    <n v="231200"/>
  </r>
  <r>
    <s v="1079"/>
    <x v="344"/>
    <n v="10"/>
    <x v="14"/>
    <x v="2"/>
    <x v="2"/>
    <x v="3"/>
    <n v="6900"/>
    <n v="6"/>
    <n v="41400"/>
  </r>
  <r>
    <s v="1080"/>
    <x v="344"/>
    <n v="19"/>
    <x v="13"/>
    <x v="3"/>
    <x v="3"/>
    <x v="1"/>
    <n v="28900"/>
    <n v="9"/>
    <n v="260100"/>
  </r>
  <r>
    <s v="1081"/>
    <x v="345"/>
    <n v="14"/>
    <x v="7"/>
    <x v="0"/>
    <x v="0"/>
    <x v="1"/>
    <n v="28900"/>
    <n v="5"/>
    <n v="144500"/>
  </r>
  <r>
    <s v="1082"/>
    <x v="346"/>
    <n v="16"/>
    <x v="4"/>
    <x v="3"/>
    <x v="3"/>
    <x v="2"/>
    <n v="15900"/>
    <n v="0"/>
    <n v="0"/>
  </r>
  <r>
    <s v="1083"/>
    <x v="346"/>
    <n v="13"/>
    <x v="5"/>
    <x v="0"/>
    <x v="0"/>
    <x v="1"/>
    <n v="28900"/>
    <n v="5"/>
    <n v="144500"/>
  </r>
  <r>
    <s v="1084"/>
    <x v="346"/>
    <n v="2"/>
    <x v="18"/>
    <x v="1"/>
    <x v="1"/>
    <x v="0"/>
    <n v="19900"/>
    <n v="4"/>
    <n v="79600"/>
  </r>
  <r>
    <s v="1085"/>
    <x v="346"/>
    <n v="5"/>
    <x v="15"/>
    <x v="7"/>
    <x v="1"/>
    <x v="0"/>
    <n v="19900"/>
    <n v="9"/>
    <n v="179100"/>
  </r>
  <r>
    <s v="1086"/>
    <x v="346"/>
    <n v="11"/>
    <x v="0"/>
    <x v="6"/>
    <x v="0"/>
    <x v="3"/>
    <n v="6900"/>
    <n v="1"/>
    <n v="6900"/>
  </r>
  <r>
    <s v="1087"/>
    <x v="346"/>
    <n v="3"/>
    <x v="9"/>
    <x v="1"/>
    <x v="1"/>
    <x v="3"/>
    <n v="6900"/>
    <n v="5"/>
    <n v="34500"/>
  </r>
  <r>
    <s v="1088"/>
    <x v="346"/>
    <n v="11"/>
    <x v="0"/>
    <x v="6"/>
    <x v="0"/>
    <x v="2"/>
    <n v="15900"/>
    <n v="3"/>
    <n v="47700"/>
  </r>
  <r>
    <s v="1089"/>
    <x v="346"/>
    <n v="1"/>
    <x v="1"/>
    <x v="1"/>
    <x v="1"/>
    <x v="4"/>
    <n v="39900"/>
    <n v="1"/>
    <n v="39900"/>
  </r>
  <r>
    <s v="1090"/>
    <x v="347"/>
    <n v="18"/>
    <x v="3"/>
    <x v="3"/>
    <x v="3"/>
    <x v="1"/>
    <n v="28900"/>
    <n v="9"/>
    <n v="260100"/>
  </r>
  <r>
    <s v="1091"/>
    <x v="348"/>
    <n v="15"/>
    <x v="19"/>
    <x v="6"/>
    <x v="0"/>
    <x v="1"/>
    <n v="28900"/>
    <n v="9"/>
    <n v="260100"/>
  </r>
  <r>
    <s v="1092"/>
    <x v="348"/>
    <n v="8"/>
    <x v="10"/>
    <x v="2"/>
    <x v="2"/>
    <x v="1"/>
    <n v="28900"/>
    <n v="2"/>
    <n v="57800"/>
  </r>
  <r>
    <s v="1093"/>
    <x v="349"/>
    <n v="18"/>
    <x v="3"/>
    <x v="3"/>
    <x v="3"/>
    <x v="2"/>
    <n v="15900"/>
    <n v="4"/>
    <n v="63600"/>
  </r>
  <r>
    <s v="1094"/>
    <x v="349"/>
    <n v="5"/>
    <x v="15"/>
    <x v="7"/>
    <x v="1"/>
    <x v="3"/>
    <n v="6900"/>
    <n v="1"/>
    <n v="6900"/>
  </r>
  <r>
    <s v="1095"/>
    <x v="349"/>
    <n v="20"/>
    <x v="8"/>
    <x v="4"/>
    <x v="3"/>
    <x v="1"/>
    <n v="28900"/>
    <n v="3"/>
    <n v="86700"/>
  </r>
  <r>
    <s v="1096"/>
    <x v="350"/>
    <n v="12"/>
    <x v="16"/>
    <x v="0"/>
    <x v="0"/>
    <x v="4"/>
    <n v="39900"/>
    <n v="5"/>
    <n v="199500"/>
  </r>
  <r>
    <s v="1097"/>
    <x v="350"/>
    <n v="1"/>
    <x v="1"/>
    <x v="1"/>
    <x v="1"/>
    <x v="3"/>
    <n v="6900"/>
    <n v="6"/>
    <n v="41400"/>
  </r>
  <r>
    <s v="1098"/>
    <x v="351"/>
    <n v="10"/>
    <x v="14"/>
    <x v="2"/>
    <x v="2"/>
    <x v="0"/>
    <n v="19900"/>
    <n v="3"/>
    <n v="59700"/>
  </r>
  <r>
    <s v="1099"/>
    <x v="351"/>
    <n v="3"/>
    <x v="9"/>
    <x v="1"/>
    <x v="1"/>
    <x v="3"/>
    <n v="6900"/>
    <n v="2"/>
    <n v="13800"/>
  </r>
  <r>
    <s v="1100"/>
    <x v="351"/>
    <n v="8"/>
    <x v="10"/>
    <x v="5"/>
    <x v="2"/>
    <x v="2"/>
    <n v="15900"/>
    <n v="3"/>
    <n v="47700"/>
  </r>
  <r>
    <s v="1101"/>
    <x v="351"/>
    <n v="8"/>
    <x v="10"/>
    <x v="2"/>
    <x v="2"/>
    <x v="3"/>
    <n v="6900"/>
    <n v="9"/>
    <n v="62100"/>
  </r>
  <r>
    <s v="1102"/>
    <x v="351"/>
    <n v="12"/>
    <x v="16"/>
    <x v="0"/>
    <x v="0"/>
    <x v="4"/>
    <n v="39900"/>
    <n v="3"/>
    <n v="119700"/>
  </r>
  <r>
    <s v="1103"/>
    <x v="351"/>
    <n v="5"/>
    <x v="15"/>
    <x v="7"/>
    <x v="1"/>
    <x v="4"/>
    <n v="39900"/>
    <n v="0"/>
    <n v="0"/>
  </r>
  <r>
    <s v="1104"/>
    <x v="351"/>
    <n v="12"/>
    <x v="16"/>
    <x v="6"/>
    <x v="0"/>
    <x v="0"/>
    <n v="19900"/>
    <n v="2"/>
    <n v="39800"/>
  </r>
  <r>
    <s v="1105"/>
    <x v="351"/>
    <n v="12"/>
    <x v="16"/>
    <x v="0"/>
    <x v="0"/>
    <x v="2"/>
    <n v="15900"/>
    <n v="7"/>
    <n v="111300"/>
  </r>
  <r>
    <s v="1106"/>
    <x v="351"/>
    <n v="20"/>
    <x v="8"/>
    <x v="3"/>
    <x v="3"/>
    <x v="1"/>
    <n v="28900"/>
    <n v="4"/>
    <n v="115600"/>
  </r>
  <r>
    <s v="1107"/>
    <x v="351"/>
    <n v="7"/>
    <x v="17"/>
    <x v="5"/>
    <x v="2"/>
    <x v="0"/>
    <n v="19900"/>
    <n v="9"/>
    <n v="179100"/>
  </r>
  <r>
    <s v="1108"/>
    <x v="351"/>
    <n v="14"/>
    <x v="7"/>
    <x v="0"/>
    <x v="0"/>
    <x v="4"/>
    <n v="39900"/>
    <n v="5"/>
    <n v="199500"/>
  </r>
  <r>
    <s v="1109"/>
    <x v="352"/>
    <n v="11"/>
    <x v="0"/>
    <x v="0"/>
    <x v="0"/>
    <x v="2"/>
    <n v="15900"/>
    <n v="2"/>
    <n v="31800"/>
  </r>
  <r>
    <s v="1110"/>
    <x v="352"/>
    <n v="10"/>
    <x v="14"/>
    <x v="5"/>
    <x v="2"/>
    <x v="2"/>
    <n v="15900"/>
    <n v="9"/>
    <n v="143100"/>
  </r>
  <r>
    <s v="1111"/>
    <x v="353"/>
    <n v="4"/>
    <x v="12"/>
    <x v="1"/>
    <x v="1"/>
    <x v="4"/>
    <n v="39900"/>
    <n v="8"/>
    <n v="319200"/>
  </r>
  <r>
    <s v="1112"/>
    <x v="353"/>
    <n v="10"/>
    <x v="14"/>
    <x v="2"/>
    <x v="2"/>
    <x v="3"/>
    <n v="6900"/>
    <n v="6"/>
    <n v="41400"/>
  </r>
  <r>
    <s v="1113"/>
    <x v="353"/>
    <n v="19"/>
    <x v="13"/>
    <x v="3"/>
    <x v="3"/>
    <x v="3"/>
    <n v="6900"/>
    <n v="7"/>
    <n v="48300"/>
  </r>
  <r>
    <s v="1114"/>
    <x v="353"/>
    <n v="13"/>
    <x v="5"/>
    <x v="0"/>
    <x v="0"/>
    <x v="3"/>
    <n v="6900"/>
    <n v="8"/>
    <n v="55200"/>
  </r>
  <r>
    <s v="1115"/>
    <x v="353"/>
    <n v="20"/>
    <x v="8"/>
    <x v="4"/>
    <x v="3"/>
    <x v="0"/>
    <n v="19900"/>
    <n v="1"/>
    <n v="19900"/>
  </r>
  <r>
    <s v="1116"/>
    <x v="353"/>
    <n v="14"/>
    <x v="7"/>
    <x v="0"/>
    <x v="0"/>
    <x v="2"/>
    <n v="15900"/>
    <n v="9"/>
    <n v="143100"/>
  </r>
  <r>
    <s v="1117"/>
    <x v="353"/>
    <n v="9"/>
    <x v="2"/>
    <x v="2"/>
    <x v="2"/>
    <x v="1"/>
    <n v="28900"/>
    <n v="5"/>
    <n v="144500"/>
  </r>
  <r>
    <s v="1118"/>
    <x v="353"/>
    <n v="18"/>
    <x v="3"/>
    <x v="3"/>
    <x v="3"/>
    <x v="4"/>
    <n v="39900"/>
    <n v="7"/>
    <n v="279300"/>
  </r>
  <r>
    <s v="1119"/>
    <x v="353"/>
    <n v="10"/>
    <x v="14"/>
    <x v="2"/>
    <x v="2"/>
    <x v="0"/>
    <n v="19900"/>
    <n v="6"/>
    <n v="119400"/>
  </r>
  <r>
    <s v="1120"/>
    <x v="354"/>
    <n v="1"/>
    <x v="1"/>
    <x v="7"/>
    <x v="1"/>
    <x v="2"/>
    <n v="15900"/>
    <n v="8"/>
    <n v="127200"/>
  </r>
  <r>
    <s v="1121"/>
    <x v="355"/>
    <n v="14"/>
    <x v="7"/>
    <x v="6"/>
    <x v="0"/>
    <x v="4"/>
    <n v="39900"/>
    <n v="7"/>
    <n v="279300"/>
  </r>
  <r>
    <s v="1122"/>
    <x v="356"/>
    <n v="6"/>
    <x v="11"/>
    <x v="5"/>
    <x v="2"/>
    <x v="2"/>
    <n v="15900"/>
    <n v="2"/>
    <n v="31800"/>
  </r>
  <r>
    <s v="1123"/>
    <x v="356"/>
    <n v="9"/>
    <x v="2"/>
    <x v="2"/>
    <x v="2"/>
    <x v="2"/>
    <n v="15900"/>
    <n v="9"/>
    <n v="143100"/>
  </r>
  <r>
    <s v="1124"/>
    <x v="356"/>
    <n v="14"/>
    <x v="7"/>
    <x v="0"/>
    <x v="0"/>
    <x v="2"/>
    <n v="15900"/>
    <n v="2"/>
    <n v="31800"/>
  </r>
  <r>
    <s v="1125"/>
    <x v="356"/>
    <n v="19"/>
    <x v="13"/>
    <x v="3"/>
    <x v="3"/>
    <x v="3"/>
    <n v="6900"/>
    <n v="5"/>
    <n v="34500"/>
  </r>
  <r>
    <s v="1126"/>
    <x v="356"/>
    <n v="11"/>
    <x v="0"/>
    <x v="0"/>
    <x v="0"/>
    <x v="1"/>
    <n v="28900"/>
    <n v="9"/>
    <n v="260100"/>
  </r>
  <r>
    <s v="1127"/>
    <x v="356"/>
    <n v="17"/>
    <x v="6"/>
    <x v="4"/>
    <x v="3"/>
    <x v="0"/>
    <n v="19900"/>
    <n v="9"/>
    <n v="179100"/>
  </r>
  <r>
    <s v="1128"/>
    <x v="357"/>
    <n v="9"/>
    <x v="2"/>
    <x v="5"/>
    <x v="2"/>
    <x v="4"/>
    <n v="39900"/>
    <n v="2"/>
    <n v="79800"/>
  </r>
  <r>
    <s v="1129"/>
    <x v="357"/>
    <n v="13"/>
    <x v="5"/>
    <x v="0"/>
    <x v="0"/>
    <x v="2"/>
    <n v="15900"/>
    <n v="2"/>
    <n v="31800"/>
  </r>
  <r>
    <s v="1130"/>
    <x v="358"/>
    <n v="18"/>
    <x v="3"/>
    <x v="4"/>
    <x v="3"/>
    <x v="0"/>
    <n v="19900"/>
    <n v="8"/>
    <n v="159200"/>
  </r>
  <r>
    <s v="1131"/>
    <x v="358"/>
    <n v="4"/>
    <x v="12"/>
    <x v="7"/>
    <x v="1"/>
    <x v="3"/>
    <n v="6900"/>
    <n v="7"/>
    <n v="48300"/>
  </r>
  <r>
    <s v="1132"/>
    <x v="358"/>
    <n v="17"/>
    <x v="6"/>
    <x v="3"/>
    <x v="3"/>
    <x v="0"/>
    <n v="19900"/>
    <n v="3"/>
    <n v="59700"/>
  </r>
  <r>
    <s v="1133"/>
    <x v="358"/>
    <n v="8"/>
    <x v="10"/>
    <x v="5"/>
    <x v="2"/>
    <x v="3"/>
    <n v="6900"/>
    <n v="2"/>
    <n v="13800"/>
  </r>
  <r>
    <s v="1134"/>
    <x v="358"/>
    <n v="12"/>
    <x v="16"/>
    <x v="6"/>
    <x v="0"/>
    <x v="2"/>
    <n v="15900"/>
    <n v="5"/>
    <n v="79500"/>
  </r>
  <r>
    <s v="1135"/>
    <x v="358"/>
    <n v="5"/>
    <x v="15"/>
    <x v="1"/>
    <x v="1"/>
    <x v="1"/>
    <n v="28900"/>
    <n v="4"/>
    <n v="115600"/>
  </r>
  <r>
    <s v="1136"/>
    <x v="358"/>
    <n v="16"/>
    <x v="4"/>
    <x v="3"/>
    <x v="3"/>
    <x v="2"/>
    <n v="15900"/>
    <n v="4"/>
    <n v="63600"/>
  </r>
  <r>
    <s v="1137"/>
    <x v="358"/>
    <n v="3"/>
    <x v="9"/>
    <x v="7"/>
    <x v="1"/>
    <x v="1"/>
    <n v="28900"/>
    <n v="6"/>
    <n v="173400"/>
  </r>
  <r>
    <s v="1138"/>
    <x v="358"/>
    <n v="14"/>
    <x v="7"/>
    <x v="0"/>
    <x v="0"/>
    <x v="2"/>
    <n v="15900"/>
    <n v="0"/>
    <n v="0"/>
  </r>
  <r>
    <s v="1139"/>
    <x v="359"/>
    <n v="11"/>
    <x v="0"/>
    <x v="0"/>
    <x v="0"/>
    <x v="1"/>
    <n v="28900"/>
    <n v="2"/>
    <n v="57800"/>
  </r>
  <r>
    <s v="1140"/>
    <x v="360"/>
    <n v="6"/>
    <x v="11"/>
    <x v="5"/>
    <x v="2"/>
    <x v="2"/>
    <n v="15900"/>
    <n v="1"/>
    <n v="15900"/>
  </r>
  <r>
    <s v="1141"/>
    <x v="360"/>
    <n v="15"/>
    <x v="19"/>
    <x v="0"/>
    <x v="0"/>
    <x v="2"/>
    <n v="15900"/>
    <n v="0"/>
    <n v="0"/>
  </r>
  <r>
    <s v="1142"/>
    <x v="360"/>
    <n v="16"/>
    <x v="4"/>
    <x v="3"/>
    <x v="3"/>
    <x v="4"/>
    <n v="39900"/>
    <n v="8"/>
    <n v="319200"/>
  </r>
  <r>
    <s v="1143"/>
    <x v="361"/>
    <n v="17"/>
    <x v="6"/>
    <x v="3"/>
    <x v="3"/>
    <x v="3"/>
    <n v="6900"/>
    <n v="6"/>
    <n v="41400"/>
  </r>
  <r>
    <s v="1144"/>
    <x v="362"/>
    <n v="11"/>
    <x v="0"/>
    <x v="0"/>
    <x v="0"/>
    <x v="4"/>
    <n v="39900"/>
    <n v="2"/>
    <n v="79800"/>
  </r>
  <r>
    <s v="1145"/>
    <x v="363"/>
    <n v="12"/>
    <x v="16"/>
    <x v="0"/>
    <x v="0"/>
    <x v="4"/>
    <n v="39900"/>
    <n v="8"/>
    <n v="319200"/>
  </r>
  <r>
    <s v="1146"/>
    <x v="364"/>
    <n v="4"/>
    <x v="12"/>
    <x v="1"/>
    <x v="1"/>
    <x v="0"/>
    <n v="19900"/>
    <n v="8"/>
    <n v="159200"/>
  </r>
  <r>
    <s v="1147"/>
    <x v="365"/>
    <n v="20"/>
    <x v="8"/>
    <x v="4"/>
    <x v="3"/>
    <x v="4"/>
    <n v="39900"/>
    <n v="4"/>
    <n v="159600"/>
  </r>
  <r>
    <s v="1148"/>
    <x v="366"/>
    <n v="19"/>
    <x v="13"/>
    <x v="4"/>
    <x v="3"/>
    <x v="0"/>
    <n v="19900"/>
    <n v="0"/>
    <n v="0"/>
  </r>
  <r>
    <s v="1149"/>
    <x v="366"/>
    <n v="10"/>
    <x v="14"/>
    <x v="2"/>
    <x v="2"/>
    <x v="2"/>
    <n v="15900"/>
    <n v="7"/>
    <n v="111300"/>
  </r>
  <r>
    <s v="1150"/>
    <x v="366"/>
    <n v="5"/>
    <x v="15"/>
    <x v="7"/>
    <x v="1"/>
    <x v="2"/>
    <n v="15900"/>
    <n v="0"/>
    <n v="0"/>
  </r>
  <r>
    <s v="1151"/>
    <x v="367"/>
    <n v="1"/>
    <x v="1"/>
    <x v="7"/>
    <x v="1"/>
    <x v="1"/>
    <n v="28900"/>
    <n v="4"/>
    <n v="115600"/>
  </r>
  <r>
    <s v="1152"/>
    <x v="367"/>
    <n v="1"/>
    <x v="1"/>
    <x v="7"/>
    <x v="1"/>
    <x v="3"/>
    <n v="6900"/>
    <n v="7"/>
    <n v="48300"/>
  </r>
  <r>
    <s v="1153"/>
    <x v="368"/>
    <n v="20"/>
    <x v="8"/>
    <x v="4"/>
    <x v="3"/>
    <x v="2"/>
    <n v="15900"/>
    <n v="2"/>
    <n v="31800"/>
  </r>
  <r>
    <s v="1154"/>
    <x v="369"/>
    <n v="4"/>
    <x v="12"/>
    <x v="7"/>
    <x v="1"/>
    <x v="3"/>
    <n v="6900"/>
    <n v="1"/>
    <n v="6900"/>
  </r>
  <r>
    <s v="1155"/>
    <x v="369"/>
    <n v="12"/>
    <x v="16"/>
    <x v="0"/>
    <x v="0"/>
    <x v="3"/>
    <n v="6900"/>
    <n v="5"/>
    <n v="34500"/>
  </r>
  <r>
    <s v="1156"/>
    <x v="369"/>
    <n v="15"/>
    <x v="19"/>
    <x v="6"/>
    <x v="0"/>
    <x v="1"/>
    <n v="28900"/>
    <n v="0"/>
    <n v="0"/>
  </r>
  <r>
    <s v="1157"/>
    <x v="369"/>
    <n v="17"/>
    <x v="6"/>
    <x v="3"/>
    <x v="3"/>
    <x v="3"/>
    <n v="6900"/>
    <n v="6"/>
    <n v="41400"/>
  </r>
  <r>
    <s v="1158"/>
    <x v="369"/>
    <n v="17"/>
    <x v="6"/>
    <x v="3"/>
    <x v="3"/>
    <x v="0"/>
    <n v="19900"/>
    <n v="6"/>
    <n v="119400"/>
  </r>
  <r>
    <s v="1159"/>
    <x v="370"/>
    <n v="7"/>
    <x v="17"/>
    <x v="5"/>
    <x v="2"/>
    <x v="2"/>
    <n v="15900"/>
    <n v="1"/>
    <n v="15900"/>
  </r>
  <r>
    <s v="1160"/>
    <x v="370"/>
    <n v="20"/>
    <x v="8"/>
    <x v="4"/>
    <x v="3"/>
    <x v="0"/>
    <n v="19900"/>
    <n v="0"/>
    <n v="0"/>
  </r>
  <r>
    <s v="1161"/>
    <x v="370"/>
    <n v="10"/>
    <x v="14"/>
    <x v="5"/>
    <x v="2"/>
    <x v="1"/>
    <n v="28900"/>
    <n v="3"/>
    <n v="86700"/>
  </r>
  <r>
    <s v="1162"/>
    <x v="370"/>
    <n v="15"/>
    <x v="19"/>
    <x v="6"/>
    <x v="0"/>
    <x v="0"/>
    <n v="19900"/>
    <n v="7"/>
    <n v="139300"/>
  </r>
  <r>
    <s v="1163"/>
    <x v="371"/>
    <n v="17"/>
    <x v="6"/>
    <x v="4"/>
    <x v="3"/>
    <x v="0"/>
    <n v="19900"/>
    <n v="0"/>
    <n v="0"/>
  </r>
  <r>
    <s v="1164"/>
    <x v="371"/>
    <n v="7"/>
    <x v="17"/>
    <x v="2"/>
    <x v="2"/>
    <x v="3"/>
    <n v="6900"/>
    <n v="6"/>
    <n v="41400"/>
  </r>
  <r>
    <s v="1165"/>
    <x v="371"/>
    <n v="6"/>
    <x v="11"/>
    <x v="2"/>
    <x v="2"/>
    <x v="0"/>
    <n v="19900"/>
    <n v="1"/>
    <n v="19900"/>
  </r>
  <r>
    <s v="1166"/>
    <x v="371"/>
    <n v="13"/>
    <x v="5"/>
    <x v="6"/>
    <x v="0"/>
    <x v="1"/>
    <n v="28900"/>
    <n v="9"/>
    <n v="260100"/>
  </r>
  <r>
    <s v="1167"/>
    <x v="372"/>
    <n v="13"/>
    <x v="5"/>
    <x v="6"/>
    <x v="0"/>
    <x v="3"/>
    <n v="6900"/>
    <n v="9"/>
    <n v="62100"/>
  </r>
  <r>
    <s v="1168"/>
    <x v="372"/>
    <n v="3"/>
    <x v="9"/>
    <x v="7"/>
    <x v="1"/>
    <x v="2"/>
    <n v="15900"/>
    <n v="6"/>
    <n v="95400"/>
  </r>
  <r>
    <s v="1169"/>
    <x v="372"/>
    <n v="13"/>
    <x v="5"/>
    <x v="6"/>
    <x v="0"/>
    <x v="3"/>
    <n v="6900"/>
    <n v="6"/>
    <n v="41400"/>
  </r>
  <r>
    <s v="1170"/>
    <x v="373"/>
    <n v="3"/>
    <x v="9"/>
    <x v="7"/>
    <x v="1"/>
    <x v="2"/>
    <n v="15900"/>
    <n v="0"/>
    <n v="0"/>
  </r>
  <r>
    <s v="1171"/>
    <x v="374"/>
    <n v="14"/>
    <x v="7"/>
    <x v="0"/>
    <x v="0"/>
    <x v="0"/>
    <n v="19900"/>
    <n v="7"/>
    <n v="139300"/>
  </r>
  <r>
    <s v="1172"/>
    <x v="374"/>
    <n v="11"/>
    <x v="0"/>
    <x v="6"/>
    <x v="0"/>
    <x v="2"/>
    <n v="15900"/>
    <n v="4"/>
    <n v="63600"/>
  </r>
  <r>
    <s v="1173"/>
    <x v="374"/>
    <n v="6"/>
    <x v="11"/>
    <x v="5"/>
    <x v="2"/>
    <x v="0"/>
    <n v="19900"/>
    <n v="2"/>
    <n v="39800"/>
  </r>
  <r>
    <s v="1174"/>
    <x v="375"/>
    <n v="11"/>
    <x v="0"/>
    <x v="0"/>
    <x v="0"/>
    <x v="0"/>
    <n v="19900"/>
    <n v="6"/>
    <n v="119400"/>
  </r>
  <r>
    <s v="1175"/>
    <x v="376"/>
    <n v="16"/>
    <x v="4"/>
    <x v="4"/>
    <x v="3"/>
    <x v="3"/>
    <n v="6900"/>
    <n v="1"/>
    <n v="6900"/>
  </r>
  <r>
    <s v="1176"/>
    <x v="376"/>
    <n v="8"/>
    <x v="10"/>
    <x v="2"/>
    <x v="2"/>
    <x v="3"/>
    <n v="6900"/>
    <n v="1"/>
    <n v="6900"/>
  </r>
  <r>
    <s v="1177"/>
    <x v="376"/>
    <n v="5"/>
    <x v="15"/>
    <x v="7"/>
    <x v="1"/>
    <x v="0"/>
    <n v="19900"/>
    <n v="9"/>
    <n v="179100"/>
  </r>
  <r>
    <s v="1178"/>
    <x v="376"/>
    <n v="19"/>
    <x v="13"/>
    <x v="3"/>
    <x v="3"/>
    <x v="4"/>
    <n v="39900"/>
    <n v="5"/>
    <n v="199500"/>
  </r>
  <r>
    <s v="1179"/>
    <x v="376"/>
    <n v="10"/>
    <x v="14"/>
    <x v="5"/>
    <x v="2"/>
    <x v="4"/>
    <n v="39900"/>
    <n v="7"/>
    <n v="279300"/>
  </r>
  <r>
    <s v="1180"/>
    <x v="376"/>
    <n v="14"/>
    <x v="7"/>
    <x v="0"/>
    <x v="0"/>
    <x v="3"/>
    <n v="6900"/>
    <n v="8"/>
    <n v="55200"/>
  </r>
  <r>
    <s v="1181"/>
    <x v="376"/>
    <n v="11"/>
    <x v="0"/>
    <x v="6"/>
    <x v="0"/>
    <x v="4"/>
    <n v="39900"/>
    <n v="4"/>
    <n v="159600"/>
  </r>
  <r>
    <s v="1182"/>
    <x v="377"/>
    <n v="15"/>
    <x v="19"/>
    <x v="6"/>
    <x v="0"/>
    <x v="1"/>
    <n v="28900"/>
    <n v="2"/>
    <n v="57800"/>
  </r>
  <r>
    <s v="1183"/>
    <x v="377"/>
    <n v="3"/>
    <x v="9"/>
    <x v="7"/>
    <x v="1"/>
    <x v="4"/>
    <n v="39900"/>
    <n v="7"/>
    <n v="279300"/>
  </r>
  <r>
    <s v="1184"/>
    <x v="377"/>
    <n v="15"/>
    <x v="19"/>
    <x v="6"/>
    <x v="0"/>
    <x v="0"/>
    <n v="19900"/>
    <n v="3"/>
    <n v="59700"/>
  </r>
  <r>
    <s v="1185"/>
    <x v="377"/>
    <n v="13"/>
    <x v="5"/>
    <x v="0"/>
    <x v="0"/>
    <x v="2"/>
    <n v="15900"/>
    <n v="0"/>
    <n v="0"/>
  </r>
  <r>
    <s v="1186"/>
    <x v="377"/>
    <n v="3"/>
    <x v="9"/>
    <x v="7"/>
    <x v="1"/>
    <x v="2"/>
    <n v="15900"/>
    <n v="4"/>
    <n v="63600"/>
  </r>
  <r>
    <s v="1187"/>
    <x v="377"/>
    <n v="4"/>
    <x v="12"/>
    <x v="7"/>
    <x v="1"/>
    <x v="4"/>
    <n v="39900"/>
    <n v="2"/>
    <n v="79800"/>
  </r>
  <r>
    <s v="1188"/>
    <x v="377"/>
    <n v="8"/>
    <x v="10"/>
    <x v="2"/>
    <x v="2"/>
    <x v="2"/>
    <n v="15900"/>
    <n v="6"/>
    <n v="95400"/>
  </r>
  <r>
    <s v="1189"/>
    <x v="377"/>
    <n v="12"/>
    <x v="16"/>
    <x v="0"/>
    <x v="0"/>
    <x v="3"/>
    <n v="6900"/>
    <n v="4"/>
    <n v="27600"/>
  </r>
  <r>
    <s v="1190"/>
    <x v="377"/>
    <n v="2"/>
    <x v="18"/>
    <x v="1"/>
    <x v="1"/>
    <x v="4"/>
    <n v="39900"/>
    <n v="4"/>
    <n v="159600"/>
  </r>
  <r>
    <s v="1191"/>
    <x v="377"/>
    <n v="18"/>
    <x v="3"/>
    <x v="4"/>
    <x v="3"/>
    <x v="4"/>
    <n v="39900"/>
    <n v="1"/>
    <n v="39900"/>
  </r>
  <r>
    <s v="1192"/>
    <x v="378"/>
    <n v="10"/>
    <x v="14"/>
    <x v="5"/>
    <x v="2"/>
    <x v="2"/>
    <n v="15900"/>
    <n v="3"/>
    <n v="47700"/>
  </r>
  <r>
    <s v="1193"/>
    <x v="378"/>
    <n v="3"/>
    <x v="9"/>
    <x v="7"/>
    <x v="1"/>
    <x v="3"/>
    <n v="6900"/>
    <n v="0"/>
    <n v="0"/>
  </r>
  <r>
    <s v="1194"/>
    <x v="378"/>
    <n v="12"/>
    <x v="16"/>
    <x v="6"/>
    <x v="0"/>
    <x v="1"/>
    <n v="28900"/>
    <n v="7"/>
    <n v="202300"/>
  </r>
  <r>
    <s v="1195"/>
    <x v="378"/>
    <n v="19"/>
    <x v="13"/>
    <x v="3"/>
    <x v="3"/>
    <x v="4"/>
    <n v="39900"/>
    <n v="8"/>
    <n v="319200"/>
  </r>
  <r>
    <s v="1196"/>
    <x v="379"/>
    <n v="16"/>
    <x v="4"/>
    <x v="4"/>
    <x v="3"/>
    <x v="1"/>
    <n v="28900"/>
    <n v="9"/>
    <n v="260100"/>
  </r>
  <r>
    <s v="1197"/>
    <x v="380"/>
    <n v="6"/>
    <x v="11"/>
    <x v="2"/>
    <x v="2"/>
    <x v="0"/>
    <n v="19900"/>
    <n v="2"/>
    <n v="39800"/>
  </r>
  <r>
    <s v="1198"/>
    <x v="380"/>
    <n v="16"/>
    <x v="4"/>
    <x v="4"/>
    <x v="3"/>
    <x v="3"/>
    <n v="6900"/>
    <n v="9"/>
    <n v="62100"/>
  </r>
  <r>
    <s v="1199"/>
    <x v="380"/>
    <n v="16"/>
    <x v="4"/>
    <x v="4"/>
    <x v="3"/>
    <x v="3"/>
    <n v="6900"/>
    <n v="5"/>
    <n v="34500"/>
  </r>
  <r>
    <s v="1200"/>
    <x v="380"/>
    <n v="16"/>
    <x v="4"/>
    <x v="3"/>
    <x v="3"/>
    <x v="3"/>
    <n v="6900"/>
    <n v="2"/>
    <n v="13800"/>
  </r>
  <r>
    <s v="1201"/>
    <x v="381"/>
    <n v="16"/>
    <x v="4"/>
    <x v="3"/>
    <x v="3"/>
    <x v="3"/>
    <n v="6900"/>
    <n v="1"/>
    <n v="6900"/>
  </r>
  <r>
    <s v="1202"/>
    <x v="381"/>
    <n v="18"/>
    <x v="3"/>
    <x v="4"/>
    <x v="3"/>
    <x v="1"/>
    <n v="28900"/>
    <n v="2"/>
    <n v="57800"/>
  </r>
  <r>
    <s v="1203"/>
    <x v="381"/>
    <n v="14"/>
    <x v="7"/>
    <x v="0"/>
    <x v="0"/>
    <x v="4"/>
    <n v="39900"/>
    <n v="2"/>
    <n v="79800"/>
  </r>
  <r>
    <s v="1204"/>
    <x v="381"/>
    <n v="5"/>
    <x v="15"/>
    <x v="1"/>
    <x v="1"/>
    <x v="3"/>
    <n v="6900"/>
    <n v="3"/>
    <n v="20700"/>
  </r>
  <r>
    <s v="1205"/>
    <x v="381"/>
    <n v="7"/>
    <x v="17"/>
    <x v="2"/>
    <x v="2"/>
    <x v="1"/>
    <n v="28900"/>
    <n v="5"/>
    <n v="144500"/>
  </r>
  <r>
    <s v="1206"/>
    <x v="381"/>
    <n v="17"/>
    <x v="6"/>
    <x v="3"/>
    <x v="3"/>
    <x v="3"/>
    <n v="6900"/>
    <n v="6"/>
    <n v="41400"/>
  </r>
  <r>
    <s v="1207"/>
    <x v="381"/>
    <n v="10"/>
    <x v="14"/>
    <x v="5"/>
    <x v="2"/>
    <x v="2"/>
    <n v="15900"/>
    <n v="3"/>
    <n v="47700"/>
  </r>
  <r>
    <s v="1208"/>
    <x v="382"/>
    <n v="7"/>
    <x v="17"/>
    <x v="2"/>
    <x v="2"/>
    <x v="4"/>
    <n v="39900"/>
    <n v="6"/>
    <n v="239400"/>
  </r>
  <r>
    <s v="1209"/>
    <x v="382"/>
    <n v="12"/>
    <x v="16"/>
    <x v="6"/>
    <x v="0"/>
    <x v="4"/>
    <n v="39900"/>
    <n v="3"/>
    <n v="119700"/>
  </r>
  <r>
    <s v="1210"/>
    <x v="382"/>
    <n v="11"/>
    <x v="0"/>
    <x v="6"/>
    <x v="0"/>
    <x v="0"/>
    <n v="19900"/>
    <n v="7"/>
    <n v="139300"/>
  </r>
  <r>
    <s v="1211"/>
    <x v="383"/>
    <n v="9"/>
    <x v="2"/>
    <x v="5"/>
    <x v="2"/>
    <x v="2"/>
    <n v="15900"/>
    <n v="7"/>
    <n v="111300"/>
  </r>
  <r>
    <s v="1212"/>
    <x v="384"/>
    <n v="14"/>
    <x v="7"/>
    <x v="0"/>
    <x v="0"/>
    <x v="2"/>
    <n v="15900"/>
    <n v="1"/>
    <n v="15900"/>
  </r>
  <r>
    <s v="1213"/>
    <x v="384"/>
    <n v="16"/>
    <x v="4"/>
    <x v="3"/>
    <x v="3"/>
    <x v="3"/>
    <n v="6900"/>
    <n v="2"/>
    <n v="13800"/>
  </r>
  <r>
    <s v="1214"/>
    <x v="385"/>
    <n v="8"/>
    <x v="10"/>
    <x v="5"/>
    <x v="2"/>
    <x v="1"/>
    <n v="28900"/>
    <n v="4"/>
    <n v="115600"/>
  </r>
  <r>
    <s v="1215"/>
    <x v="385"/>
    <n v="4"/>
    <x v="12"/>
    <x v="1"/>
    <x v="1"/>
    <x v="3"/>
    <n v="6900"/>
    <n v="6"/>
    <n v="41400"/>
  </r>
  <r>
    <s v="1216"/>
    <x v="385"/>
    <n v="10"/>
    <x v="14"/>
    <x v="5"/>
    <x v="2"/>
    <x v="2"/>
    <n v="15900"/>
    <n v="1"/>
    <n v="15900"/>
  </r>
  <r>
    <s v="1217"/>
    <x v="385"/>
    <n v="4"/>
    <x v="12"/>
    <x v="7"/>
    <x v="1"/>
    <x v="2"/>
    <n v="15900"/>
    <n v="4"/>
    <n v="63600"/>
  </r>
  <r>
    <s v="1218"/>
    <x v="386"/>
    <n v="12"/>
    <x v="16"/>
    <x v="0"/>
    <x v="0"/>
    <x v="3"/>
    <n v="6900"/>
    <n v="7"/>
    <n v="48300"/>
  </r>
  <r>
    <s v="1219"/>
    <x v="386"/>
    <n v="2"/>
    <x v="18"/>
    <x v="7"/>
    <x v="1"/>
    <x v="1"/>
    <n v="28900"/>
    <n v="5"/>
    <n v="144500"/>
  </r>
  <r>
    <s v="1220"/>
    <x v="386"/>
    <n v="7"/>
    <x v="17"/>
    <x v="2"/>
    <x v="2"/>
    <x v="1"/>
    <n v="28900"/>
    <n v="7"/>
    <n v="202300"/>
  </r>
  <r>
    <s v="1221"/>
    <x v="387"/>
    <n v="10"/>
    <x v="14"/>
    <x v="5"/>
    <x v="2"/>
    <x v="2"/>
    <n v="15900"/>
    <n v="6"/>
    <n v="95400"/>
  </r>
  <r>
    <s v="1222"/>
    <x v="388"/>
    <n v="8"/>
    <x v="10"/>
    <x v="2"/>
    <x v="2"/>
    <x v="2"/>
    <n v="15900"/>
    <n v="4"/>
    <n v="63600"/>
  </r>
  <r>
    <s v="1223"/>
    <x v="389"/>
    <n v="18"/>
    <x v="3"/>
    <x v="4"/>
    <x v="3"/>
    <x v="4"/>
    <n v="39900"/>
    <n v="9"/>
    <n v="359100"/>
  </r>
  <r>
    <s v="1224"/>
    <x v="390"/>
    <n v="4"/>
    <x v="12"/>
    <x v="1"/>
    <x v="1"/>
    <x v="0"/>
    <n v="19900"/>
    <n v="5"/>
    <n v="99500"/>
  </r>
  <r>
    <s v="1225"/>
    <x v="390"/>
    <n v="7"/>
    <x v="17"/>
    <x v="5"/>
    <x v="2"/>
    <x v="4"/>
    <n v="39900"/>
    <n v="8"/>
    <n v="319200"/>
  </r>
  <r>
    <s v="1226"/>
    <x v="390"/>
    <n v="1"/>
    <x v="1"/>
    <x v="7"/>
    <x v="1"/>
    <x v="4"/>
    <n v="39900"/>
    <n v="4"/>
    <n v="159600"/>
  </r>
  <r>
    <s v="1227"/>
    <x v="390"/>
    <n v="10"/>
    <x v="14"/>
    <x v="2"/>
    <x v="2"/>
    <x v="4"/>
    <n v="39900"/>
    <n v="4"/>
    <n v="159600"/>
  </r>
  <r>
    <s v="1228"/>
    <x v="391"/>
    <n v="17"/>
    <x v="6"/>
    <x v="3"/>
    <x v="3"/>
    <x v="1"/>
    <n v="28900"/>
    <n v="2"/>
    <n v="57800"/>
  </r>
  <r>
    <s v="1229"/>
    <x v="392"/>
    <n v="12"/>
    <x v="16"/>
    <x v="6"/>
    <x v="0"/>
    <x v="0"/>
    <n v="19900"/>
    <n v="4"/>
    <n v="79600"/>
  </r>
  <r>
    <s v="1230"/>
    <x v="392"/>
    <n v="3"/>
    <x v="9"/>
    <x v="1"/>
    <x v="1"/>
    <x v="4"/>
    <n v="39900"/>
    <n v="5"/>
    <n v="199500"/>
  </r>
  <r>
    <s v="1231"/>
    <x v="392"/>
    <n v="2"/>
    <x v="18"/>
    <x v="7"/>
    <x v="1"/>
    <x v="3"/>
    <n v="6900"/>
    <n v="3"/>
    <n v="20700"/>
  </r>
  <r>
    <s v="1232"/>
    <x v="392"/>
    <n v="4"/>
    <x v="12"/>
    <x v="1"/>
    <x v="1"/>
    <x v="2"/>
    <n v="15900"/>
    <n v="7"/>
    <n v="111300"/>
  </r>
  <r>
    <s v="1233"/>
    <x v="392"/>
    <n v="5"/>
    <x v="15"/>
    <x v="1"/>
    <x v="1"/>
    <x v="3"/>
    <n v="6900"/>
    <n v="2"/>
    <n v="13800"/>
  </r>
  <r>
    <s v="1234"/>
    <x v="393"/>
    <n v="9"/>
    <x v="2"/>
    <x v="5"/>
    <x v="2"/>
    <x v="2"/>
    <n v="15900"/>
    <n v="3"/>
    <n v="47700"/>
  </r>
  <r>
    <s v="1235"/>
    <x v="393"/>
    <n v="9"/>
    <x v="2"/>
    <x v="5"/>
    <x v="2"/>
    <x v="1"/>
    <n v="28900"/>
    <n v="1"/>
    <n v="28900"/>
  </r>
  <r>
    <s v="1236"/>
    <x v="394"/>
    <n v="3"/>
    <x v="9"/>
    <x v="7"/>
    <x v="1"/>
    <x v="2"/>
    <n v="15900"/>
    <n v="9"/>
    <n v="143100"/>
  </r>
  <r>
    <s v="1237"/>
    <x v="395"/>
    <n v="2"/>
    <x v="18"/>
    <x v="7"/>
    <x v="1"/>
    <x v="4"/>
    <n v="39900"/>
    <n v="7"/>
    <n v="279300"/>
  </r>
  <r>
    <s v="1238"/>
    <x v="396"/>
    <n v="13"/>
    <x v="5"/>
    <x v="6"/>
    <x v="0"/>
    <x v="1"/>
    <n v="28900"/>
    <n v="9"/>
    <n v="260100"/>
  </r>
  <r>
    <s v="1239"/>
    <x v="397"/>
    <n v="8"/>
    <x v="10"/>
    <x v="2"/>
    <x v="2"/>
    <x v="1"/>
    <n v="28900"/>
    <n v="3"/>
    <n v="86700"/>
  </r>
  <r>
    <s v="1240"/>
    <x v="398"/>
    <n v="12"/>
    <x v="16"/>
    <x v="0"/>
    <x v="0"/>
    <x v="0"/>
    <n v="19900"/>
    <n v="3"/>
    <n v="59700"/>
  </r>
  <r>
    <s v="1241"/>
    <x v="398"/>
    <n v="6"/>
    <x v="11"/>
    <x v="5"/>
    <x v="2"/>
    <x v="3"/>
    <n v="6900"/>
    <n v="5"/>
    <n v="34500"/>
  </r>
  <r>
    <s v="1242"/>
    <x v="399"/>
    <n v="9"/>
    <x v="2"/>
    <x v="5"/>
    <x v="2"/>
    <x v="1"/>
    <n v="28900"/>
    <n v="0"/>
    <n v="0"/>
  </r>
  <r>
    <s v="1243"/>
    <x v="400"/>
    <n v="16"/>
    <x v="4"/>
    <x v="4"/>
    <x v="3"/>
    <x v="1"/>
    <n v="28900"/>
    <n v="9"/>
    <n v="260100"/>
  </r>
  <r>
    <s v="1244"/>
    <x v="400"/>
    <n v="16"/>
    <x v="4"/>
    <x v="3"/>
    <x v="3"/>
    <x v="1"/>
    <n v="28900"/>
    <n v="9"/>
    <n v="260100"/>
  </r>
  <r>
    <s v="1245"/>
    <x v="400"/>
    <n v="8"/>
    <x v="10"/>
    <x v="2"/>
    <x v="2"/>
    <x v="0"/>
    <n v="19900"/>
    <n v="0"/>
    <n v="0"/>
  </r>
  <r>
    <s v="1246"/>
    <x v="400"/>
    <n v="3"/>
    <x v="9"/>
    <x v="7"/>
    <x v="1"/>
    <x v="1"/>
    <n v="28900"/>
    <n v="9"/>
    <n v="260100"/>
  </r>
  <r>
    <s v="1247"/>
    <x v="400"/>
    <n v="12"/>
    <x v="16"/>
    <x v="0"/>
    <x v="0"/>
    <x v="2"/>
    <n v="15900"/>
    <n v="2"/>
    <n v="31800"/>
  </r>
  <r>
    <s v="1248"/>
    <x v="400"/>
    <n v="11"/>
    <x v="0"/>
    <x v="0"/>
    <x v="0"/>
    <x v="3"/>
    <n v="6900"/>
    <n v="4"/>
    <n v="27600"/>
  </r>
  <r>
    <s v="1249"/>
    <x v="400"/>
    <n v="9"/>
    <x v="2"/>
    <x v="5"/>
    <x v="2"/>
    <x v="4"/>
    <n v="39900"/>
    <n v="7"/>
    <n v="279300"/>
  </r>
  <r>
    <s v="1250"/>
    <x v="400"/>
    <n v="3"/>
    <x v="9"/>
    <x v="1"/>
    <x v="1"/>
    <x v="3"/>
    <n v="6900"/>
    <n v="6"/>
    <n v="41400"/>
  </r>
  <r>
    <s v="1251"/>
    <x v="400"/>
    <n v="3"/>
    <x v="9"/>
    <x v="7"/>
    <x v="1"/>
    <x v="0"/>
    <n v="19900"/>
    <n v="1"/>
    <n v="19900"/>
  </r>
  <r>
    <s v="1252"/>
    <x v="401"/>
    <n v="9"/>
    <x v="2"/>
    <x v="2"/>
    <x v="2"/>
    <x v="1"/>
    <n v="28900"/>
    <n v="4"/>
    <n v="115600"/>
  </r>
  <r>
    <s v="1253"/>
    <x v="401"/>
    <n v="12"/>
    <x v="16"/>
    <x v="6"/>
    <x v="0"/>
    <x v="2"/>
    <n v="15900"/>
    <n v="2"/>
    <n v="31800"/>
  </r>
  <r>
    <s v="1254"/>
    <x v="402"/>
    <n v="15"/>
    <x v="19"/>
    <x v="0"/>
    <x v="0"/>
    <x v="0"/>
    <n v="19900"/>
    <n v="8"/>
    <n v="159200"/>
  </r>
  <r>
    <s v="1255"/>
    <x v="402"/>
    <n v="14"/>
    <x v="7"/>
    <x v="0"/>
    <x v="0"/>
    <x v="4"/>
    <n v="39900"/>
    <n v="4"/>
    <n v="159600"/>
  </r>
  <r>
    <s v="1256"/>
    <x v="402"/>
    <n v="8"/>
    <x v="10"/>
    <x v="2"/>
    <x v="2"/>
    <x v="4"/>
    <n v="39900"/>
    <n v="9"/>
    <n v="359100"/>
  </r>
  <r>
    <s v="1257"/>
    <x v="403"/>
    <n v="14"/>
    <x v="7"/>
    <x v="6"/>
    <x v="0"/>
    <x v="2"/>
    <n v="15900"/>
    <n v="8"/>
    <n v="127200"/>
  </r>
  <r>
    <s v="1258"/>
    <x v="403"/>
    <n v="11"/>
    <x v="0"/>
    <x v="0"/>
    <x v="0"/>
    <x v="3"/>
    <n v="6900"/>
    <n v="6"/>
    <n v="41400"/>
  </r>
  <r>
    <s v="1259"/>
    <x v="404"/>
    <n v="7"/>
    <x v="17"/>
    <x v="2"/>
    <x v="2"/>
    <x v="4"/>
    <n v="39900"/>
    <n v="5"/>
    <n v="199500"/>
  </r>
  <r>
    <s v="1260"/>
    <x v="404"/>
    <n v="8"/>
    <x v="10"/>
    <x v="5"/>
    <x v="2"/>
    <x v="0"/>
    <n v="19900"/>
    <n v="3"/>
    <n v="59700"/>
  </r>
  <r>
    <s v="1261"/>
    <x v="405"/>
    <n v="5"/>
    <x v="15"/>
    <x v="7"/>
    <x v="1"/>
    <x v="0"/>
    <n v="19900"/>
    <n v="5"/>
    <n v="99500"/>
  </r>
  <r>
    <s v="1262"/>
    <x v="405"/>
    <n v="13"/>
    <x v="5"/>
    <x v="6"/>
    <x v="0"/>
    <x v="2"/>
    <n v="15900"/>
    <n v="8"/>
    <n v="127200"/>
  </r>
  <r>
    <s v="1263"/>
    <x v="406"/>
    <n v="20"/>
    <x v="8"/>
    <x v="3"/>
    <x v="3"/>
    <x v="4"/>
    <n v="39900"/>
    <n v="2"/>
    <n v="79800"/>
  </r>
  <r>
    <s v="1264"/>
    <x v="407"/>
    <n v="10"/>
    <x v="14"/>
    <x v="2"/>
    <x v="2"/>
    <x v="4"/>
    <n v="39900"/>
    <n v="5"/>
    <n v="199500"/>
  </r>
  <r>
    <s v="1265"/>
    <x v="408"/>
    <n v="13"/>
    <x v="5"/>
    <x v="0"/>
    <x v="0"/>
    <x v="2"/>
    <n v="15900"/>
    <n v="3"/>
    <n v="47700"/>
  </r>
  <r>
    <s v="1266"/>
    <x v="408"/>
    <n v="8"/>
    <x v="10"/>
    <x v="5"/>
    <x v="2"/>
    <x v="0"/>
    <n v="19900"/>
    <n v="7"/>
    <n v="139300"/>
  </r>
  <r>
    <s v="1267"/>
    <x v="408"/>
    <n v="17"/>
    <x v="6"/>
    <x v="3"/>
    <x v="3"/>
    <x v="0"/>
    <n v="19900"/>
    <n v="9"/>
    <n v="179100"/>
  </r>
  <r>
    <s v="1268"/>
    <x v="409"/>
    <n v="2"/>
    <x v="18"/>
    <x v="1"/>
    <x v="1"/>
    <x v="3"/>
    <n v="6900"/>
    <n v="9"/>
    <n v="62100"/>
  </r>
  <r>
    <s v="1269"/>
    <x v="409"/>
    <n v="13"/>
    <x v="5"/>
    <x v="0"/>
    <x v="0"/>
    <x v="4"/>
    <n v="39900"/>
    <n v="6"/>
    <n v="239400"/>
  </r>
  <r>
    <s v="1270"/>
    <x v="410"/>
    <n v="1"/>
    <x v="1"/>
    <x v="7"/>
    <x v="1"/>
    <x v="1"/>
    <n v="28900"/>
    <n v="7"/>
    <n v="202300"/>
  </r>
  <r>
    <s v="1271"/>
    <x v="411"/>
    <n v="16"/>
    <x v="4"/>
    <x v="3"/>
    <x v="3"/>
    <x v="0"/>
    <n v="19900"/>
    <n v="1"/>
    <n v="19900"/>
  </r>
  <r>
    <s v="1272"/>
    <x v="412"/>
    <n v="11"/>
    <x v="0"/>
    <x v="6"/>
    <x v="0"/>
    <x v="1"/>
    <n v="28900"/>
    <n v="4"/>
    <n v="115600"/>
  </r>
  <r>
    <s v="1273"/>
    <x v="413"/>
    <n v="20"/>
    <x v="8"/>
    <x v="4"/>
    <x v="3"/>
    <x v="0"/>
    <n v="19900"/>
    <n v="5"/>
    <n v="99500"/>
  </r>
  <r>
    <s v="1274"/>
    <x v="413"/>
    <n v="5"/>
    <x v="15"/>
    <x v="7"/>
    <x v="1"/>
    <x v="1"/>
    <n v="28900"/>
    <n v="0"/>
    <n v="0"/>
  </r>
  <r>
    <s v="1275"/>
    <x v="413"/>
    <n v="8"/>
    <x v="10"/>
    <x v="5"/>
    <x v="2"/>
    <x v="4"/>
    <n v="39900"/>
    <n v="7"/>
    <n v="279300"/>
  </r>
  <r>
    <s v="1276"/>
    <x v="413"/>
    <n v="14"/>
    <x v="7"/>
    <x v="6"/>
    <x v="0"/>
    <x v="4"/>
    <n v="39900"/>
    <n v="9"/>
    <n v="359100"/>
  </r>
  <r>
    <s v="1277"/>
    <x v="414"/>
    <n v="9"/>
    <x v="2"/>
    <x v="2"/>
    <x v="2"/>
    <x v="4"/>
    <n v="39900"/>
    <n v="5"/>
    <n v="199500"/>
  </r>
  <r>
    <s v="1278"/>
    <x v="414"/>
    <n v="3"/>
    <x v="9"/>
    <x v="7"/>
    <x v="1"/>
    <x v="4"/>
    <n v="39900"/>
    <n v="7"/>
    <n v="279300"/>
  </r>
  <r>
    <s v="1279"/>
    <x v="414"/>
    <n v="17"/>
    <x v="6"/>
    <x v="3"/>
    <x v="3"/>
    <x v="3"/>
    <n v="6900"/>
    <n v="4"/>
    <n v="27600"/>
  </r>
  <r>
    <s v="1280"/>
    <x v="414"/>
    <n v="3"/>
    <x v="9"/>
    <x v="1"/>
    <x v="1"/>
    <x v="1"/>
    <n v="28900"/>
    <n v="7"/>
    <n v="202300"/>
  </r>
  <r>
    <s v="1281"/>
    <x v="414"/>
    <n v="19"/>
    <x v="13"/>
    <x v="3"/>
    <x v="3"/>
    <x v="0"/>
    <n v="19900"/>
    <n v="0"/>
    <n v="0"/>
  </r>
  <r>
    <s v="1282"/>
    <x v="414"/>
    <n v="6"/>
    <x v="11"/>
    <x v="2"/>
    <x v="2"/>
    <x v="3"/>
    <n v="6900"/>
    <n v="8"/>
    <n v="55200"/>
  </r>
  <r>
    <s v="1283"/>
    <x v="414"/>
    <n v="7"/>
    <x v="17"/>
    <x v="2"/>
    <x v="2"/>
    <x v="4"/>
    <n v="39900"/>
    <n v="3"/>
    <n v="119700"/>
  </r>
  <r>
    <s v="1284"/>
    <x v="414"/>
    <n v="8"/>
    <x v="10"/>
    <x v="5"/>
    <x v="2"/>
    <x v="0"/>
    <n v="19900"/>
    <n v="5"/>
    <n v="99500"/>
  </r>
  <r>
    <s v="1285"/>
    <x v="414"/>
    <n v="2"/>
    <x v="18"/>
    <x v="7"/>
    <x v="1"/>
    <x v="3"/>
    <n v="6900"/>
    <n v="8"/>
    <n v="55200"/>
  </r>
  <r>
    <s v="1286"/>
    <x v="414"/>
    <n v="3"/>
    <x v="9"/>
    <x v="1"/>
    <x v="1"/>
    <x v="1"/>
    <n v="28900"/>
    <n v="7"/>
    <n v="202300"/>
  </r>
  <r>
    <s v="1287"/>
    <x v="414"/>
    <n v="16"/>
    <x v="4"/>
    <x v="3"/>
    <x v="3"/>
    <x v="4"/>
    <n v="39900"/>
    <n v="7"/>
    <n v="279300"/>
  </r>
  <r>
    <s v="1288"/>
    <x v="414"/>
    <n v="7"/>
    <x v="17"/>
    <x v="5"/>
    <x v="2"/>
    <x v="0"/>
    <n v="19900"/>
    <n v="1"/>
    <n v="19900"/>
  </r>
  <r>
    <s v="1289"/>
    <x v="414"/>
    <n v="17"/>
    <x v="6"/>
    <x v="4"/>
    <x v="3"/>
    <x v="0"/>
    <n v="19900"/>
    <n v="4"/>
    <n v="79600"/>
  </r>
  <r>
    <s v="1290"/>
    <x v="414"/>
    <n v="14"/>
    <x v="7"/>
    <x v="6"/>
    <x v="0"/>
    <x v="1"/>
    <n v="28900"/>
    <n v="9"/>
    <n v="260100"/>
  </r>
  <r>
    <s v="1291"/>
    <x v="415"/>
    <n v="8"/>
    <x v="10"/>
    <x v="5"/>
    <x v="2"/>
    <x v="1"/>
    <n v="28900"/>
    <n v="5"/>
    <n v="144500"/>
  </r>
  <r>
    <s v="1292"/>
    <x v="415"/>
    <n v="2"/>
    <x v="18"/>
    <x v="1"/>
    <x v="1"/>
    <x v="0"/>
    <n v="19900"/>
    <n v="3"/>
    <n v="59700"/>
  </r>
  <r>
    <s v="1293"/>
    <x v="415"/>
    <n v="9"/>
    <x v="2"/>
    <x v="5"/>
    <x v="2"/>
    <x v="2"/>
    <n v="15900"/>
    <n v="2"/>
    <n v="31800"/>
  </r>
  <r>
    <s v="1294"/>
    <x v="416"/>
    <n v="8"/>
    <x v="10"/>
    <x v="5"/>
    <x v="2"/>
    <x v="1"/>
    <n v="28900"/>
    <n v="1"/>
    <n v="28900"/>
  </r>
  <r>
    <s v="1295"/>
    <x v="416"/>
    <n v="18"/>
    <x v="3"/>
    <x v="3"/>
    <x v="3"/>
    <x v="4"/>
    <n v="39900"/>
    <n v="3"/>
    <n v="119700"/>
  </r>
  <r>
    <s v="1296"/>
    <x v="417"/>
    <n v="20"/>
    <x v="8"/>
    <x v="3"/>
    <x v="3"/>
    <x v="1"/>
    <n v="28900"/>
    <n v="0"/>
    <n v="0"/>
  </r>
  <r>
    <s v="1297"/>
    <x v="417"/>
    <n v="13"/>
    <x v="5"/>
    <x v="0"/>
    <x v="0"/>
    <x v="1"/>
    <n v="28900"/>
    <n v="7"/>
    <n v="202300"/>
  </r>
  <r>
    <s v="1298"/>
    <x v="417"/>
    <n v="3"/>
    <x v="9"/>
    <x v="7"/>
    <x v="1"/>
    <x v="4"/>
    <n v="39900"/>
    <n v="3"/>
    <n v="119700"/>
  </r>
  <r>
    <s v="1299"/>
    <x v="417"/>
    <n v="16"/>
    <x v="4"/>
    <x v="4"/>
    <x v="3"/>
    <x v="0"/>
    <n v="19900"/>
    <n v="2"/>
    <n v="39800"/>
  </r>
  <r>
    <s v="1300"/>
    <x v="417"/>
    <n v="16"/>
    <x v="4"/>
    <x v="3"/>
    <x v="3"/>
    <x v="1"/>
    <n v="28900"/>
    <n v="3"/>
    <n v="86700"/>
  </r>
  <r>
    <s v="1301"/>
    <x v="417"/>
    <n v="3"/>
    <x v="9"/>
    <x v="7"/>
    <x v="1"/>
    <x v="0"/>
    <n v="19900"/>
    <n v="9"/>
    <n v="179100"/>
  </r>
  <r>
    <s v="1302"/>
    <x v="417"/>
    <n v="20"/>
    <x v="8"/>
    <x v="4"/>
    <x v="3"/>
    <x v="1"/>
    <n v="28900"/>
    <n v="0"/>
    <n v="0"/>
  </r>
  <r>
    <s v="1303"/>
    <x v="417"/>
    <n v="3"/>
    <x v="9"/>
    <x v="1"/>
    <x v="1"/>
    <x v="1"/>
    <n v="28900"/>
    <n v="7"/>
    <n v="202300"/>
  </r>
  <r>
    <s v="1304"/>
    <x v="418"/>
    <n v="8"/>
    <x v="10"/>
    <x v="2"/>
    <x v="2"/>
    <x v="4"/>
    <n v="39900"/>
    <n v="5"/>
    <n v="199500"/>
  </r>
  <r>
    <s v="1305"/>
    <x v="418"/>
    <n v="6"/>
    <x v="11"/>
    <x v="5"/>
    <x v="2"/>
    <x v="0"/>
    <n v="19900"/>
    <n v="8"/>
    <n v="159200"/>
  </r>
  <r>
    <s v="1306"/>
    <x v="418"/>
    <n v="7"/>
    <x v="17"/>
    <x v="2"/>
    <x v="2"/>
    <x v="3"/>
    <n v="6900"/>
    <n v="5"/>
    <n v="34500"/>
  </r>
  <r>
    <s v="1307"/>
    <x v="418"/>
    <n v="3"/>
    <x v="9"/>
    <x v="7"/>
    <x v="1"/>
    <x v="4"/>
    <n v="39900"/>
    <n v="8"/>
    <n v="319200"/>
  </r>
  <r>
    <s v="1308"/>
    <x v="419"/>
    <n v="4"/>
    <x v="12"/>
    <x v="1"/>
    <x v="1"/>
    <x v="4"/>
    <n v="39900"/>
    <n v="2"/>
    <n v="79800"/>
  </r>
  <r>
    <s v="1309"/>
    <x v="419"/>
    <n v="2"/>
    <x v="18"/>
    <x v="7"/>
    <x v="1"/>
    <x v="4"/>
    <n v="39900"/>
    <n v="6"/>
    <n v="239400"/>
  </r>
  <r>
    <s v="1310"/>
    <x v="419"/>
    <n v="8"/>
    <x v="10"/>
    <x v="5"/>
    <x v="2"/>
    <x v="1"/>
    <n v="28900"/>
    <n v="0"/>
    <n v="0"/>
  </r>
  <r>
    <s v="1311"/>
    <x v="420"/>
    <n v="4"/>
    <x v="12"/>
    <x v="7"/>
    <x v="1"/>
    <x v="3"/>
    <n v="6900"/>
    <n v="4"/>
    <n v="27600"/>
  </r>
  <r>
    <s v="1312"/>
    <x v="421"/>
    <n v="13"/>
    <x v="5"/>
    <x v="6"/>
    <x v="0"/>
    <x v="2"/>
    <n v="15900"/>
    <n v="5"/>
    <n v="79500"/>
  </r>
  <r>
    <s v="1313"/>
    <x v="421"/>
    <n v="8"/>
    <x v="10"/>
    <x v="2"/>
    <x v="2"/>
    <x v="2"/>
    <n v="15900"/>
    <n v="8"/>
    <n v="127200"/>
  </r>
  <r>
    <s v="1314"/>
    <x v="421"/>
    <n v="11"/>
    <x v="0"/>
    <x v="0"/>
    <x v="0"/>
    <x v="0"/>
    <n v="19900"/>
    <n v="9"/>
    <n v="179100"/>
  </r>
  <r>
    <s v="1315"/>
    <x v="421"/>
    <n v="12"/>
    <x v="16"/>
    <x v="6"/>
    <x v="0"/>
    <x v="3"/>
    <n v="6900"/>
    <n v="8"/>
    <n v="55200"/>
  </r>
  <r>
    <s v="1316"/>
    <x v="421"/>
    <n v="1"/>
    <x v="1"/>
    <x v="1"/>
    <x v="1"/>
    <x v="3"/>
    <n v="6900"/>
    <n v="9"/>
    <n v="62100"/>
  </r>
  <r>
    <s v="1317"/>
    <x v="421"/>
    <n v="3"/>
    <x v="9"/>
    <x v="1"/>
    <x v="1"/>
    <x v="1"/>
    <n v="28900"/>
    <n v="3"/>
    <n v="86700"/>
  </r>
  <r>
    <s v="1318"/>
    <x v="421"/>
    <n v="14"/>
    <x v="7"/>
    <x v="0"/>
    <x v="0"/>
    <x v="4"/>
    <n v="39900"/>
    <n v="2"/>
    <n v="79800"/>
  </r>
  <r>
    <s v="1319"/>
    <x v="422"/>
    <n v="11"/>
    <x v="0"/>
    <x v="6"/>
    <x v="0"/>
    <x v="0"/>
    <n v="19900"/>
    <n v="9"/>
    <n v="179100"/>
  </r>
  <r>
    <s v="1320"/>
    <x v="422"/>
    <n v="8"/>
    <x v="10"/>
    <x v="2"/>
    <x v="2"/>
    <x v="3"/>
    <n v="6900"/>
    <n v="4"/>
    <n v="27600"/>
  </r>
  <r>
    <s v="1321"/>
    <x v="423"/>
    <n v="10"/>
    <x v="14"/>
    <x v="2"/>
    <x v="2"/>
    <x v="3"/>
    <n v="6900"/>
    <n v="9"/>
    <n v="62100"/>
  </r>
  <r>
    <s v="1322"/>
    <x v="423"/>
    <n v="19"/>
    <x v="13"/>
    <x v="3"/>
    <x v="3"/>
    <x v="4"/>
    <n v="39900"/>
    <n v="9"/>
    <n v="359100"/>
  </r>
  <r>
    <s v="1323"/>
    <x v="423"/>
    <n v="12"/>
    <x v="16"/>
    <x v="0"/>
    <x v="0"/>
    <x v="1"/>
    <n v="28900"/>
    <n v="1"/>
    <n v="28900"/>
  </r>
  <r>
    <s v="1324"/>
    <x v="424"/>
    <n v="17"/>
    <x v="6"/>
    <x v="4"/>
    <x v="3"/>
    <x v="2"/>
    <n v="15900"/>
    <n v="9"/>
    <n v="143100"/>
  </r>
  <r>
    <s v="1325"/>
    <x v="424"/>
    <n v="8"/>
    <x v="10"/>
    <x v="2"/>
    <x v="2"/>
    <x v="4"/>
    <n v="39900"/>
    <n v="3"/>
    <n v="119700"/>
  </r>
  <r>
    <s v="1326"/>
    <x v="424"/>
    <n v="8"/>
    <x v="10"/>
    <x v="5"/>
    <x v="2"/>
    <x v="2"/>
    <n v="15900"/>
    <n v="5"/>
    <n v="79500"/>
  </r>
  <r>
    <s v="1327"/>
    <x v="424"/>
    <n v="3"/>
    <x v="9"/>
    <x v="1"/>
    <x v="1"/>
    <x v="0"/>
    <n v="19900"/>
    <n v="6"/>
    <n v="119400"/>
  </r>
  <r>
    <s v="1328"/>
    <x v="425"/>
    <n v="1"/>
    <x v="1"/>
    <x v="7"/>
    <x v="1"/>
    <x v="2"/>
    <n v="15900"/>
    <n v="6"/>
    <n v="95400"/>
  </r>
  <r>
    <s v="1329"/>
    <x v="425"/>
    <n v="19"/>
    <x v="13"/>
    <x v="4"/>
    <x v="3"/>
    <x v="1"/>
    <n v="28900"/>
    <n v="7"/>
    <n v="202300"/>
  </r>
  <r>
    <s v="1330"/>
    <x v="425"/>
    <n v="7"/>
    <x v="17"/>
    <x v="2"/>
    <x v="2"/>
    <x v="4"/>
    <n v="39900"/>
    <n v="7"/>
    <n v="279300"/>
  </r>
  <r>
    <s v="1331"/>
    <x v="426"/>
    <n v="5"/>
    <x v="15"/>
    <x v="7"/>
    <x v="1"/>
    <x v="1"/>
    <n v="28900"/>
    <n v="5"/>
    <n v="144500"/>
  </r>
  <r>
    <s v="1332"/>
    <x v="427"/>
    <n v="2"/>
    <x v="18"/>
    <x v="1"/>
    <x v="1"/>
    <x v="1"/>
    <n v="28900"/>
    <n v="0"/>
    <n v="0"/>
  </r>
  <r>
    <s v="1333"/>
    <x v="428"/>
    <n v="16"/>
    <x v="4"/>
    <x v="4"/>
    <x v="3"/>
    <x v="0"/>
    <n v="19900"/>
    <n v="5"/>
    <n v="99500"/>
  </r>
  <r>
    <s v="1334"/>
    <x v="428"/>
    <n v="12"/>
    <x v="16"/>
    <x v="0"/>
    <x v="0"/>
    <x v="4"/>
    <n v="39900"/>
    <n v="1"/>
    <n v="39900"/>
  </r>
  <r>
    <s v="1335"/>
    <x v="429"/>
    <n v="18"/>
    <x v="3"/>
    <x v="3"/>
    <x v="3"/>
    <x v="3"/>
    <n v="6900"/>
    <n v="2"/>
    <n v="13800"/>
  </r>
  <r>
    <s v="1336"/>
    <x v="429"/>
    <n v="8"/>
    <x v="10"/>
    <x v="5"/>
    <x v="2"/>
    <x v="2"/>
    <n v="15900"/>
    <n v="8"/>
    <n v="127200"/>
  </r>
  <r>
    <s v="1337"/>
    <x v="429"/>
    <n v="19"/>
    <x v="13"/>
    <x v="3"/>
    <x v="3"/>
    <x v="2"/>
    <n v="15900"/>
    <n v="5"/>
    <n v="79500"/>
  </r>
  <r>
    <s v="1338"/>
    <x v="430"/>
    <n v="9"/>
    <x v="2"/>
    <x v="5"/>
    <x v="2"/>
    <x v="4"/>
    <n v="39900"/>
    <n v="0"/>
    <n v="0"/>
  </r>
  <r>
    <s v="1339"/>
    <x v="430"/>
    <n v="19"/>
    <x v="13"/>
    <x v="3"/>
    <x v="3"/>
    <x v="3"/>
    <n v="6900"/>
    <n v="7"/>
    <n v="48300"/>
  </r>
  <r>
    <s v="1340"/>
    <x v="430"/>
    <n v="2"/>
    <x v="18"/>
    <x v="1"/>
    <x v="1"/>
    <x v="0"/>
    <n v="19900"/>
    <n v="7"/>
    <n v="139300"/>
  </r>
  <r>
    <s v="1341"/>
    <x v="430"/>
    <n v="12"/>
    <x v="16"/>
    <x v="0"/>
    <x v="0"/>
    <x v="2"/>
    <n v="15900"/>
    <n v="0"/>
    <n v="0"/>
  </r>
  <r>
    <s v="1342"/>
    <x v="430"/>
    <n v="17"/>
    <x v="6"/>
    <x v="4"/>
    <x v="3"/>
    <x v="3"/>
    <n v="6900"/>
    <n v="0"/>
    <n v="0"/>
  </r>
  <r>
    <s v="1343"/>
    <x v="430"/>
    <n v="4"/>
    <x v="12"/>
    <x v="7"/>
    <x v="1"/>
    <x v="0"/>
    <n v="19900"/>
    <n v="1"/>
    <n v="19900"/>
  </r>
  <r>
    <s v="1344"/>
    <x v="430"/>
    <n v="6"/>
    <x v="11"/>
    <x v="2"/>
    <x v="2"/>
    <x v="0"/>
    <n v="19900"/>
    <n v="0"/>
    <n v="0"/>
  </r>
  <r>
    <s v="1345"/>
    <x v="430"/>
    <n v="8"/>
    <x v="10"/>
    <x v="5"/>
    <x v="2"/>
    <x v="2"/>
    <n v="15900"/>
    <n v="2"/>
    <n v="31800"/>
  </r>
  <r>
    <s v="1346"/>
    <x v="431"/>
    <n v="11"/>
    <x v="0"/>
    <x v="0"/>
    <x v="0"/>
    <x v="3"/>
    <n v="6900"/>
    <n v="7"/>
    <n v="48300"/>
  </r>
  <r>
    <s v="1347"/>
    <x v="432"/>
    <n v="14"/>
    <x v="7"/>
    <x v="0"/>
    <x v="0"/>
    <x v="2"/>
    <n v="15900"/>
    <n v="1"/>
    <n v="15900"/>
  </r>
  <r>
    <s v="1348"/>
    <x v="432"/>
    <n v="4"/>
    <x v="12"/>
    <x v="7"/>
    <x v="1"/>
    <x v="0"/>
    <n v="19900"/>
    <n v="6"/>
    <n v="119400"/>
  </r>
  <r>
    <s v="1349"/>
    <x v="432"/>
    <n v="19"/>
    <x v="13"/>
    <x v="4"/>
    <x v="3"/>
    <x v="0"/>
    <n v="19900"/>
    <n v="4"/>
    <n v="79600"/>
  </r>
  <r>
    <s v="1350"/>
    <x v="432"/>
    <n v="8"/>
    <x v="10"/>
    <x v="2"/>
    <x v="2"/>
    <x v="0"/>
    <n v="19900"/>
    <n v="7"/>
    <n v="139300"/>
  </r>
  <r>
    <s v="1351"/>
    <x v="433"/>
    <n v="8"/>
    <x v="10"/>
    <x v="5"/>
    <x v="2"/>
    <x v="1"/>
    <n v="28900"/>
    <n v="9"/>
    <n v="260100"/>
  </r>
  <r>
    <s v="1352"/>
    <x v="433"/>
    <n v="15"/>
    <x v="19"/>
    <x v="6"/>
    <x v="0"/>
    <x v="0"/>
    <n v="19900"/>
    <n v="2"/>
    <n v="39800"/>
  </r>
  <r>
    <s v="1353"/>
    <x v="433"/>
    <n v="6"/>
    <x v="11"/>
    <x v="5"/>
    <x v="2"/>
    <x v="3"/>
    <n v="6900"/>
    <n v="5"/>
    <n v="34500"/>
  </r>
  <r>
    <s v="1354"/>
    <x v="433"/>
    <n v="19"/>
    <x v="13"/>
    <x v="3"/>
    <x v="3"/>
    <x v="4"/>
    <n v="39900"/>
    <n v="3"/>
    <n v="119700"/>
  </r>
  <r>
    <s v="1355"/>
    <x v="434"/>
    <n v="16"/>
    <x v="4"/>
    <x v="3"/>
    <x v="3"/>
    <x v="1"/>
    <n v="28900"/>
    <n v="6"/>
    <n v="173400"/>
  </r>
  <r>
    <s v="1356"/>
    <x v="434"/>
    <n v="7"/>
    <x v="17"/>
    <x v="2"/>
    <x v="2"/>
    <x v="3"/>
    <n v="6900"/>
    <n v="1"/>
    <n v="6900"/>
  </r>
  <r>
    <s v="1357"/>
    <x v="434"/>
    <n v="4"/>
    <x v="12"/>
    <x v="1"/>
    <x v="1"/>
    <x v="1"/>
    <n v="28900"/>
    <n v="6"/>
    <n v="173400"/>
  </r>
  <r>
    <s v="1358"/>
    <x v="434"/>
    <n v="13"/>
    <x v="5"/>
    <x v="6"/>
    <x v="0"/>
    <x v="3"/>
    <n v="6900"/>
    <n v="2"/>
    <n v="13800"/>
  </r>
  <r>
    <s v="1359"/>
    <x v="434"/>
    <n v="4"/>
    <x v="12"/>
    <x v="1"/>
    <x v="1"/>
    <x v="1"/>
    <n v="28900"/>
    <n v="2"/>
    <n v="57800"/>
  </r>
  <r>
    <s v="1360"/>
    <x v="434"/>
    <n v="17"/>
    <x v="6"/>
    <x v="3"/>
    <x v="3"/>
    <x v="4"/>
    <n v="39900"/>
    <n v="6"/>
    <n v="239400"/>
  </r>
  <r>
    <s v="1361"/>
    <x v="434"/>
    <n v="3"/>
    <x v="9"/>
    <x v="1"/>
    <x v="1"/>
    <x v="1"/>
    <n v="28900"/>
    <n v="5"/>
    <n v="144500"/>
  </r>
  <r>
    <s v="1362"/>
    <x v="434"/>
    <n v="9"/>
    <x v="2"/>
    <x v="2"/>
    <x v="2"/>
    <x v="4"/>
    <n v="39900"/>
    <n v="5"/>
    <n v="199500"/>
  </r>
  <r>
    <s v="1363"/>
    <x v="434"/>
    <n v="2"/>
    <x v="18"/>
    <x v="1"/>
    <x v="1"/>
    <x v="3"/>
    <n v="6900"/>
    <n v="4"/>
    <n v="27600"/>
  </r>
  <r>
    <s v="1364"/>
    <x v="434"/>
    <n v="15"/>
    <x v="19"/>
    <x v="0"/>
    <x v="0"/>
    <x v="2"/>
    <n v="15900"/>
    <n v="9"/>
    <n v="143100"/>
  </r>
  <r>
    <s v="1365"/>
    <x v="434"/>
    <n v="14"/>
    <x v="7"/>
    <x v="0"/>
    <x v="0"/>
    <x v="0"/>
    <n v="19900"/>
    <n v="1"/>
    <n v="19900"/>
  </r>
  <r>
    <s v="1366"/>
    <x v="434"/>
    <n v="18"/>
    <x v="3"/>
    <x v="4"/>
    <x v="3"/>
    <x v="2"/>
    <n v="15900"/>
    <n v="1"/>
    <n v="15900"/>
  </r>
  <r>
    <s v="1367"/>
    <x v="434"/>
    <n v="8"/>
    <x v="10"/>
    <x v="2"/>
    <x v="2"/>
    <x v="0"/>
    <n v="19900"/>
    <n v="5"/>
    <n v="99500"/>
  </r>
  <r>
    <s v="1368"/>
    <x v="435"/>
    <n v="19"/>
    <x v="13"/>
    <x v="4"/>
    <x v="3"/>
    <x v="4"/>
    <n v="39900"/>
    <n v="9"/>
    <n v="359100"/>
  </r>
  <r>
    <s v="1369"/>
    <x v="436"/>
    <n v="11"/>
    <x v="0"/>
    <x v="0"/>
    <x v="0"/>
    <x v="0"/>
    <n v="19900"/>
    <n v="0"/>
    <n v="0"/>
  </r>
  <r>
    <s v="1370"/>
    <x v="436"/>
    <n v="19"/>
    <x v="13"/>
    <x v="3"/>
    <x v="3"/>
    <x v="4"/>
    <n v="39900"/>
    <n v="2"/>
    <n v="79800"/>
  </r>
  <r>
    <s v="1371"/>
    <x v="436"/>
    <n v="15"/>
    <x v="19"/>
    <x v="0"/>
    <x v="0"/>
    <x v="4"/>
    <n v="39900"/>
    <n v="9"/>
    <n v="359100"/>
  </r>
  <r>
    <s v="1372"/>
    <x v="437"/>
    <n v="4"/>
    <x v="12"/>
    <x v="1"/>
    <x v="1"/>
    <x v="2"/>
    <n v="15900"/>
    <n v="2"/>
    <n v="31800"/>
  </r>
  <r>
    <s v="1373"/>
    <x v="438"/>
    <n v="1"/>
    <x v="1"/>
    <x v="7"/>
    <x v="1"/>
    <x v="0"/>
    <n v="19900"/>
    <n v="4"/>
    <n v="79600"/>
  </r>
  <r>
    <s v="1374"/>
    <x v="439"/>
    <n v="13"/>
    <x v="5"/>
    <x v="6"/>
    <x v="0"/>
    <x v="3"/>
    <n v="6900"/>
    <n v="9"/>
    <n v="62100"/>
  </r>
  <r>
    <s v="1375"/>
    <x v="440"/>
    <n v="4"/>
    <x v="12"/>
    <x v="7"/>
    <x v="1"/>
    <x v="2"/>
    <n v="15900"/>
    <n v="5"/>
    <n v="79500"/>
  </r>
  <r>
    <s v="1376"/>
    <x v="440"/>
    <n v="7"/>
    <x v="17"/>
    <x v="5"/>
    <x v="2"/>
    <x v="4"/>
    <n v="39900"/>
    <n v="6"/>
    <n v="239400"/>
  </r>
  <r>
    <s v="1377"/>
    <x v="440"/>
    <n v="14"/>
    <x v="7"/>
    <x v="0"/>
    <x v="0"/>
    <x v="2"/>
    <n v="15900"/>
    <n v="6"/>
    <n v="95400"/>
  </r>
  <r>
    <s v="1378"/>
    <x v="440"/>
    <n v="14"/>
    <x v="7"/>
    <x v="0"/>
    <x v="0"/>
    <x v="4"/>
    <n v="39900"/>
    <n v="7"/>
    <n v="279300"/>
  </r>
  <r>
    <s v="1379"/>
    <x v="440"/>
    <n v="14"/>
    <x v="7"/>
    <x v="0"/>
    <x v="0"/>
    <x v="1"/>
    <n v="28900"/>
    <n v="6"/>
    <n v="173400"/>
  </r>
  <r>
    <s v="1380"/>
    <x v="440"/>
    <n v="11"/>
    <x v="0"/>
    <x v="6"/>
    <x v="0"/>
    <x v="2"/>
    <n v="15900"/>
    <n v="4"/>
    <n v="63600"/>
  </r>
  <r>
    <s v="1381"/>
    <x v="441"/>
    <n v="11"/>
    <x v="0"/>
    <x v="6"/>
    <x v="0"/>
    <x v="2"/>
    <n v="15900"/>
    <n v="9"/>
    <n v="143100"/>
  </r>
  <r>
    <s v="1382"/>
    <x v="442"/>
    <n v="5"/>
    <x v="15"/>
    <x v="7"/>
    <x v="1"/>
    <x v="3"/>
    <n v="6900"/>
    <n v="1"/>
    <n v="6900"/>
  </r>
  <r>
    <s v="1383"/>
    <x v="442"/>
    <n v="14"/>
    <x v="7"/>
    <x v="6"/>
    <x v="0"/>
    <x v="4"/>
    <n v="39900"/>
    <n v="8"/>
    <n v="319200"/>
  </r>
  <r>
    <s v="1384"/>
    <x v="442"/>
    <n v="15"/>
    <x v="19"/>
    <x v="0"/>
    <x v="0"/>
    <x v="0"/>
    <n v="19900"/>
    <n v="9"/>
    <n v="179100"/>
  </r>
  <r>
    <s v="1385"/>
    <x v="442"/>
    <n v="17"/>
    <x v="6"/>
    <x v="3"/>
    <x v="3"/>
    <x v="4"/>
    <n v="39900"/>
    <n v="5"/>
    <n v="199500"/>
  </r>
  <r>
    <s v="1386"/>
    <x v="442"/>
    <n v="2"/>
    <x v="18"/>
    <x v="7"/>
    <x v="1"/>
    <x v="0"/>
    <n v="19900"/>
    <n v="8"/>
    <n v="159200"/>
  </r>
  <r>
    <s v="1387"/>
    <x v="442"/>
    <n v="18"/>
    <x v="3"/>
    <x v="3"/>
    <x v="3"/>
    <x v="2"/>
    <n v="15900"/>
    <n v="8"/>
    <n v="127200"/>
  </r>
  <r>
    <s v="1388"/>
    <x v="442"/>
    <n v="9"/>
    <x v="2"/>
    <x v="5"/>
    <x v="2"/>
    <x v="4"/>
    <n v="39900"/>
    <n v="9"/>
    <n v="359100"/>
  </r>
  <r>
    <s v="1389"/>
    <x v="442"/>
    <n v="1"/>
    <x v="1"/>
    <x v="1"/>
    <x v="1"/>
    <x v="3"/>
    <n v="6900"/>
    <n v="9"/>
    <n v="62100"/>
  </r>
  <r>
    <s v="1390"/>
    <x v="442"/>
    <n v="4"/>
    <x v="12"/>
    <x v="1"/>
    <x v="1"/>
    <x v="2"/>
    <n v="15900"/>
    <n v="3"/>
    <n v="47700"/>
  </r>
  <r>
    <s v="1391"/>
    <x v="442"/>
    <n v="10"/>
    <x v="14"/>
    <x v="5"/>
    <x v="2"/>
    <x v="4"/>
    <n v="39900"/>
    <n v="0"/>
    <n v="0"/>
  </r>
  <r>
    <s v="1392"/>
    <x v="443"/>
    <n v="15"/>
    <x v="19"/>
    <x v="6"/>
    <x v="0"/>
    <x v="2"/>
    <n v="15900"/>
    <n v="5"/>
    <n v="79500"/>
  </r>
  <r>
    <s v="1393"/>
    <x v="443"/>
    <n v="18"/>
    <x v="3"/>
    <x v="4"/>
    <x v="3"/>
    <x v="3"/>
    <n v="6900"/>
    <n v="3"/>
    <n v="20700"/>
  </r>
  <r>
    <s v="1394"/>
    <x v="443"/>
    <n v="1"/>
    <x v="1"/>
    <x v="7"/>
    <x v="1"/>
    <x v="1"/>
    <n v="28900"/>
    <n v="3"/>
    <n v="86700"/>
  </r>
  <r>
    <s v="1395"/>
    <x v="444"/>
    <n v="4"/>
    <x v="12"/>
    <x v="1"/>
    <x v="1"/>
    <x v="0"/>
    <n v="19900"/>
    <n v="3"/>
    <n v="59700"/>
  </r>
  <r>
    <s v="1396"/>
    <x v="445"/>
    <n v="11"/>
    <x v="0"/>
    <x v="0"/>
    <x v="0"/>
    <x v="4"/>
    <n v="39900"/>
    <n v="9"/>
    <n v="359100"/>
  </r>
  <r>
    <s v="1397"/>
    <x v="446"/>
    <n v="2"/>
    <x v="18"/>
    <x v="1"/>
    <x v="1"/>
    <x v="2"/>
    <n v="15900"/>
    <n v="5"/>
    <n v="79500"/>
  </r>
  <r>
    <s v="1398"/>
    <x v="446"/>
    <n v="17"/>
    <x v="6"/>
    <x v="3"/>
    <x v="3"/>
    <x v="1"/>
    <n v="28900"/>
    <n v="2"/>
    <n v="57800"/>
  </r>
  <r>
    <s v="1399"/>
    <x v="446"/>
    <n v="2"/>
    <x v="18"/>
    <x v="7"/>
    <x v="1"/>
    <x v="0"/>
    <n v="19900"/>
    <n v="8"/>
    <n v="159200"/>
  </r>
  <r>
    <s v="1400"/>
    <x v="446"/>
    <n v="5"/>
    <x v="15"/>
    <x v="7"/>
    <x v="1"/>
    <x v="4"/>
    <n v="39900"/>
    <n v="1"/>
    <n v="39900"/>
  </r>
  <r>
    <s v="1401"/>
    <x v="446"/>
    <n v="15"/>
    <x v="19"/>
    <x v="6"/>
    <x v="0"/>
    <x v="1"/>
    <n v="28900"/>
    <n v="6"/>
    <n v="173400"/>
  </r>
  <r>
    <s v="1402"/>
    <x v="446"/>
    <n v="8"/>
    <x v="10"/>
    <x v="5"/>
    <x v="2"/>
    <x v="3"/>
    <n v="6900"/>
    <n v="8"/>
    <n v="55200"/>
  </r>
  <r>
    <s v="1403"/>
    <x v="446"/>
    <n v="9"/>
    <x v="2"/>
    <x v="2"/>
    <x v="2"/>
    <x v="4"/>
    <n v="39900"/>
    <n v="9"/>
    <n v="359100"/>
  </r>
  <r>
    <s v="1404"/>
    <x v="446"/>
    <n v="5"/>
    <x v="15"/>
    <x v="1"/>
    <x v="1"/>
    <x v="1"/>
    <n v="28900"/>
    <n v="6"/>
    <n v="173400"/>
  </r>
  <r>
    <s v="1405"/>
    <x v="446"/>
    <n v="11"/>
    <x v="0"/>
    <x v="6"/>
    <x v="0"/>
    <x v="0"/>
    <n v="19900"/>
    <n v="8"/>
    <n v="159200"/>
  </r>
  <r>
    <s v="1406"/>
    <x v="446"/>
    <n v="15"/>
    <x v="19"/>
    <x v="6"/>
    <x v="0"/>
    <x v="2"/>
    <n v="15900"/>
    <n v="7"/>
    <n v="111300"/>
  </r>
  <r>
    <s v="1407"/>
    <x v="447"/>
    <n v="12"/>
    <x v="16"/>
    <x v="6"/>
    <x v="0"/>
    <x v="4"/>
    <n v="39900"/>
    <n v="8"/>
    <n v="319200"/>
  </r>
  <r>
    <s v="1408"/>
    <x v="448"/>
    <n v="3"/>
    <x v="9"/>
    <x v="1"/>
    <x v="1"/>
    <x v="4"/>
    <n v="39900"/>
    <n v="9"/>
    <n v="359100"/>
  </r>
  <r>
    <s v="1409"/>
    <x v="448"/>
    <n v="18"/>
    <x v="3"/>
    <x v="4"/>
    <x v="3"/>
    <x v="4"/>
    <n v="39900"/>
    <n v="3"/>
    <n v="119700"/>
  </r>
  <r>
    <s v="1410"/>
    <x v="448"/>
    <n v="12"/>
    <x v="16"/>
    <x v="6"/>
    <x v="0"/>
    <x v="1"/>
    <n v="28900"/>
    <n v="6"/>
    <n v="173400"/>
  </r>
  <r>
    <s v="1411"/>
    <x v="449"/>
    <n v="8"/>
    <x v="10"/>
    <x v="5"/>
    <x v="2"/>
    <x v="0"/>
    <n v="19900"/>
    <n v="1"/>
    <n v="19900"/>
  </r>
  <r>
    <s v="1412"/>
    <x v="449"/>
    <n v="19"/>
    <x v="13"/>
    <x v="4"/>
    <x v="3"/>
    <x v="1"/>
    <n v="28900"/>
    <n v="3"/>
    <n v="86700"/>
  </r>
  <r>
    <s v="1413"/>
    <x v="450"/>
    <n v="4"/>
    <x v="12"/>
    <x v="1"/>
    <x v="1"/>
    <x v="4"/>
    <n v="39900"/>
    <n v="6"/>
    <n v="239400"/>
  </r>
  <r>
    <s v="1414"/>
    <x v="450"/>
    <n v="6"/>
    <x v="11"/>
    <x v="5"/>
    <x v="2"/>
    <x v="1"/>
    <n v="28900"/>
    <n v="7"/>
    <n v="202300"/>
  </r>
  <r>
    <s v="1415"/>
    <x v="450"/>
    <n v="17"/>
    <x v="6"/>
    <x v="4"/>
    <x v="3"/>
    <x v="2"/>
    <n v="15900"/>
    <n v="7"/>
    <n v="111300"/>
  </r>
  <r>
    <s v="1416"/>
    <x v="450"/>
    <n v="13"/>
    <x v="5"/>
    <x v="6"/>
    <x v="0"/>
    <x v="1"/>
    <n v="28900"/>
    <n v="9"/>
    <n v="260100"/>
  </r>
  <r>
    <s v="1417"/>
    <x v="450"/>
    <n v="18"/>
    <x v="3"/>
    <x v="3"/>
    <x v="3"/>
    <x v="0"/>
    <n v="19900"/>
    <n v="2"/>
    <n v="39800"/>
  </r>
  <r>
    <s v="1418"/>
    <x v="451"/>
    <n v="1"/>
    <x v="1"/>
    <x v="7"/>
    <x v="1"/>
    <x v="1"/>
    <n v="28900"/>
    <n v="9"/>
    <n v="260100"/>
  </r>
  <r>
    <s v="1419"/>
    <x v="452"/>
    <n v="18"/>
    <x v="3"/>
    <x v="4"/>
    <x v="3"/>
    <x v="2"/>
    <n v="15900"/>
    <n v="0"/>
    <n v="0"/>
  </r>
  <r>
    <s v="1420"/>
    <x v="452"/>
    <n v="18"/>
    <x v="3"/>
    <x v="4"/>
    <x v="3"/>
    <x v="0"/>
    <n v="19900"/>
    <n v="0"/>
    <n v="0"/>
  </r>
  <r>
    <s v="1421"/>
    <x v="452"/>
    <n v="2"/>
    <x v="18"/>
    <x v="1"/>
    <x v="1"/>
    <x v="0"/>
    <n v="19900"/>
    <n v="0"/>
    <n v="0"/>
  </r>
  <r>
    <s v="1422"/>
    <x v="453"/>
    <n v="2"/>
    <x v="18"/>
    <x v="7"/>
    <x v="1"/>
    <x v="0"/>
    <n v="19900"/>
    <n v="9"/>
    <n v="179100"/>
  </r>
  <r>
    <s v="1423"/>
    <x v="453"/>
    <n v="7"/>
    <x v="17"/>
    <x v="2"/>
    <x v="2"/>
    <x v="4"/>
    <n v="39900"/>
    <n v="2"/>
    <n v="79800"/>
  </r>
  <r>
    <s v="1424"/>
    <x v="454"/>
    <n v="19"/>
    <x v="13"/>
    <x v="4"/>
    <x v="3"/>
    <x v="1"/>
    <n v="28900"/>
    <n v="8"/>
    <n v="231200"/>
  </r>
  <r>
    <s v="1425"/>
    <x v="454"/>
    <n v="19"/>
    <x v="13"/>
    <x v="4"/>
    <x v="3"/>
    <x v="2"/>
    <n v="15900"/>
    <n v="6"/>
    <n v="95400"/>
  </r>
  <r>
    <s v="1426"/>
    <x v="454"/>
    <n v="13"/>
    <x v="5"/>
    <x v="6"/>
    <x v="0"/>
    <x v="4"/>
    <n v="39900"/>
    <n v="0"/>
    <n v="0"/>
  </r>
  <r>
    <s v="1427"/>
    <x v="454"/>
    <n v="10"/>
    <x v="14"/>
    <x v="5"/>
    <x v="2"/>
    <x v="4"/>
    <n v="39900"/>
    <n v="8"/>
    <n v="319200"/>
  </r>
  <r>
    <s v="1428"/>
    <x v="454"/>
    <n v="5"/>
    <x v="15"/>
    <x v="7"/>
    <x v="1"/>
    <x v="0"/>
    <n v="19900"/>
    <n v="9"/>
    <n v="179100"/>
  </r>
  <r>
    <s v="1429"/>
    <x v="455"/>
    <n v="1"/>
    <x v="1"/>
    <x v="7"/>
    <x v="1"/>
    <x v="4"/>
    <n v="39900"/>
    <n v="4"/>
    <n v="159600"/>
  </r>
  <r>
    <s v="1430"/>
    <x v="455"/>
    <n v="10"/>
    <x v="14"/>
    <x v="2"/>
    <x v="2"/>
    <x v="0"/>
    <n v="19900"/>
    <n v="6"/>
    <n v="119400"/>
  </r>
  <r>
    <s v="1431"/>
    <x v="456"/>
    <n v="8"/>
    <x v="10"/>
    <x v="2"/>
    <x v="2"/>
    <x v="4"/>
    <n v="39900"/>
    <n v="0"/>
    <n v="0"/>
  </r>
  <r>
    <s v="1432"/>
    <x v="457"/>
    <n v="12"/>
    <x v="16"/>
    <x v="0"/>
    <x v="0"/>
    <x v="2"/>
    <n v="15900"/>
    <n v="8"/>
    <n v="127200"/>
  </r>
  <r>
    <s v="1433"/>
    <x v="458"/>
    <n v="5"/>
    <x v="15"/>
    <x v="7"/>
    <x v="1"/>
    <x v="3"/>
    <n v="6900"/>
    <n v="5"/>
    <n v="34500"/>
  </r>
  <r>
    <s v="1434"/>
    <x v="458"/>
    <n v="8"/>
    <x v="10"/>
    <x v="2"/>
    <x v="2"/>
    <x v="2"/>
    <n v="15900"/>
    <n v="4"/>
    <n v="63600"/>
  </r>
  <r>
    <s v="1435"/>
    <x v="458"/>
    <n v="19"/>
    <x v="13"/>
    <x v="3"/>
    <x v="3"/>
    <x v="1"/>
    <n v="28900"/>
    <n v="2"/>
    <n v="57800"/>
  </r>
  <r>
    <s v="1436"/>
    <x v="458"/>
    <n v="20"/>
    <x v="8"/>
    <x v="3"/>
    <x v="3"/>
    <x v="3"/>
    <n v="6900"/>
    <n v="9"/>
    <n v="62100"/>
  </r>
  <r>
    <s v="1437"/>
    <x v="459"/>
    <n v="7"/>
    <x v="17"/>
    <x v="5"/>
    <x v="2"/>
    <x v="0"/>
    <n v="19900"/>
    <n v="8"/>
    <n v="159200"/>
  </r>
  <r>
    <s v="1438"/>
    <x v="459"/>
    <n v="4"/>
    <x v="12"/>
    <x v="7"/>
    <x v="1"/>
    <x v="3"/>
    <n v="6900"/>
    <n v="7"/>
    <n v="48300"/>
  </r>
  <r>
    <s v="1439"/>
    <x v="459"/>
    <n v="16"/>
    <x v="4"/>
    <x v="4"/>
    <x v="3"/>
    <x v="0"/>
    <n v="19900"/>
    <n v="9"/>
    <n v="179100"/>
  </r>
  <r>
    <s v="1440"/>
    <x v="459"/>
    <n v="18"/>
    <x v="3"/>
    <x v="4"/>
    <x v="3"/>
    <x v="0"/>
    <n v="19900"/>
    <n v="2"/>
    <n v="39800"/>
  </r>
  <r>
    <s v="1441"/>
    <x v="459"/>
    <n v="13"/>
    <x v="5"/>
    <x v="6"/>
    <x v="0"/>
    <x v="0"/>
    <n v="19900"/>
    <n v="5"/>
    <n v="99500"/>
  </r>
  <r>
    <s v="1442"/>
    <x v="459"/>
    <n v="15"/>
    <x v="19"/>
    <x v="0"/>
    <x v="0"/>
    <x v="3"/>
    <n v="6900"/>
    <n v="1"/>
    <n v="6900"/>
  </r>
  <r>
    <s v="1443"/>
    <x v="459"/>
    <n v="15"/>
    <x v="19"/>
    <x v="6"/>
    <x v="0"/>
    <x v="1"/>
    <n v="28900"/>
    <n v="8"/>
    <n v="231200"/>
  </r>
  <r>
    <s v="1444"/>
    <x v="460"/>
    <n v="3"/>
    <x v="9"/>
    <x v="1"/>
    <x v="1"/>
    <x v="1"/>
    <n v="28900"/>
    <n v="2"/>
    <n v="57800"/>
  </r>
  <r>
    <s v="1445"/>
    <x v="460"/>
    <n v="1"/>
    <x v="1"/>
    <x v="7"/>
    <x v="1"/>
    <x v="0"/>
    <n v="19900"/>
    <n v="3"/>
    <n v="59700"/>
  </r>
  <r>
    <s v="1446"/>
    <x v="461"/>
    <n v="12"/>
    <x v="16"/>
    <x v="6"/>
    <x v="0"/>
    <x v="4"/>
    <n v="39900"/>
    <n v="5"/>
    <n v="199500"/>
  </r>
  <r>
    <s v="1447"/>
    <x v="461"/>
    <n v="7"/>
    <x v="17"/>
    <x v="2"/>
    <x v="2"/>
    <x v="3"/>
    <n v="6900"/>
    <n v="6"/>
    <n v="41400"/>
  </r>
  <r>
    <s v="1448"/>
    <x v="461"/>
    <n v="15"/>
    <x v="19"/>
    <x v="0"/>
    <x v="0"/>
    <x v="2"/>
    <n v="15900"/>
    <n v="7"/>
    <n v="111300"/>
  </r>
  <r>
    <s v="1449"/>
    <x v="461"/>
    <n v="20"/>
    <x v="8"/>
    <x v="4"/>
    <x v="3"/>
    <x v="2"/>
    <n v="15900"/>
    <n v="9"/>
    <n v="143100"/>
  </r>
  <r>
    <s v="1450"/>
    <x v="461"/>
    <n v="4"/>
    <x v="12"/>
    <x v="7"/>
    <x v="1"/>
    <x v="0"/>
    <n v="19900"/>
    <n v="5"/>
    <n v="99500"/>
  </r>
  <r>
    <s v="1451"/>
    <x v="462"/>
    <n v="12"/>
    <x v="16"/>
    <x v="0"/>
    <x v="0"/>
    <x v="2"/>
    <n v="15900"/>
    <n v="9"/>
    <n v="143100"/>
  </r>
  <r>
    <s v="1452"/>
    <x v="463"/>
    <n v="9"/>
    <x v="2"/>
    <x v="5"/>
    <x v="2"/>
    <x v="4"/>
    <n v="39900"/>
    <n v="5"/>
    <n v="199500"/>
  </r>
  <r>
    <s v="1453"/>
    <x v="463"/>
    <n v="9"/>
    <x v="2"/>
    <x v="2"/>
    <x v="2"/>
    <x v="3"/>
    <n v="6900"/>
    <n v="6"/>
    <n v="41400"/>
  </r>
  <r>
    <s v="1454"/>
    <x v="463"/>
    <n v="7"/>
    <x v="17"/>
    <x v="5"/>
    <x v="2"/>
    <x v="1"/>
    <n v="28900"/>
    <n v="3"/>
    <n v="86700"/>
  </r>
  <r>
    <s v="1455"/>
    <x v="463"/>
    <n v="5"/>
    <x v="15"/>
    <x v="1"/>
    <x v="1"/>
    <x v="2"/>
    <n v="15900"/>
    <n v="7"/>
    <n v="111300"/>
  </r>
  <r>
    <s v="1456"/>
    <x v="463"/>
    <n v="17"/>
    <x v="6"/>
    <x v="3"/>
    <x v="3"/>
    <x v="0"/>
    <n v="19900"/>
    <n v="7"/>
    <n v="139300"/>
  </r>
  <r>
    <s v="1457"/>
    <x v="463"/>
    <n v="17"/>
    <x v="6"/>
    <x v="4"/>
    <x v="3"/>
    <x v="3"/>
    <n v="6900"/>
    <n v="5"/>
    <n v="34500"/>
  </r>
  <r>
    <s v="1458"/>
    <x v="464"/>
    <n v="15"/>
    <x v="19"/>
    <x v="0"/>
    <x v="0"/>
    <x v="3"/>
    <n v="6900"/>
    <n v="0"/>
    <n v="0"/>
  </r>
  <r>
    <s v="1459"/>
    <x v="464"/>
    <n v="17"/>
    <x v="6"/>
    <x v="4"/>
    <x v="3"/>
    <x v="0"/>
    <n v="19900"/>
    <n v="5"/>
    <n v="99500"/>
  </r>
  <r>
    <s v="1460"/>
    <x v="465"/>
    <n v="13"/>
    <x v="5"/>
    <x v="0"/>
    <x v="0"/>
    <x v="0"/>
    <n v="19900"/>
    <n v="9"/>
    <n v="179100"/>
  </r>
  <r>
    <s v="1461"/>
    <x v="465"/>
    <n v="16"/>
    <x v="4"/>
    <x v="3"/>
    <x v="3"/>
    <x v="2"/>
    <n v="15900"/>
    <n v="8"/>
    <n v="127200"/>
  </r>
  <r>
    <s v="1462"/>
    <x v="466"/>
    <n v="19"/>
    <x v="13"/>
    <x v="4"/>
    <x v="3"/>
    <x v="1"/>
    <n v="28900"/>
    <n v="3"/>
    <n v="86700"/>
  </r>
  <r>
    <s v="1463"/>
    <x v="466"/>
    <n v="13"/>
    <x v="5"/>
    <x v="0"/>
    <x v="0"/>
    <x v="0"/>
    <n v="19900"/>
    <n v="3"/>
    <n v="59700"/>
  </r>
  <r>
    <s v="1464"/>
    <x v="466"/>
    <n v="5"/>
    <x v="15"/>
    <x v="7"/>
    <x v="1"/>
    <x v="1"/>
    <n v="28900"/>
    <n v="5"/>
    <n v="144500"/>
  </r>
  <r>
    <s v="1465"/>
    <x v="467"/>
    <n v="13"/>
    <x v="5"/>
    <x v="6"/>
    <x v="0"/>
    <x v="4"/>
    <n v="39900"/>
    <n v="0"/>
    <n v="0"/>
  </r>
  <r>
    <s v="1466"/>
    <x v="468"/>
    <n v="9"/>
    <x v="2"/>
    <x v="2"/>
    <x v="2"/>
    <x v="4"/>
    <n v="39900"/>
    <n v="7"/>
    <n v="279300"/>
  </r>
  <r>
    <s v="1467"/>
    <x v="469"/>
    <n v="3"/>
    <x v="9"/>
    <x v="7"/>
    <x v="1"/>
    <x v="0"/>
    <n v="19900"/>
    <n v="5"/>
    <n v="99500"/>
  </r>
  <r>
    <s v="1468"/>
    <x v="469"/>
    <n v="6"/>
    <x v="11"/>
    <x v="2"/>
    <x v="2"/>
    <x v="4"/>
    <n v="39900"/>
    <n v="0"/>
    <n v="0"/>
  </r>
  <r>
    <s v="1469"/>
    <x v="470"/>
    <n v="12"/>
    <x v="16"/>
    <x v="6"/>
    <x v="0"/>
    <x v="3"/>
    <n v="6900"/>
    <n v="2"/>
    <n v="13800"/>
  </r>
  <r>
    <s v="1470"/>
    <x v="471"/>
    <n v="1"/>
    <x v="1"/>
    <x v="1"/>
    <x v="1"/>
    <x v="3"/>
    <n v="6900"/>
    <n v="0"/>
    <n v="0"/>
  </r>
  <r>
    <s v="1471"/>
    <x v="472"/>
    <n v="5"/>
    <x v="15"/>
    <x v="7"/>
    <x v="1"/>
    <x v="4"/>
    <n v="39900"/>
    <n v="8"/>
    <n v="319200"/>
  </r>
  <r>
    <s v="1472"/>
    <x v="472"/>
    <n v="19"/>
    <x v="13"/>
    <x v="4"/>
    <x v="3"/>
    <x v="3"/>
    <n v="6900"/>
    <n v="0"/>
    <n v="0"/>
  </r>
  <r>
    <s v="1473"/>
    <x v="472"/>
    <n v="12"/>
    <x v="16"/>
    <x v="0"/>
    <x v="0"/>
    <x v="1"/>
    <n v="28900"/>
    <n v="5"/>
    <n v="144500"/>
  </r>
  <r>
    <s v="1474"/>
    <x v="472"/>
    <n v="15"/>
    <x v="19"/>
    <x v="0"/>
    <x v="0"/>
    <x v="2"/>
    <n v="15900"/>
    <n v="8"/>
    <n v="127200"/>
  </r>
  <r>
    <s v="1475"/>
    <x v="472"/>
    <n v="13"/>
    <x v="5"/>
    <x v="0"/>
    <x v="0"/>
    <x v="4"/>
    <n v="39900"/>
    <n v="5"/>
    <n v="199500"/>
  </r>
  <r>
    <s v="1476"/>
    <x v="473"/>
    <n v="19"/>
    <x v="13"/>
    <x v="3"/>
    <x v="3"/>
    <x v="2"/>
    <n v="15900"/>
    <n v="9"/>
    <n v="143100"/>
  </r>
  <r>
    <s v="1477"/>
    <x v="473"/>
    <n v="4"/>
    <x v="12"/>
    <x v="1"/>
    <x v="1"/>
    <x v="4"/>
    <n v="39900"/>
    <n v="7"/>
    <n v="279300"/>
  </r>
  <r>
    <s v="1478"/>
    <x v="473"/>
    <n v="4"/>
    <x v="12"/>
    <x v="7"/>
    <x v="1"/>
    <x v="4"/>
    <n v="39900"/>
    <n v="9"/>
    <n v="359100"/>
  </r>
  <r>
    <s v="1479"/>
    <x v="473"/>
    <n v="10"/>
    <x v="14"/>
    <x v="2"/>
    <x v="2"/>
    <x v="4"/>
    <n v="39900"/>
    <n v="4"/>
    <n v="159600"/>
  </r>
  <r>
    <s v="1480"/>
    <x v="474"/>
    <n v="6"/>
    <x v="11"/>
    <x v="2"/>
    <x v="2"/>
    <x v="4"/>
    <n v="39900"/>
    <n v="6"/>
    <n v="239400"/>
  </r>
  <r>
    <s v="1481"/>
    <x v="474"/>
    <n v="18"/>
    <x v="3"/>
    <x v="4"/>
    <x v="3"/>
    <x v="2"/>
    <n v="15900"/>
    <n v="8"/>
    <n v="127200"/>
  </r>
  <r>
    <s v="1482"/>
    <x v="474"/>
    <n v="4"/>
    <x v="12"/>
    <x v="1"/>
    <x v="1"/>
    <x v="3"/>
    <n v="6900"/>
    <n v="0"/>
    <n v="0"/>
  </r>
  <r>
    <s v="1483"/>
    <x v="474"/>
    <n v="20"/>
    <x v="8"/>
    <x v="4"/>
    <x v="3"/>
    <x v="4"/>
    <n v="39900"/>
    <n v="9"/>
    <n v="359100"/>
  </r>
  <r>
    <s v="1484"/>
    <x v="475"/>
    <n v="18"/>
    <x v="3"/>
    <x v="4"/>
    <x v="3"/>
    <x v="3"/>
    <n v="6900"/>
    <n v="2"/>
    <n v="13800"/>
  </r>
  <r>
    <s v="1485"/>
    <x v="475"/>
    <n v="6"/>
    <x v="11"/>
    <x v="5"/>
    <x v="2"/>
    <x v="1"/>
    <n v="28900"/>
    <n v="5"/>
    <n v="144500"/>
  </r>
  <r>
    <s v="1486"/>
    <x v="476"/>
    <n v="1"/>
    <x v="1"/>
    <x v="7"/>
    <x v="1"/>
    <x v="3"/>
    <n v="6900"/>
    <n v="5"/>
    <n v="34500"/>
  </r>
  <r>
    <s v="1487"/>
    <x v="476"/>
    <n v="11"/>
    <x v="0"/>
    <x v="6"/>
    <x v="0"/>
    <x v="2"/>
    <n v="15900"/>
    <n v="6"/>
    <n v="95400"/>
  </r>
  <r>
    <s v="1488"/>
    <x v="477"/>
    <n v="12"/>
    <x v="16"/>
    <x v="6"/>
    <x v="0"/>
    <x v="0"/>
    <n v="19900"/>
    <n v="8"/>
    <n v="159200"/>
  </r>
  <r>
    <s v="1489"/>
    <x v="477"/>
    <n v="6"/>
    <x v="11"/>
    <x v="5"/>
    <x v="2"/>
    <x v="3"/>
    <n v="6900"/>
    <n v="4"/>
    <n v="27600"/>
  </r>
  <r>
    <s v="1490"/>
    <x v="477"/>
    <n v="19"/>
    <x v="13"/>
    <x v="3"/>
    <x v="3"/>
    <x v="4"/>
    <n v="39900"/>
    <n v="1"/>
    <n v="39900"/>
  </r>
  <r>
    <s v="1491"/>
    <x v="477"/>
    <n v="5"/>
    <x v="15"/>
    <x v="1"/>
    <x v="1"/>
    <x v="4"/>
    <n v="39900"/>
    <n v="8"/>
    <n v="319200"/>
  </r>
  <r>
    <s v="1492"/>
    <x v="477"/>
    <n v="11"/>
    <x v="0"/>
    <x v="6"/>
    <x v="0"/>
    <x v="4"/>
    <n v="39900"/>
    <n v="6"/>
    <n v="239400"/>
  </r>
  <r>
    <s v="1493"/>
    <x v="477"/>
    <n v="8"/>
    <x v="10"/>
    <x v="5"/>
    <x v="2"/>
    <x v="4"/>
    <n v="39900"/>
    <n v="2"/>
    <n v="79800"/>
  </r>
  <r>
    <s v="1494"/>
    <x v="478"/>
    <n v="3"/>
    <x v="9"/>
    <x v="7"/>
    <x v="1"/>
    <x v="1"/>
    <n v="28900"/>
    <n v="6"/>
    <n v="173400"/>
  </r>
  <r>
    <s v="1495"/>
    <x v="479"/>
    <n v="7"/>
    <x v="17"/>
    <x v="5"/>
    <x v="2"/>
    <x v="2"/>
    <n v="15900"/>
    <n v="5"/>
    <n v="79500"/>
  </r>
  <r>
    <s v="1496"/>
    <x v="479"/>
    <n v="10"/>
    <x v="14"/>
    <x v="2"/>
    <x v="2"/>
    <x v="4"/>
    <n v="39900"/>
    <n v="5"/>
    <n v="199500"/>
  </r>
  <r>
    <s v="1497"/>
    <x v="480"/>
    <n v="13"/>
    <x v="5"/>
    <x v="6"/>
    <x v="0"/>
    <x v="0"/>
    <n v="19900"/>
    <n v="5"/>
    <n v="99500"/>
  </r>
  <r>
    <s v="1498"/>
    <x v="480"/>
    <n v="1"/>
    <x v="1"/>
    <x v="7"/>
    <x v="1"/>
    <x v="1"/>
    <n v="28900"/>
    <n v="4"/>
    <n v="115600"/>
  </r>
  <r>
    <s v="1499"/>
    <x v="481"/>
    <n v="18"/>
    <x v="3"/>
    <x v="4"/>
    <x v="3"/>
    <x v="2"/>
    <n v="15900"/>
    <n v="1"/>
    <n v="15900"/>
  </r>
  <r>
    <s v="1500"/>
    <x v="481"/>
    <n v="18"/>
    <x v="3"/>
    <x v="4"/>
    <x v="3"/>
    <x v="1"/>
    <n v="28900"/>
    <n v="8"/>
    <n v="231200"/>
  </r>
  <r>
    <s v="1501"/>
    <x v="482"/>
    <n v="8"/>
    <x v="10"/>
    <x v="2"/>
    <x v="2"/>
    <x v="3"/>
    <n v="6900"/>
    <n v="8"/>
    <n v="55200"/>
  </r>
  <r>
    <s v="1502"/>
    <x v="483"/>
    <n v="7"/>
    <x v="17"/>
    <x v="2"/>
    <x v="2"/>
    <x v="2"/>
    <n v="15900"/>
    <n v="7"/>
    <n v="111300"/>
  </r>
  <r>
    <s v="1503"/>
    <x v="484"/>
    <n v="6"/>
    <x v="11"/>
    <x v="5"/>
    <x v="2"/>
    <x v="1"/>
    <n v="28900"/>
    <n v="7"/>
    <n v="202300"/>
  </r>
  <r>
    <s v="1504"/>
    <x v="484"/>
    <n v="11"/>
    <x v="0"/>
    <x v="0"/>
    <x v="0"/>
    <x v="4"/>
    <n v="39900"/>
    <n v="5"/>
    <n v="199500"/>
  </r>
  <r>
    <s v="1505"/>
    <x v="484"/>
    <n v="9"/>
    <x v="2"/>
    <x v="2"/>
    <x v="2"/>
    <x v="1"/>
    <n v="28900"/>
    <n v="6"/>
    <n v="173400"/>
  </r>
  <r>
    <s v="1506"/>
    <x v="484"/>
    <n v="20"/>
    <x v="8"/>
    <x v="3"/>
    <x v="3"/>
    <x v="3"/>
    <n v="6900"/>
    <n v="4"/>
    <n v="27600"/>
  </r>
  <r>
    <s v="1507"/>
    <x v="485"/>
    <n v="1"/>
    <x v="1"/>
    <x v="7"/>
    <x v="1"/>
    <x v="1"/>
    <n v="28900"/>
    <n v="6"/>
    <n v="173400"/>
  </r>
  <r>
    <s v="1508"/>
    <x v="485"/>
    <n v="2"/>
    <x v="18"/>
    <x v="1"/>
    <x v="1"/>
    <x v="0"/>
    <n v="19900"/>
    <n v="4"/>
    <n v="79600"/>
  </r>
  <r>
    <s v="1509"/>
    <x v="486"/>
    <n v="17"/>
    <x v="6"/>
    <x v="3"/>
    <x v="3"/>
    <x v="1"/>
    <n v="28900"/>
    <n v="7"/>
    <n v="202300"/>
  </r>
  <r>
    <s v="1510"/>
    <x v="486"/>
    <n v="1"/>
    <x v="1"/>
    <x v="1"/>
    <x v="1"/>
    <x v="3"/>
    <n v="6900"/>
    <n v="9"/>
    <n v="62100"/>
  </r>
  <r>
    <s v="1511"/>
    <x v="487"/>
    <n v="16"/>
    <x v="4"/>
    <x v="4"/>
    <x v="3"/>
    <x v="4"/>
    <n v="39900"/>
    <n v="3"/>
    <n v="119700"/>
  </r>
  <r>
    <s v="1512"/>
    <x v="487"/>
    <n v="12"/>
    <x v="16"/>
    <x v="6"/>
    <x v="0"/>
    <x v="1"/>
    <n v="28900"/>
    <n v="1"/>
    <n v="28900"/>
  </r>
  <r>
    <s v="1513"/>
    <x v="487"/>
    <n v="4"/>
    <x v="12"/>
    <x v="1"/>
    <x v="1"/>
    <x v="2"/>
    <n v="15900"/>
    <n v="3"/>
    <n v="47700"/>
  </r>
  <r>
    <s v="1514"/>
    <x v="487"/>
    <n v="11"/>
    <x v="0"/>
    <x v="0"/>
    <x v="0"/>
    <x v="0"/>
    <n v="19900"/>
    <n v="2"/>
    <n v="39800"/>
  </r>
  <r>
    <s v="1515"/>
    <x v="487"/>
    <n v="18"/>
    <x v="3"/>
    <x v="3"/>
    <x v="3"/>
    <x v="4"/>
    <n v="39900"/>
    <n v="6"/>
    <n v="239400"/>
  </r>
  <r>
    <s v="1516"/>
    <x v="487"/>
    <n v="1"/>
    <x v="1"/>
    <x v="1"/>
    <x v="1"/>
    <x v="2"/>
    <n v="15900"/>
    <n v="0"/>
    <n v="0"/>
  </r>
  <r>
    <s v="1517"/>
    <x v="487"/>
    <n v="17"/>
    <x v="6"/>
    <x v="4"/>
    <x v="3"/>
    <x v="3"/>
    <n v="6900"/>
    <n v="5"/>
    <n v="34500"/>
  </r>
  <r>
    <s v="1518"/>
    <x v="487"/>
    <n v="3"/>
    <x v="9"/>
    <x v="1"/>
    <x v="1"/>
    <x v="3"/>
    <n v="6900"/>
    <n v="8"/>
    <n v="55200"/>
  </r>
  <r>
    <s v="1519"/>
    <x v="488"/>
    <n v="14"/>
    <x v="7"/>
    <x v="6"/>
    <x v="0"/>
    <x v="3"/>
    <n v="6900"/>
    <n v="9"/>
    <n v="62100"/>
  </r>
  <r>
    <s v="1520"/>
    <x v="489"/>
    <n v="12"/>
    <x v="16"/>
    <x v="6"/>
    <x v="0"/>
    <x v="2"/>
    <n v="15900"/>
    <n v="4"/>
    <n v="63600"/>
  </r>
  <r>
    <s v="1521"/>
    <x v="489"/>
    <n v="19"/>
    <x v="13"/>
    <x v="3"/>
    <x v="3"/>
    <x v="4"/>
    <n v="39900"/>
    <n v="5"/>
    <n v="199500"/>
  </r>
  <r>
    <s v="1522"/>
    <x v="490"/>
    <n v="15"/>
    <x v="19"/>
    <x v="6"/>
    <x v="0"/>
    <x v="3"/>
    <n v="6900"/>
    <n v="9"/>
    <n v="62100"/>
  </r>
  <r>
    <s v="1523"/>
    <x v="491"/>
    <n v="11"/>
    <x v="0"/>
    <x v="0"/>
    <x v="0"/>
    <x v="2"/>
    <n v="15900"/>
    <n v="3"/>
    <n v="47700"/>
  </r>
  <r>
    <s v="1524"/>
    <x v="491"/>
    <n v="14"/>
    <x v="7"/>
    <x v="6"/>
    <x v="0"/>
    <x v="2"/>
    <n v="15900"/>
    <n v="1"/>
    <n v="15900"/>
  </r>
  <r>
    <s v="1525"/>
    <x v="491"/>
    <n v="3"/>
    <x v="9"/>
    <x v="7"/>
    <x v="1"/>
    <x v="3"/>
    <n v="6900"/>
    <n v="6"/>
    <n v="41400"/>
  </r>
  <r>
    <s v="1526"/>
    <x v="491"/>
    <n v="4"/>
    <x v="12"/>
    <x v="7"/>
    <x v="1"/>
    <x v="1"/>
    <n v="28900"/>
    <n v="5"/>
    <n v="144500"/>
  </r>
  <r>
    <s v="1527"/>
    <x v="491"/>
    <n v="16"/>
    <x v="4"/>
    <x v="3"/>
    <x v="3"/>
    <x v="2"/>
    <n v="15900"/>
    <n v="7"/>
    <n v="111300"/>
  </r>
  <r>
    <s v="1528"/>
    <x v="491"/>
    <n v="13"/>
    <x v="5"/>
    <x v="6"/>
    <x v="0"/>
    <x v="2"/>
    <n v="15900"/>
    <n v="3"/>
    <n v="47700"/>
  </r>
  <r>
    <s v="1529"/>
    <x v="491"/>
    <n v="18"/>
    <x v="3"/>
    <x v="4"/>
    <x v="3"/>
    <x v="0"/>
    <n v="19900"/>
    <n v="1"/>
    <n v="19900"/>
  </r>
  <r>
    <s v="1530"/>
    <x v="491"/>
    <n v="15"/>
    <x v="19"/>
    <x v="0"/>
    <x v="0"/>
    <x v="4"/>
    <n v="39900"/>
    <n v="0"/>
    <n v="0"/>
  </r>
  <r>
    <s v="1531"/>
    <x v="492"/>
    <n v="4"/>
    <x v="12"/>
    <x v="1"/>
    <x v="1"/>
    <x v="0"/>
    <n v="19900"/>
    <n v="7"/>
    <n v="139300"/>
  </r>
  <r>
    <s v="1532"/>
    <x v="493"/>
    <n v="11"/>
    <x v="0"/>
    <x v="6"/>
    <x v="0"/>
    <x v="1"/>
    <n v="28900"/>
    <n v="1"/>
    <n v="28900"/>
  </r>
  <r>
    <s v="1533"/>
    <x v="493"/>
    <n v="18"/>
    <x v="3"/>
    <x v="4"/>
    <x v="3"/>
    <x v="3"/>
    <n v="6900"/>
    <n v="4"/>
    <n v="27600"/>
  </r>
  <r>
    <s v="1534"/>
    <x v="493"/>
    <n v="1"/>
    <x v="1"/>
    <x v="1"/>
    <x v="1"/>
    <x v="3"/>
    <n v="6900"/>
    <n v="1"/>
    <n v="6900"/>
  </r>
  <r>
    <s v="1535"/>
    <x v="493"/>
    <n v="7"/>
    <x v="17"/>
    <x v="2"/>
    <x v="2"/>
    <x v="3"/>
    <n v="6900"/>
    <n v="5"/>
    <n v="34500"/>
  </r>
  <r>
    <s v="1536"/>
    <x v="494"/>
    <n v="19"/>
    <x v="13"/>
    <x v="3"/>
    <x v="3"/>
    <x v="2"/>
    <n v="15900"/>
    <n v="3"/>
    <n v="47700"/>
  </r>
  <r>
    <s v="1537"/>
    <x v="494"/>
    <n v="17"/>
    <x v="6"/>
    <x v="3"/>
    <x v="3"/>
    <x v="4"/>
    <n v="39900"/>
    <n v="1"/>
    <n v="39900"/>
  </r>
  <r>
    <s v="1538"/>
    <x v="494"/>
    <n v="3"/>
    <x v="9"/>
    <x v="7"/>
    <x v="1"/>
    <x v="3"/>
    <n v="6900"/>
    <n v="6"/>
    <n v="41400"/>
  </r>
  <r>
    <s v="1539"/>
    <x v="495"/>
    <n v="15"/>
    <x v="19"/>
    <x v="6"/>
    <x v="0"/>
    <x v="0"/>
    <n v="19900"/>
    <n v="7"/>
    <n v="139300"/>
  </r>
  <r>
    <s v="1540"/>
    <x v="496"/>
    <n v="9"/>
    <x v="2"/>
    <x v="5"/>
    <x v="2"/>
    <x v="2"/>
    <n v="15900"/>
    <n v="6"/>
    <n v="95400"/>
  </r>
  <r>
    <s v="1541"/>
    <x v="496"/>
    <n v="3"/>
    <x v="9"/>
    <x v="1"/>
    <x v="1"/>
    <x v="1"/>
    <n v="28900"/>
    <n v="9"/>
    <n v="260100"/>
  </r>
  <r>
    <s v="1542"/>
    <x v="497"/>
    <n v="5"/>
    <x v="15"/>
    <x v="7"/>
    <x v="1"/>
    <x v="0"/>
    <n v="19900"/>
    <n v="6"/>
    <n v="119400"/>
  </r>
  <r>
    <s v="1543"/>
    <x v="497"/>
    <n v="11"/>
    <x v="0"/>
    <x v="6"/>
    <x v="0"/>
    <x v="4"/>
    <n v="39900"/>
    <n v="2"/>
    <n v="79800"/>
  </r>
  <r>
    <s v="1544"/>
    <x v="497"/>
    <n v="19"/>
    <x v="13"/>
    <x v="4"/>
    <x v="3"/>
    <x v="0"/>
    <n v="19900"/>
    <n v="5"/>
    <n v="99500"/>
  </r>
  <r>
    <s v="1545"/>
    <x v="498"/>
    <n v="11"/>
    <x v="0"/>
    <x v="0"/>
    <x v="0"/>
    <x v="4"/>
    <n v="39900"/>
    <n v="6"/>
    <n v="239400"/>
  </r>
  <r>
    <s v="1546"/>
    <x v="499"/>
    <n v="15"/>
    <x v="19"/>
    <x v="6"/>
    <x v="0"/>
    <x v="0"/>
    <n v="19900"/>
    <n v="7"/>
    <n v="139300"/>
  </r>
  <r>
    <s v="1547"/>
    <x v="499"/>
    <n v="6"/>
    <x v="11"/>
    <x v="2"/>
    <x v="2"/>
    <x v="2"/>
    <n v="15900"/>
    <n v="5"/>
    <n v="79500"/>
  </r>
  <r>
    <s v="1548"/>
    <x v="499"/>
    <n v="14"/>
    <x v="7"/>
    <x v="0"/>
    <x v="0"/>
    <x v="2"/>
    <n v="15900"/>
    <n v="8"/>
    <n v="127200"/>
  </r>
  <r>
    <s v="1549"/>
    <x v="500"/>
    <n v="3"/>
    <x v="9"/>
    <x v="1"/>
    <x v="1"/>
    <x v="1"/>
    <n v="28900"/>
    <n v="4"/>
    <n v="115600"/>
  </r>
  <r>
    <s v="1550"/>
    <x v="501"/>
    <n v="15"/>
    <x v="19"/>
    <x v="0"/>
    <x v="0"/>
    <x v="0"/>
    <n v="19900"/>
    <n v="3"/>
    <n v="59700"/>
  </r>
  <r>
    <s v="1551"/>
    <x v="501"/>
    <n v="1"/>
    <x v="1"/>
    <x v="7"/>
    <x v="1"/>
    <x v="4"/>
    <n v="39900"/>
    <n v="7"/>
    <n v="279300"/>
  </r>
  <r>
    <s v="1552"/>
    <x v="501"/>
    <n v="1"/>
    <x v="1"/>
    <x v="1"/>
    <x v="1"/>
    <x v="1"/>
    <n v="28900"/>
    <n v="9"/>
    <n v="260100"/>
  </r>
  <r>
    <s v="1553"/>
    <x v="501"/>
    <n v="10"/>
    <x v="14"/>
    <x v="5"/>
    <x v="2"/>
    <x v="1"/>
    <n v="28900"/>
    <n v="2"/>
    <n v="57800"/>
  </r>
  <r>
    <s v="1554"/>
    <x v="501"/>
    <n v="13"/>
    <x v="5"/>
    <x v="6"/>
    <x v="0"/>
    <x v="3"/>
    <n v="6900"/>
    <n v="0"/>
    <n v="0"/>
  </r>
  <r>
    <s v="1555"/>
    <x v="501"/>
    <n v="14"/>
    <x v="7"/>
    <x v="0"/>
    <x v="0"/>
    <x v="1"/>
    <n v="28900"/>
    <n v="6"/>
    <n v="173400"/>
  </r>
  <r>
    <s v="1556"/>
    <x v="501"/>
    <n v="17"/>
    <x v="6"/>
    <x v="3"/>
    <x v="3"/>
    <x v="0"/>
    <n v="19900"/>
    <n v="2"/>
    <n v="39800"/>
  </r>
  <r>
    <s v="1557"/>
    <x v="501"/>
    <n v="1"/>
    <x v="1"/>
    <x v="7"/>
    <x v="1"/>
    <x v="3"/>
    <n v="6900"/>
    <n v="7"/>
    <n v="48300"/>
  </r>
  <r>
    <s v="1558"/>
    <x v="502"/>
    <n v="2"/>
    <x v="18"/>
    <x v="7"/>
    <x v="1"/>
    <x v="4"/>
    <n v="39900"/>
    <n v="4"/>
    <n v="159600"/>
  </r>
  <r>
    <s v="1559"/>
    <x v="503"/>
    <n v="10"/>
    <x v="14"/>
    <x v="2"/>
    <x v="2"/>
    <x v="4"/>
    <n v="39900"/>
    <n v="1"/>
    <n v="39900"/>
  </r>
  <r>
    <s v="1560"/>
    <x v="503"/>
    <n v="20"/>
    <x v="8"/>
    <x v="3"/>
    <x v="3"/>
    <x v="0"/>
    <n v="19900"/>
    <n v="2"/>
    <n v="39800"/>
  </r>
  <r>
    <s v="1561"/>
    <x v="503"/>
    <n v="1"/>
    <x v="1"/>
    <x v="1"/>
    <x v="1"/>
    <x v="1"/>
    <n v="28900"/>
    <n v="1"/>
    <n v="28900"/>
  </r>
  <r>
    <s v="1562"/>
    <x v="504"/>
    <n v="1"/>
    <x v="1"/>
    <x v="1"/>
    <x v="1"/>
    <x v="2"/>
    <n v="15900"/>
    <n v="4"/>
    <n v="63600"/>
  </r>
  <r>
    <s v="1563"/>
    <x v="504"/>
    <n v="19"/>
    <x v="13"/>
    <x v="4"/>
    <x v="3"/>
    <x v="4"/>
    <n v="39900"/>
    <n v="8"/>
    <n v="319200"/>
  </r>
  <r>
    <s v="1564"/>
    <x v="504"/>
    <n v="2"/>
    <x v="18"/>
    <x v="1"/>
    <x v="1"/>
    <x v="0"/>
    <n v="19900"/>
    <n v="9"/>
    <n v="179100"/>
  </r>
  <r>
    <s v="1565"/>
    <x v="504"/>
    <n v="7"/>
    <x v="17"/>
    <x v="2"/>
    <x v="2"/>
    <x v="1"/>
    <n v="28900"/>
    <n v="8"/>
    <n v="231200"/>
  </r>
  <r>
    <s v="1566"/>
    <x v="505"/>
    <n v="5"/>
    <x v="15"/>
    <x v="1"/>
    <x v="1"/>
    <x v="1"/>
    <n v="28900"/>
    <n v="2"/>
    <n v="57800"/>
  </r>
  <r>
    <s v="1567"/>
    <x v="505"/>
    <n v="17"/>
    <x v="6"/>
    <x v="4"/>
    <x v="3"/>
    <x v="3"/>
    <n v="6900"/>
    <n v="2"/>
    <n v="13800"/>
  </r>
  <r>
    <s v="1568"/>
    <x v="506"/>
    <n v="10"/>
    <x v="14"/>
    <x v="2"/>
    <x v="2"/>
    <x v="1"/>
    <n v="28900"/>
    <n v="7"/>
    <n v="202300"/>
  </r>
  <r>
    <s v="1569"/>
    <x v="506"/>
    <n v="8"/>
    <x v="10"/>
    <x v="5"/>
    <x v="2"/>
    <x v="3"/>
    <n v="6900"/>
    <n v="2"/>
    <n v="13800"/>
  </r>
  <r>
    <s v="1570"/>
    <x v="506"/>
    <n v="14"/>
    <x v="7"/>
    <x v="0"/>
    <x v="0"/>
    <x v="3"/>
    <n v="6900"/>
    <n v="9"/>
    <n v="62100"/>
  </r>
  <r>
    <s v="1571"/>
    <x v="507"/>
    <n v="15"/>
    <x v="19"/>
    <x v="6"/>
    <x v="0"/>
    <x v="2"/>
    <n v="15900"/>
    <n v="2"/>
    <n v="31800"/>
  </r>
  <r>
    <s v="1572"/>
    <x v="508"/>
    <n v="14"/>
    <x v="7"/>
    <x v="6"/>
    <x v="0"/>
    <x v="4"/>
    <n v="39900"/>
    <n v="4"/>
    <n v="159600"/>
  </r>
  <r>
    <s v="1573"/>
    <x v="509"/>
    <n v="5"/>
    <x v="15"/>
    <x v="1"/>
    <x v="1"/>
    <x v="2"/>
    <n v="15900"/>
    <n v="3"/>
    <n v="47700"/>
  </r>
  <r>
    <s v="1574"/>
    <x v="509"/>
    <n v="17"/>
    <x v="6"/>
    <x v="3"/>
    <x v="3"/>
    <x v="1"/>
    <n v="28900"/>
    <n v="3"/>
    <n v="86700"/>
  </r>
  <r>
    <s v="1575"/>
    <x v="509"/>
    <n v="5"/>
    <x v="15"/>
    <x v="7"/>
    <x v="1"/>
    <x v="2"/>
    <n v="15900"/>
    <n v="2"/>
    <n v="31800"/>
  </r>
  <r>
    <s v="1576"/>
    <x v="509"/>
    <n v="12"/>
    <x v="16"/>
    <x v="6"/>
    <x v="0"/>
    <x v="4"/>
    <n v="39900"/>
    <n v="2"/>
    <n v="79800"/>
  </r>
  <r>
    <s v="1577"/>
    <x v="509"/>
    <n v="13"/>
    <x v="5"/>
    <x v="6"/>
    <x v="0"/>
    <x v="0"/>
    <n v="19900"/>
    <n v="0"/>
    <n v="0"/>
  </r>
  <r>
    <s v="1578"/>
    <x v="509"/>
    <n v="7"/>
    <x v="17"/>
    <x v="5"/>
    <x v="2"/>
    <x v="3"/>
    <n v="6900"/>
    <n v="3"/>
    <n v="20700"/>
  </r>
  <r>
    <s v="1579"/>
    <x v="509"/>
    <n v="1"/>
    <x v="1"/>
    <x v="7"/>
    <x v="1"/>
    <x v="0"/>
    <n v="19900"/>
    <n v="1"/>
    <n v="19900"/>
  </r>
  <r>
    <s v="1580"/>
    <x v="509"/>
    <n v="11"/>
    <x v="0"/>
    <x v="6"/>
    <x v="0"/>
    <x v="0"/>
    <n v="19900"/>
    <n v="6"/>
    <n v="119400"/>
  </r>
  <r>
    <s v="1581"/>
    <x v="509"/>
    <n v="9"/>
    <x v="2"/>
    <x v="2"/>
    <x v="2"/>
    <x v="3"/>
    <n v="6900"/>
    <n v="0"/>
    <n v="0"/>
  </r>
  <r>
    <s v="1582"/>
    <x v="509"/>
    <n v="16"/>
    <x v="4"/>
    <x v="3"/>
    <x v="3"/>
    <x v="1"/>
    <n v="28900"/>
    <n v="1"/>
    <n v="28900"/>
  </r>
  <r>
    <s v="1583"/>
    <x v="509"/>
    <n v="1"/>
    <x v="1"/>
    <x v="7"/>
    <x v="1"/>
    <x v="1"/>
    <n v="28900"/>
    <n v="9"/>
    <n v="260100"/>
  </r>
  <r>
    <s v="1584"/>
    <x v="509"/>
    <n v="5"/>
    <x v="15"/>
    <x v="7"/>
    <x v="1"/>
    <x v="0"/>
    <n v="19900"/>
    <n v="8"/>
    <n v="159200"/>
  </r>
  <r>
    <s v="1585"/>
    <x v="510"/>
    <n v="10"/>
    <x v="14"/>
    <x v="2"/>
    <x v="2"/>
    <x v="2"/>
    <n v="15900"/>
    <n v="6"/>
    <n v="95400"/>
  </r>
  <r>
    <s v="1586"/>
    <x v="510"/>
    <n v="4"/>
    <x v="12"/>
    <x v="1"/>
    <x v="1"/>
    <x v="1"/>
    <n v="28900"/>
    <n v="2"/>
    <n v="57800"/>
  </r>
  <r>
    <s v="1587"/>
    <x v="510"/>
    <n v="11"/>
    <x v="0"/>
    <x v="6"/>
    <x v="0"/>
    <x v="0"/>
    <n v="19900"/>
    <n v="1"/>
    <n v="19900"/>
  </r>
  <r>
    <s v="1588"/>
    <x v="510"/>
    <n v="17"/>
    <x v="6"/>
    <x v="4"/>
    <x v="3"/>
    <x v="2"/>
    <n v="15900"/>
    <n v="9"/>
    <n v="143100"/>
  </r>
  <r>
    <s v="1589"/>
    <x v="510"/>
    <n v="7"/>
    <x v="17"/>
    <x v="5"/>
    <x v="2"/>
    <x v="3"/>
    <n v="6900"/>
    <n v="3"/>
    <n v="20700"/>
  </r>
  <r>
    <s v="1590"/>
    <x v="510"/>
    <n v="17"/>
    <x v="6"/>
    <x v="4"/>
    <x v="3"/>
    <x v="2"/>
    <n v="15900"/>
    <n v="2"/>
    <n v="31800"/>
  </r>
  <r>
    <s v="1591"/>
    <x v="510"/>
    <n v="16"/>
    <x v="4"/>
    <x v="4"/>
    <x v="3"/>
    <x v="3"/>
    <n v="6900"/>
    <n v="5"/>
    <n v="34500"/>
  </r>
  <r>
    <s v="1592"/>
    <x v="510"/>
    <n v="16"/>
    <x v="4"/>
    <x v="3"/>
    <x v="3"/>
    <x v="2"/>
    <n v="15900"/>
    <n v="7"/>
    <n v="111300"/>
  </r>
  <r>
    <s v="1593"/>
    <x v="510"/>
    <n v="16"/>
    <x v="4"/>
    <x v="4"/>
    <x v="3"/>
    <x v="1"/>
    <n v="28900"/>
    <n v="9"/>
    <n v="260100"/>
  </r>
  <r>
    <s v="1594"/>
    <x v="511"/>
    <n v="11"/>
    <x v="0"/>
    <x v="6"/>
    <x v="0"/>
    <x v="4"/>
    <n v="39900"/>
    <n v="0"/>
    <n v="0"/>
  </r>
  <r>
    <s v="1595"/>
    <x v="511"/>
    <n v="19"/>
    <x v="13"/>
    <x v="3"/>
    <x v="3"/>
    <x v="0"/>
    <n v="19900"/>
    <n v="0"/>
    <n v="0"/>
  </r>
  <r>
    <s v="1596"/>
    <x v="512"/>
    <n v="5"/>
    <x v="15"/>
    <x v="1"/>
    <x v="1"/>
    <x v="2"/>
    <n v="15900"/>
    <n v="2"/>
    <n v="31800"/>
  </r>
  <r>
    <s v="1597"/>
    <x v="512"/>
    <n v="16"/>
    <x v="4"/>
    <x v="3"/>
    <x v="3"/>
    <x v="0"/>
    <n v="19900"/>
    <n v="8"/>
    <n v="159200"/>
  </r>
  <r>
    <s v="1598"/>
    <x v="512"/>
    <n v="19"/>
    <x v="13"/>
    <x v="4"/>
    <x v="3"/>
    <x v="2"/>
    <n v="15900"/>
    <n v="3"/>
    <n v="47700"/>
  </r>
  <r>
    <s v="1599"/>
    <x v="512"/>
    <n v="5"/>
    <x v="15"/>
    <x v="7"/>
    <x v="1"/>
    <x v="2"/>
    <n v="15900"/>
    <n v="9"/>
    <n v="143100"/>
  </r>
  <r>
    <s v="1600"/>
    <x v="512"/>
    <n v="9"/>
    <x v="2"/>
    <x v="5"/>
    <x v="2"/>
    <x v="0"/>
    <n v="19900"/>
    <n v="1"/>
    <n v="19900"/>
  </r>
  <r>
    <s v="1601"/>
    <x v="513"/>
    <n v="17"/>
    <x v="6"/>
    <x v="3"/>
    <x v="3"/>
    <x v="4"/>
    <n v="39900"/>
    <n v="2"/>
    <n v="79800"/>
  </r>
  <r>
    <s v="1602"/>
    <x v="513"/>
    <n v="4"/>
    <x v="12"/>
    <x v="7"/>
    <x v="1"/>
    <x v="0"/>
    <n v="19900"/>
    <n v="1"/>
    <n v="19900"/>
  </r>
  <r>
    <s v="1603"/>
    <x v="513"/>
    <n v="18"/>
    <x v="3"/>
    <x v="3"/>
    <x v="3"/>
    <x v="0"/>
    <n v="19900"/>
    <n v="8"/>
    <n v="159200"/>
  </r>
  <r>
    <s v="1604"/>
    <x v="513"/>
    <n v="13"/>
    <x v="5"/>
    <x v="6"/>
    <x v="0"/>
    <x v="0"/>
    <n v="19900"/>
    <n v="7"/>
    <n v="139300"/>
  </r>
  <r>
    <s v="1605"/>
    <x v="513"/>
    <n v="6"/>
    <x v="11"/>
    <x v="5"/>
    <x v="2"/>
    <x v="2"/>
    <n v="15900"/>
    <n v="5"/>
    <n v="79500"/>
  </r>
  <r>
    <s v="1606"/>
    <x v="513"/>
    <n v="16"/>
    <x v="4"/>
    <x v="3"/>
    <x v="3"/>
    <x v="3"/>
    <n v="6900"/>
    <n v="1"/>
    <n v="6900"/>
  </r>
  <r>
    <s v="1607"/>
    <x v="514"/>
    <n v="5"/>
    <x v="15"/>
    <x v="1"/>
    <x v="1"/>
    <x v="1"/>
    <n v="28900"/>
    <n v="3"/>
    <n v="86700"/>
  </r>
  <r>
    <s v="1608"/>
    <x v="514"/>
    <n v="17"/>
    <x v="6"/>
    <x v="4"/>
    <x v="3"/>
    <x v="2"/>
    <n v="15900"/>
    <n v="8"/>
    <n v="127200"/>
  </r>
  <r>
    <s v="1609"/>
    <x v="514"/>
    <n v="3"/>
    <x v="9"/>
    <x v="1"/>
    <x v="1"/>
    <x v="2"/>
    <n v="15900"/>
    <n v="8"/>
    <n v="127200"/>
  </r>
  <r>
    <s v="1610"/>
    <x v="515"/>
    <n v="18"/>
    <x v="3"/>
    <x v="4"/>
    <x v="3"/>
    <x v="3"/>
    <n v="6900"/>
    <n v="4"/>
    <n v="27600"/>
  </r>
  <r>
    <s v="1611"/>
    <x v="516"/>
    <n v="2"/>
    <x v="18"/>
    <x v="7"/>
    <x v="1"/>
    <x v="2"/>
    <n v="15900"/>
    <n v="1"/>
    <n v="15900"/>
  </r>
  <r>
    <s v="1612"/>
    <x v="516"/>
    <n v="10"/>
    <x v="14"/>
    <x v="5"/>
    <x v="2"/>
    <x v="2"/>
    <n v="15900"/>
    <n v="2"/>
    <n v="31800"/>
  </r>
  <r>
    <s v="1613"/>
    <x v="516"/>
    <n v="17"/>
    <x v="6"/>
    <x v="4"/>
    <x v="3"/>
    <x v="1"/>
    <n v="28900"/>
    <n v="0"/>
    <n v="0"/>
  </r>
  <r>
    <s v="1614"/>
    <x v="517"/>
    <n v="8"/>
    <x v="10"/>
    <x v="5"/>
    <x v="2"/>
    <x v="1"/>
    <n v="28900"/>
    <n v="4"/>
    <n v="115600"/>
  </r>
  <r>
    <s v="1615"/>
    <x v="517"/>
    <n v="3"/>
    <x v="9"/>
    <x v="7"/>
    <x v="1"/>
    <x v="3"/>
    <n v="6900"/>
    <n v="6"/>
    <n v="41400"/>
  </r>
  <r>
    <s v="1616"/>
    <x v="517"/>
    <n v="10"/>
    <x v="14"/>
    <x v="5"/>
    <x v="2"/>
    <x v="3"/>
    <n v="6900"/>
    <n v="4"/>
    <n v="27600"/>
  </r>
  <r>
    <s v="1617"/>
    <x v="517"/>
    <n v="15"/>
    <x v="19"/>
    <x v="0"/>
    <x v="0"/>
    <x v="2"/>
    <n v="15900"/>
    <n v="1"/>
    <n v="15900"/>
  </r>
  <r>
    <s v="1618"/>
    <x v="518"/>
    <n v="19"/>
    <x v="13"/>
    <x v="4"/>
    <x v="3"/>
    <x v="3"/>
    <n v="6900"/>
    <n v="1"/>
    <n v="6900"/>
  </r>
  <r>
    <s v="1619"/>
    <x v="519"/>
    <n v="20"/>
    <x v="8"/>
    <x v="4"/>
    <x v="3"/>
    <x v="2"/>
    <n v="15900"/>
    <n v="4"/>
    <n v="63600"/>
  </r>
  <r>
    <s v="1620"/>
    <x v="520"/>
    <n v="9"/>
    <x v="2"/>
    <x v="5"/>
    <x v="2"/>
    <x v="4"/>
    <n v="39900"/>
    <n v="0"/>
    <n v="0"/>
  </r>
  <r>
    <s v="1621"/>
    <x v="520"/>
    <n v="4"/>
    <x v="12"/>
    <x v="7"/>
    <x v="1"/>
    <x v="2"/>
    <n v="15900"/>
    <n v="2"/>
    <n v="31800"/>
  </r>
  <r>
    <s v="1622"/>
    <x v="520"/>
    <n v="11"/>
    <x v="0"/>
    <x v="0"/>
    <x v="0"/>
    <x v="1"/>
    <n v="28900"/>
    <n v="2"/>
    <n v="57800"/>
  </r>
  <r>
    <s v="1623"/>
    <x v="520"/>
    <n v="2"/>
    <x v="18"/>
    <x v="1"/>
    <x v="1"/>
    <x v="2"/>
    <n v="15900"/>
    <n v="1"/>
    <n v="15900"/>
  </r>
  <r>
    <s v="1624"/>
    <x v="521"/>
    <n v="6"/>
    <x v="11"/>
    <x v="5"/>
    <x v="2"/>
    <x v="1"/>
    <n v="28900"/>
    <n v="1"/>
    <n v="28900"/>
  </r>
  <r>
    <s v="1625"/>
    <x v="521"/>
    <n v="14"/>
    <x v="7"/>
    <x v="6"/>
    <x v="0"/>
    <x v="0"/>
    <n v="19900"/>
    <n v="7"/>
    <n v="139300"/>
  </r>
  <r>
    <s v="1626"/>
    <x v="521"/>
    <n v="15"/>
    <x v="19"/>
    <x v="0"/>
    <x v="0"/>
    <x v="0"/>
    <n v="19900"/>
    <n v="6"/>
    <n v="119400"/>
  </r>
  <r>
    <s v="1627"/>
    <x v="521"/>
    <n v="5"/>
    <x v="15"/>
    <x v="7"/>
    <x v="1"/>
    <x v="4"/>
    <n v="39900"/>
    <n v="6"/>
    <n v="239400"/>
  </r>
  <r>
    <s v="1628"/>
    <x v="521"/>
    <n v="17"/>
    <x v="6"/>
    <x v="4"/>
    <x v="3"/>
    <x v="2"/>
    <n v="15900"/>
    <n v="7"/>
    <n v="111300"/>
  </r>
  <r>
    <s v="1629"/>
    <x v="521"/>
    <n v="9"/>
    <x v="2"/>
    <x v="5"/>
    <x v="2"/>
    <x v="4"/>
    <n v="39900"/>
    <n v="0"/>
    <n v="0"/>
  </r>
  <r>
    <s v="1630"/>
    <x v="521"/>
    <n v="4"/>
    <x v="12"/>
    <x v="1"/>
    <x v="1"/>
    <x v="2"/>
    <n v="15900"/>
    <n v="4"/>
    <n v="63600"/>
  </r>
  <r>
    <s v="1631"/>
    <x v="521"/>
    <n v="17"/>
    <x v="6"/>
    <x v="4"/>
    <x v="3"/>
    <x v="3"/>
    <n v="6900"/>
    <n v="7"/>
    <n v="48300"/>
  </r>
  <r>
    <s v="1632"/>
    <x v="521"/>
    <n v="1"/>
    <x v="1"/>
    <x v="7"/>
    <x v="1"/>
    <x v="4"/>
    <n v="39900"/>
    <n v="0"/>
    <n v="0"/>
  </r>
  <r>
    <s v="1633"/>
    <x v="521"/>
    <n v="15"/>
    <x v="19"/>
    <x v="6"/>
    <x v="0"/>
    <x v="2"/>
    <n v="15900"/>
    <n v="5"/>
    <n v="79500"/>
  </r>
  <r>
    <s v="1634"/>
    <x v="521"/>
    <n v="2"/>
    <x v="18"/>
    <x v="1"/>
    <x v="1"/>
    <x v="2"/>
    <n v="15900"/>
    <n v="8"/>
    <n v="127200"/>
  </r>
  <r>
    <s v="1635"/>
    <x v="521"/>
    <n v="3"/>
    <x v="9"/>
    <x v="1"/>
    <x v="1"/>
    <x v="1"/>
    <n v="28900"/>
    <n v="9"/>
    <n v="260100"/>
  </r>
  <r>
    <s v="1636"/>
    <x v="522"/>
    <n v="2"/>
    <x v="18"/>
    <x v="7"/>
    <x v="1"/>
    <x v="3"/>
    <n v="6900"/>
    <n v="3"/>
    <n v="20700"/>
  </r>
  <r>
    <s v="1637"/>
    <x v="523"/>
    <n v="10"/>
    <x v="14"/>
    <x v="5"/>
    <x v="2"/>
    <x v="4"/>
    <n v="39900"/>
    <n v="5"/>
    <n v="199500"/>
  </r>
  <r>
    <s v="1638"/>
    <x v="523"/>
    <n v="4"/>
    <x v="12"/>
    <x v="7"/>
    <x v="1"/>
    <x v="0"/>
    <n v="19900"/>
    <n v="1"/>
    <n v="19900"/>
  </r>
  <r>
    <s v="1639"/>
    <x v="523"/>
    <n v="20"/>
    <x v="8"/>
    <x v="3"/>
    <x v="3"/>
    <x v="4"/>
    <n v="39900"/>
    <n v="6"/>
    <n v="239400"/>
  </r>
  <r>
    <s v="1640"/>
    <x v="523"/>
    <n v="19"/>
    <x v="13"/>
    <x v="3"/>
    <x v="3"/>
    <x v="3"/>
    <n v="6900"/>
    <n v="5"/>
    <n v="34500"/>
  </r>
  <r>
    <s v="1641"/>
    <x v="523"/>
    <n v="13"/>
    <x v="5"/>
    <x v="0"/>
    <x v="0"/>
    <x v="2"/>
    <n v="15900"/>
    <n v="2"/>
    <n v="31800"/>
  </r>
  <r>
    <s v="1642"/>
    <x v="523"/>
    <n v="17"/>
    <x v="6"/>
    <x v="3"/>
    <x v="3"/>
    <x v="4"/>
    <n v="39900"/>
    <n v="9"/>
    <n v="359100"/>
  </r>
  <r>
    <s v="1643"/>
    <x v="523"/>
    <n v="7"/>
    <x v="17"/>
    <x v="5"/>
    <x v="2"/>
    <x v="0"/>
    <n v="19900"/>
    <n v="9"/>
    <n v="179100"/>
  </r>
  <r>
    <s v="1644"/>
    <x v="524"/>
    <n v="4"/>
    <x v="12"/>
    <x v="1"/>
    <x v="1"/>
    <x v="4"/>
    <n v="39900"/>
    <n v="6"/>
    <n v="239400"/>
  </r>
  <r>
    <s v="1645"/>
    <x v="524"/>
    <n v="11"/>
    <x v="0"/>
    <x v="0"/>
    <x v="0"/>
    <x v="4"/>
    <n v="39900"/>
    <n v="3"/>
    <n v="119700"/>
  </r>
  <r>
    <s v="1646"/>
    <x v="525"/>
    <n v="11"/>
    <x v="0"/>
    <x v="0"/>
    <x v="0"/>
    <x v="0"/>
    <n v="19900"/>
    <n v="4"/>
    <n v="79600"/>
  </r>
  <r>
    <s v="1647"/>
    <x v="525"/>
    <n v="13"/>
    <x v="5"/>
    <x v="6"/>
    <x v="0"/>
    <x v="2"/>
    <n v="15900"/>
    <n v="9"/>
    <n v="143100"/>
  </r>
  <r>
    <s v="1648"/>
    <x v="525"/>
    <n v="1"/>
    <x v="1"/>
    <x v="7"/>
    <x v="1"/>
    <x v="4"/>
    <n v="39900"/>
    <n v="2"/>
    <n v="79800"/>
  </r>
  <r>
    <s v="1649"/>
    <x v="526"/>
    <n v="15"/>
    <x v="19"/>
    <x v="0"/>
    <x v="0"/>
    <x v="2"/>
    <n v="15900"/>
    <n v="0"/>
    <n v="0"/>
  </r>
  <r>
    <s v="1650"/>
    <x v="526"/>
    <n v="9"/>
    <x v="2"/>
    <x v="2"/>
    <x v="2"/>
    <x v="4"/>
    <n v="39900"/>
    <n v="3"/>
    <n v="119700"/>
  </r>
  <r>
    <s v="1651"/>
    <x v="526"/>
    <n v="20"/>
    <x v="8"/>
    <x v="4"/>
    <x v="3"/>
    <x v="3"/>
    <n v="6900"/>
    <n v="0"/>
    <n v="0"/>
  </r>
  <r>
    <s v="1652"/>
    <x v="526"/>
    <n v="9"/>
    <x v="2"/>
    <x v="5"/>
    <x v="2"/>
    <x v="0"/>
    <n v="19900"/>
    <n v="5"/>
    <n v="99500"/>
  </r>
  <r>
    <s v="1653"/>
    <x v="527"/>
    <n v="15"/>
    <x v="19"/>
    <x v="0"/>
    <x v="0"/>
    <x v="2"/>
    <n v="15900"/>
    <n v="1"/>
    <n v="15900"/>
  </r>
  <r>
    <s v="1654"/>
    <x v="528"/>
    <n v="3"/>
    <x v="9"/>
    <x v="1"/>
    <x v="1"/>
    <x v="4"/>
    <n v="39900"/>
    <n v="5"/>
    <n v="199500"/>
  </r>
  <r>
    <s v="1655"/>
    <x v="529"/>
    <n v="17"/>
    <x v="6"/>
    <x v="4"/>
    <x v="3"/>
    <x v="0"/>
    <n v="19900"/>
    <n v="8"/>
    <n v="159200"/>
  </r>
  <r>
    <s v="1656"/>
    <x v="529"/>
    <n v="16"/>
    <x v="4"/>
    <x v="4"/>
    <x v="3"/>
    <x v="1"/>
    <n v="28900"/>
    <n v="9"/>
    <n v="260100"/>
  </r>
  <r>
    <s v="1657"/>
    <x v="529"/>
    <n v="10"/>
    <x v="14"/>
    <x v="5"/>
    <x v="2"/>
    <x v="4"/>
    <n v="39900"/>
    <n v="8"/>
    <n v="319200"/>
  </r>
  <r>
    <s v="1658"/>
    <x v="529"/>
    <n v="3"/>
    <x v="9"/>
    <x v="1"/>
    <x v="1"/>
    <x v="4"/>
    <n v="39900"/>
    <n v="8"/>
    <n v="319200"/>
  </r>
  <r>
    <s v="1659"/>
    <x v="529"/>
    <n v="13"/>
    <x v="5"/>
    <x v="6"/>
    <x v="0"/>
    <x v="3"/>
    <n v="6900"/>
    <n v="4"/>
    <n v="27600"/>
  </r>
  <r>
    <s v="1660"/>
    <x v="530"/>
    <n v="13"/>
    <x v="5"/>
    <x v="0"/>
    <x v="0"/>
    <x v="1"/>
    <n v="28900"/>
    <n v="4"/>
    <n v="115600"/>
  </r>
  <r>
    <s v="1661"/>
    <x v="530"/>
    <n v="9"/>
    <x v="2"/>
    <x v="2"/>
    <x v="2"/>
    <x v="3"/>
    <n v="6900"/>
    <n v="5"/>
    <n v="34500"/>
  </r>
  <r>
    <s v="1662"/>
    <x v="530"/>
    <n v="20"/>
    <x v="8"/>
    <x v="4"/>
    <x v="3"/>
    <x v="3"/>
    <n v="6900"/>
    <n v="8"/>
    <n v="55200"/>
  </r>
  <r>
    <s v="1663"/>
    <x v="530"/>
    <n v="2"/>
    <x v="18"/>
    <x v="1"/>
    <x v="1"/>
    <x v="1"/>
    <n v="28900"/>
    <n v="5"/>
    <n v="144500"/>
  </r>
  <r>
    <s v="1664"/>
    <x v="530"/>
    <n v="13"/>
    <x v="5"/>
    <x v="6"/>
    <x v="0"/>
    <x v="4"/>
    <n v="39900"/>
    <n v="7"/>
    <n v="279300"/>
  </r>
  <r>
    <s v="1665"/>
    <x v="530"/>
    <n v="17"/>
    <x v="6"/>
    <x v="4"/>
    <x v="3"/>
    <x v="0"/>
    <n v="19900"/>
    <n v="3"/>
    <n v="59700"/>
  </r>
  <r>
    <s v="1666"/>
    <x v="531"/>
    <n v="20"/>
    <x v="8"/>
    <x v="4"/>
    <x v="3"/>
    <x v="0"/>
    <n v="19900"/>
    <n v="7"/>
    <n v="139300"/>
  </r>
  <r>
    <s v="1667"/>
    <x v="531"/>
    <n v="8"/>
    <x v="10"/>
    <x v="5"/>
    <x v="2"/>
    <x v="4"/>
    <n v="39900"/>
    <n v="2"/>
    <n v="79800"/>
  </r>
  <r>
    <s v="1668"/>
    <x v="531"/>
    <n v="16"/>
    <x v="4"/>
    <x v="3"/>
    <x v="3"/>
    <x v="2"/>
    <n v="15900"/>
    <n v="3"/>
    <n v="47700"/>
  </r>
  <r>
    <s v="1669"/>
    <x v="531"/>
    <n v="18"/>
    <x v="3"/>
    <x v="4"/>
    <x v="3"/>
    <x v="3"/>
    <n v="6900"/>
    <n v="8"/>
    <n v="55200"/>
  </r>
  <r>
    <s v="1670"/>
    <x v="532"/>
    <n v="1"/>
    <x v="1"/>
    <x v="1"/>
    <x v="1"/>
    <x v="1"/>
    <n v="28900"/>
    <n v="5"/>
    <n v="144500"/>
  </r>
  <r>
    <s v="1671"/>
    <x v="532"/>
    <n v="17"/>
    <x v="6"/>
    <x v="4"/>
    <x v="3"/>
    <x v="1"/>
    <n v="28900"/>
    <n v="1"/>
    <n v="28900"/>
  </r>
  <r>
    <s v="1672"/>
    <x v="532"/>
    <n v="4"/>
    <x v="12"/>
    <x v="7"/>
    <x v="1"/>
    <x v="3"/>
    <n v="6900"/>
    <n v="8"/>
    <n v="55200"/>
  </r>
  <r>
    <s v="1673"/>
    <x v="532"/>
    <n v="18"/>
    <x v="3"/>
    <x v="3"/>
    <x v="3"/>
    <x v="2"/>
    <n v="15900"/>
    <n v="6"/>
    <n v="95400"/>
  </r>
  <r>
    <s v="1674"/>
    <x v="533"/>
    <n v="17"/>
    <x v="6"/>
    <x v="4"/>
    <x v="3"/>
    <x v="4"/>
    <n v="39900"/>
    <n v="3"/>
    <n v="119700"/>
  </r>
  <r>
    <s v="1675"/>
    <x v="534"/>
    <n v="13"/>
    <x v="5"/>
    <x v="0"/>
    <x v="0"/>
    <x v="0"/>
    <n v="19900"/>
    <n v="0"/>
    <n v="0"/>
  </r>
  <r>
    <s v="1676"/>
    <x v="534"/>
    <n v="11"/>
    <x v="0"/>
    <x v="0"/>
    <x v="0"/>
    <x v="0"/>
    <n v="19900"/>
    <n v="7"/>
    <n v="139300"/>
  </r>
  <r>
    <s v="1677"/>
    <x v="534"/>
    <n v="14"/>
    <x v="7"/>
    <x v="6"/>
    <x v="0"/>
    <x v="2"/>
    <n v="15900"/>
    <n v="5"/>
    <n v="79500"/>
  </r>
  <r>
    <s v="1678"/>
    <x v="535"/>
    <n v="6"/>
    <x v="11"/>
    <x v="2"/>
    <x v="2"/>
    <x v="2"/>
    <n v="15900"/>
    <n v="2"/>
    <n v="31800"/>
  </r>
  <r>
    <s v="1679"/>
    <x v="536"/>
    <n v="20"/>
    <x v="8"/>
    <x v="3"/>
    <x v="3"/>
    <x v="0"/>
    <n v="19900"/>
    <n v="7"/>
    <n v="139300"/>
  </r>
  <r>
    <s v="1680"/>
    <x v="537"/>
    <n v="4"/>
    <x v="12"/>
    <x v="1"/>
    <x v="1"/>
    <x v="2"/>
    <n v="15900"/>
    <n v="5"/>
    <n v="79500"/>
  </r>
  <r>
    <s v="1681"/>
    <x v="537"/>
    <n v="6"/>
    <x v="11"/>
    <x v="5"/>
    <x v="2"/>
    <x v="3"/>
    <n v="6900"/>
    <n v="5"/>
    <n v="34500"/>
  </r>
  <r>
    <s v="1682"/>
    <x v="537"/>
    <n v="3"/>
    <x v="9"/>
    <x v="7"/>
    <x v="1"/>
    <x v="0"/>
    <n v="19900"/>
    <n v="5"/>
    <n v="99500"/>
  </r>
  <r>
    <s v="1683"/>
    <x v="537"/>
    <n v="9"/>
    <x v="2"/>
    <x v="5"/>
    <x v="2"/>
    <x v="2"/>
    <n v="15900"/>
    <n v="4"/>
    <n v="63600"/>
  </r>
  <r>
    <s v="1684"/>
    <x v="537"/>
    <n v="12"/>
    <x v="16"/>
    <x v="6"/>
    <x v="0"/>
    <x v="2"/>
    <n v="15900"/>
    <n v="2"/>
    <n v="31800"/>
  </r>
  <r>
    <s v="1685"/>
    <x v="537"/>
    <n v="3"/>
    <x v="9"/>
    <x v="1"/>
    <x v="1"/>
    <x v="2"/>
    <n v="15900"/>
    <n v="8"/>
    <n v="127200"/>
  </r>
  <r>
    <s v="1686"/>
    <x v="538"/>
    <n v="15"/>
    <x v="19"/>
    <x v="0"/>
    <x v="0"/>
    <x v="2"/>
    <n v="15900"/>
    <n v="4"/>
    <n v="63600"/>
  </r>
  <r>
    <s v="1687"/>
    <x v="538"/>
    <n v="9"/>
    <x v="2"/>
    <x v="2"/>
    <x v="2"/>
    <x v="2"/>
    <n v="15900"/>
    <n v="8"/>
    <n v="127200"/>
  </r>
  <r>
    <s v="1688"/>
    <x v="539"/>
    <n v="13"/>
    <x v="5"/>
    <x v="0"/>
    <x v="0"/>
    <x v="4"/>
    <n v="39900"/>
    <n v="5"/>
    <n v="199500"/>
  </r>
  <r>
    <s v="1689"/>
    <x v="540"/>
    <n v="16"/>
    <x v="4"/>
    <x v="4"/>
    <x v="3"/>
    <x v="4"/>
    <n v="39900"/>
    <n v="6"/>
    <n v="239400"/>
  </r>
  <r>
    <s v="1690"/>
    <x v="541"/>
    <n v="7"/>
    <x v="17"/>
    <x v="5"/>
    <x v="2"/>
    <x v="4"/>
    <n v="39900"/>
    <n v="4"/>
    <n v="159600"/>
  </r>
  <r>
    <s v="1691"/>
    <x v="541"/>
    <n v="2"/>
    <x v="18"/>
    <x v="7"/>
    <x v="1"/>
    <x v="1"/>
    <n v="28900"/>
    <n v="7"/>
    <n v="202300"/>
  </r>
  <r>
    <s v="1692"/>
    <x v="542"/>
    <n v="9"/>
    <x v="2"/>
    <x v="2"/>
    <x v="2"/>
    <x v="3"/>
    <n v="6900"/>
    <n v="3"/>
    <n v="20700"/>
  </r>
  <r>
    <s v="1693"/>
    <x v="543"/>
    <n v="20"/>
    <x v="8"/>
    <x v="4"/>
    <x v="3"/>
    <x v="1"/>
    <n v="28900"/>
    <n v="8"/>
    <n v="231200"/>
  </r>
  <r>
    <s v="1694"/>
    <x v="544"/>
    <n v="9"/>
    <x v="2"/>
    <x v="2"/>
    <x v="2"/>
    <x v="4"/>
    <n v="39900"/>
    <n v="5"/>
    <n v="199500"/>
  </r>
  <r>
    <s v="1695"/>
    <x v="544"/>
    <n v="8"/>
    <x v="10"/>
    <x v="5"/>
    <x v="2"/>
    <x v="0"/>
    <n v="19900"/>
    <n v="3"/>
    <n v="59700"/>
  </r>
  <r>
    <s v="1696"/>
    <x v="545"/>
    <n v="9"/>
    <x v="2"/>
    <x v="2"/>
    <x v="2"/>
    <x v="2"/>
    <n v="15900"/>
    <n v="7"/>
    <n v="111300"/>
  </r>
  <r>
    <s v="1697"/>
    <x v="546"/>
    <n v="14"/>
    <x v="7"/>
    <x v="0"/>
    <x v="0"/>
    <x v="3"/>
    <n v="6900"/>
    <n v="8"/>
    <n v="55200"/>
  </r>
  <r>
    <s v="1698"/>
    <x v="547"/>
    <n v="8"/>
    <x v="10"/>
    <x v="5"/>
    <x v="2"/>
    <x v="0"/>
    <n v="19900"/>
    <n v="3"/>
    <n v="59700"/>
  </r>
  <r>
    <s v="1699"/>
    <x v="547"/>
    <n v="11"/>
    <x v="0"/>
    <x v="0"/>
    <x v="0"/>
    <x v="2"/>
    <n v="15900"/>
    <n v="0"/>
    <n v="0"/>
  </r>
  <r>
    <s v="1700"/>
    <x v="548"/>
    <n v="12"/>
    <x v="16"/>
    <x v="0"/>
    <x v="0"/>
    <x v="1"/>
    <n v="28900"/>
    <n v="5"/>
    <n v="144500"/>
  </r>
  <r>
    <s v="1701"/>
    <x v="549"/>
    <n v="16"/>
    <x v="4"/>
    <x v="4"/>
    <x v="3"/>
    <x v="4"/>
    <n v="39900"/>
    <n v="4"/>
    <n v="159600"/>
  </r>
  <r>
    <s v="1702"/>
    <x v="550"/>
    <n v="8"/>
    <x v="10"/>
    <x v="2"/>
    <x v="2"/>
    <x v="0"/>
    <n v="19900"/>
    <n v="5"/>
    <n v="99500"/>
  </r>
  <r>
    <s v="1703"/>
    <x v="550"/>
    <n v="5"/>
    <x v="15"/>
    <x v="1"/>
    <x v="1"/>
    <x v="4"/>
    <n v="39900"/>
    <n v="7"/>
    <n v="279300"/>
  </r>
  <r>
    <s v="1704"/>
    <x v="551"/>
    <n v="18"/>
    <x v="3"/>
    <x v="4"/>
    <x v="3"/>
    <x v="2"/>
    <n v="15900"/>
    <n v="0"/>
    <n v="0"/>
  </r>
  <r>
    <s v="1705"/>
    <x v="552"/>
    <n v="9"/>
    <x v="2"/>
    <x v="2"/>
    <x v="2"/>
    <x v="0"/>
    <n v="19900"/>
    <n v="2"/>
    <n v="39800"/>
  </r>
  <r>
    <s v="1706"/>
    <x v="553"/>
    <n v="7"/>
    <x v="17"/>
    <x v="5"/>
    <x v="2"/>
    <x v="3"/>
    <n v="6900"/>
    <n v="3"/>
    <n v="20700"/>
  </r>
  <r>
    <s v="1707"/>
    <x v="554"/>
    <n v="19"/>
    <x v="13"/>
    <x v="4"/>
    <x v="3"/>
    <x v="2"/>
    <n v="15900"/>
    <n v="0"/>
    <n v="0"/>
  </r>
  <r>
    <s v="1708"/>
    <x v="555"/>
    <n v="5"/>
    <x v="15"/>
    <x v="1"/>
    <x v="1"/>
    <x v="0"/>
    <n v="19900"/>
    <n v="3"/>
    <n v="59700"/>
  </r>
  <r>
    <s v="1709"/>
    <x v="555"/>
    <n v="8"/>
    <x v="10"/>
    <x v="5"/>
    <x v="2"/>
    <x v="0"/>
    <n v="19900"/>
    <n v="6"/>
    <n v="119400"/>
  </r>
  <r>
    <s v="1710"/>
    <x v="555"/>
    <n v="14"/>
    <x v="7"/>
    <x v="0"/>
    <x v="0"/>
    <x v="4"/>
    <n v="39900"/>
    <n v="0"/>
    <n v="0"/>
  </r>
  <r>
    <s v="1711"/>
    <x v="555"/>
    <n v="13"/>
    <x v="5"/>
    <x v="6"/>
    <x v="0"/>
    <x v="3"/>
    <n v="6900"/>
    <n v="2"/>
    <n v="13800"/>
  </r>
  <r>
    <s v="1712"/>
    <x v="556"/>
    <n v="5"/>
    <x v="15"/>
    <x v="1"/>
    <x v="1"/>
    <x v="2"/>
    <n v="15900"/>
    <n v="7"/>
    <n v="111300"/>
  </r>
  <r>
    <s v="1713"/>
    <x v="556"/>
    <n v="19"/>
    <x v="13"/>
    <x v="3"/>
    <x v="3"/>
    <x v="4"/>
    <n v="39900"/>
    <n v="9"/>
    <n v="359100"/>
  </r>
  <r>
    <s v="1714"/>
    <x v="557"/>
    <n v="13"/>
    <x v="5"/>
    <x v="0"/>
    <x v="0"/>
    <x v="0"/>
    <n v="19900"/>
    <n v="3"/>
    <n v="59700"/>
  </r>
  <r>
    <s v="1715"/>
    <x v="557"/>
    <n v="5"/>
    <x v="15"/>
    <x v="7"/>
    <x v="1"/>
    <x v="3"/>
    <n v="6900"/>
    <n v="3"/>
    <n v="20700"/>
  </r>
  <r>
    <s v="1716"/>
    <x v="557"/>
    <n v="14"/>
    <x v="7"/>
    <x v="0"/>
    <x v="0"/>
    <x v="4"/>
    <n v="39900"/>
    <n v="1"/>
    <n v="39900"/>
  </r>
  <r>
    <s v="1717"/>
    <x v="557"/>
    <n v="11"/>
    <x v="0"/>
    <x v="0"/>
    <x v="0"/>
    <x v="3"/>
    <n v="6900"/>
    <n v="1"/>
    <n v="6900"/>
  </r>
  <r>
    <s v="1718"/>
    <x v="557"/>
    <n v="7"/>
    <x v="17"/>
    <x v="2"/>
    <x v="2"/>
    <x v="2"/>
    <n v="15900"/>
    <n v="8"/>
    <n v="127200"/>
  </r>
  <r>
    <s v="1719"/>
    <x v="557"/>
    <n v="5"/>
    <x v="15"/>
    <x v="7"/>
    <x v="1"/>
    <x v="1"/>
    <n v="28900"/>
    <n v="0"/>
    <n v="0"/>
  </r>
  <r>
    <s v="1720"/>
    <x v="557"/>
    <n v="1"/>
    <x v="1"/>
    <x v="7"/>
    <x v="1"/>
    <x v="1"/>
    <n v="28900"/>
    <n v="3"/>
    <n v="86700"/>
  </r>
  <r>
    <s v="1721"/>
    <x v="558"/>
    <n v="6"/>
    <x v="11"/>
    <x v="5"/>
    <x v="2"/>
    <x v="0"/>
    <n v="19900"/>
    <n v="1"/>
    <n v="19900"/>
  </r>
  <r>
    <s v="1722"/>
    <x v="559"/>
    <n v="16"/>
    <x v="4"/>
    <x v="4"/>
    <x v="3"/>
    <x v="0"/>
    <n v="19900"/>
    <n v="8"/>
    <n v="159200"/>
  </r>
  <r>
    <s v="1723"/>
    <x v="559"/>
    <n v="10"/>
    <x v="14"/>
    <x v="5"/>
    <x v="2"/>
    <x v="0"/>
    <n v="19900"/>
    <n v="2"/>
    <n v="39800"/>
  </r>
  <r>
    <s v="1724"/>
    <x v="559"/>
    <n v="20"/>
    <x v="8"/>
    <x v="3"/>
    <x v="3"/>
    <x v="2"/>
    <n v="15900"/>
    <n v="1"/>
    <n v="15900"/>
  </r>
  <r>
    <s v="1725"/>
    <x v="559"/>
    <n v="4"/>
    <x v="12"/>
    <x v="1"/>
    <x v="1"/>
    <x v="1"/>
    <n v="28900"/>
    <n v="8"/>
    <n v="231200"/>
  </r>
  <r>
    <s v="1726"/>
    <x v="559"/>
    <n v="10"/>
    <x v="14"/>
    <x v="5"/>
    <x v="2"/>
    <x v="4"/>
    <n v="39900"/>
    <n v="9"/>
    <n v="359100"/>
  </r>
  <r>
    <s v="1727"/>
    <x v="559"/>
    <n v="4"/>
    <x v="12"/>
    <x v="1"/>
    <x v="1"/>
    <x v="0"/>
    <n v="19900"/>
    <n v="3"/>
    <n v="59700"/>
  </r>
  <r>
    <s v="1728"/>
    <x v="560"/>
    <n v="16"/>
    <x v="4"/>
    <x v="3"/>
    <x v="3"/>
    <x v="2"/>
    <n v="15900"/>
    <n v="3"/>
    <n v="47700"/>
  </r>
  <r>
    <s v="1729"/>
    <x v="560"/>
    <n v="2"/>
    <x v="18"/>
    <x v="1"/>
    <x v="1"/>
    <x v="2"/>
    <n v="15900"/>
    <n v="4"/>
    <n v="63600"/>
  </r>
  <r>
    <s v="1730"/>
    <x v="560"/>
    <n v="18"/>
    <x v="3"/>
    <x v="4"/>
    <x v="3"/>
    <x v="4"/>
    <n v="39900"/>
    <n v="5"/>
    <n v="199500"/>
  </r>
  <r>
    <s v="1731"/>
    <x v="561"/>
    <n v="9"/>
    <x v="2"/>
    <x v="5"/>
    <x v="2"/>
    <x v="4"/>
    <n v="39900"/>
    <n v="0"/>
    <n v="0"/>
  </r>
  <r>
    <s v="1732"/>
    <x v="562"/>
    <n v="4"/>
    <x v="12"/>
    <x v="1"/>
    <x v="1"/>
    <x v="4"/>
    <n v="39900"/>
    <n v="8"/>
    <n v="319200"/>
  </r>
  <r>
    <s v="1733"/>
    <x v="562"/>
    <n v="5"/>
    <x v="15"/>
    <x v="1"/>
    <x v="1"/>
    <x v="2"/>
    <n v="15900"/>
    <n v="9"/>
    <n v="143100"/>
  </r>
  <r>
    <s v="1734"/>
    <x v="563"/>
    <n v="5"/>
    <x v="15"/>
    <x v="1"/>
    <x v="1"/>
    <x v="4"/>
    <n v="39900"/>
    <n v="2"/>
    <n v="79800"/>
  </r>
  <r>
    <s v="1735"/>
    <x v="563"/>
    <n v="12"/>
    <x v="16"/>
    <x v="6"/>
    <x v="0"/>
    <x v="4"/>
    <n v="39900"/>
    <n v="7"/>
    <n v="279300"/>
  </r>
  <r>
    <s v="1736"/>
    <x v="563"/>
    <n v="7"/>
    <x v="17"/>
    <x v="5"/>
    <x v="2"/>
    <x v="1"/>
    <n v="28900"/>
    <n v="7"/>
    <n v="202300"/>
  </r>
  <r>
    <s v="1737"/>
    <x v="563"/>
    <n v="1"/>
    <x v="1"/>
    <x v="7"/>
    <x v="1"/>
    <x v="3"/>
    <n v="6900"/>
    <n v="3"/>
    <n v="20700"/>
  </r>
  <r>
    <s v="1738"/>
    <x v="564"/>
    <n v="18"/>
    <x v="3"/>
    <x v="4"/>
    <x v="3"/>
    <x v="2"/>
    <n v="15900"/>
    <n v="6"/>
    <n v="95400"/>
  </r>
  <r>
    <s v="1739"/>
    <x v="565"/>
    <n v="3"/>
    <x v="9"/>
    <x v="7"/>
    <x v="1"/>
    <x v="3"/>
    <n v="6900"/>
    <n v="3"/>
    <n v="20700"/>
  </r>
  <r>
    <s v="1740"/>
    <x v="565"/>
    <n v="2"/>
    <x v="18"/>
    <x v="1"/>
    <x v="1"/>
    <x v="0"/>
    <n v="19900"/>
    <n v="4"/>
    <n v="79600"/>
  </r>
  <r>
    <s v="1741"/>
    <x v="565"/>
    <n v="17"/>
    <x v="6"/>
    <x v="3"/>
    <x v="3"/>
    <x v="1"/>
    <n v="28900"/>
    <n v="2"/>
    <n v="57800"/>
  </r>
  <r>
    <s v="1742"/>
    <x v="566"/>
    <n v="14"/>
    <x v="7"/>
    <x v="6"/>
    <x v="0"/>
    <x v="1"/>
    <n v="28900"/>
    <n v="9"/>
    <n v="260100"/>
  </r>
  <r>
    <s v="1743"/>
    <x v="566"/>
    <n v="19"/>
    <x v="13"/>
    <x v="4"/>
    <x v="3"/>
    <x v="3"/>
    <n v="6900"/>
    <n v="2"/>
    <n v="13800"/>
  </r>
  <r>
    <s v="1744"/>
    <x v="566"/>
    <n v="9"/>
    <x v="2"/>
    <x v="2"/>
    <x v="2"/>
    <x v="3"/>
    <n v="6900"/>
    <n v="4"/>
    <n v="27600"/>
  </r>
  <r>
    <s v="1745"/>
    <x v="566"/>
    <n v="9"/>
    <x v="2"/>
    <x v="5"/>
    <x v="2"/>
    <x v="0"/>
    <n v="19900"/>
    <n v="5"/>
    <n v="99500"/>
  </r>
  <r>
    <s v="1746"/>
    <x v="567"/>
    <n v="9"/>
    <x v="2"/>
    <x v="5"/>
    <x v="2"/>
    <x v="3"/>
    <n v="6900"/>
    <n v="4"/>
    <n v="27600"/>
  </r>
  <r>
    <s v="1747"/>
    <x v="567"/>
    <n v="6"/>
    <x v="11"/>
    <x v="5"/>
    <x v="2"/>
    <x v="0"/>
    <n v="19900"/>
    <n v="0"/>
    <n v="0"/>
  </r>
  <r>
    <s v="1748"/>
    <x v="567"/>
    <n v="11"/>
    <x v="0"/>
    <x v="6"/>
    <x v="0"/>
    <x v="3"/>
    <n v="6900"/>
    <n v="0"/>
    <n v="0"/>
  </r>
  <r>
    <s v="1749"/>
    <x v="568"/>
    <n v="2"/>
    <x v="18"/>
    <x v="7"/>
    <x v="1"/>
    <x v="4"/>
    <n v="39900"/>
    <n v="9"/>
    <n v="359100"/>
  </r>
  <r>
    <s v="1750"/>
    <x v="569"/>
    <n v="19"/>
    <x v="13"/>
    <x v="4"/>
    <x v="3"/>
    <x v="3"/>
    <n v="6900"/>
    <n v="1"/>
    <n v="6900"/>
  </r>
  <r>
    <s v="1751"/>
    <x v="570"/>
    <n v="15"/>
    <x v="19"/>
    <x v="0"/>
    <x v="0"/>
    <x v="3"/>
    <n v="6900"/>
    <n v="4"/>
    <n v="27600"/>
  </r>
  <r>
    <s v="1752"/>
    <x v="570"/>
    <n v="6"/>
    <x v="11"/>
    <x v="2"/>
    <x v="2"/>
    <x v="1"/>
    <n v="28900"/>
    <n v="7"/>
    <n v="202300"/>
  </r>
  <r>
    <s v="1753"/>
    <x v="570"/>
    <n v="12"/>
    <x v="16"/>
    <x v="6"/>
    <x v="0"/>
    <x v="3"/>
    <n v="6900"/>
    <n v="8"/>
    <n v="55200"/>
  </r>
  <r>
    <s v="1754"/>
    <x v="570"/>
    <n v="2"/>
    <x v="18"/>
    <x v="7"/>
    <x v="1"/>
    <x v="3"/>
    <n v="6900"/>
    <n v="9"/>
    <n v="62100"/>
  </r>
  <r>
    <s v="1755"/>
    <x v="570"/>
    <n v="15"/>
    <x v="19"/>
    <x v="6"/>
    <x v="0"/>
    <x v="1"/>
    <n v="28900"/>
    <n v="4"/>
    <n v="115600"/>
  </r>
  <r>
    <s v="1756"/>
    <x v="570"/>
    <n v="2"/>
    <x v="18"/>
    <x v="1"/>
    <x v="1"/>
    <x v="4"/>
    <n v="39900"/>
    <n v="9"/>
    <n v="359100"/>
  </r>
  <r>
    <s v="1757"/>
    <x v="570"/>
    <n v="4"/>
    <x v="12"/>
    <x v="1"/>
    <x v="1"/>
    <x v="1"/>
    <n v="28900"/>
    <n v="2"/>
    <n v="57800"/>
  </r>
  <r>
    <s v="1758"/>
    <x v="570"/>
    <n v="5"/>
    <x v="15"/>
    <x v="7"/>
    <x v="1"/>
    <x v="3"/>
    <n v="6900"/>
    <n v="9"/>
    <n v="62100"/>
  </r>
  <r>
    <s v="1759"/>
    <x v="571"/>
    <n v="18"/>
    <x v="3"/>
    <x v="4"/>
    <x v="3"/>
    <x v="2"/>
    <n v="15900"/>
    <n v="5"/>
    <n v="79500"/>
  </r>
  <r>
    <s v="1760"/>
    <x v="572"/>
    <n v="18"/>
    <x v="3"/>
    <x v="3"/>
    <x v="3"/>
    <x v="0"/>
    <n v="19900"/>
    <n v="0"/>
    <n v="0"/>
  </r>
  <r>
    <s v="1761"/>
    <x v="573"/>
    <n v="11"/>
    <x v="0"/>
    <x v="0"/>
    <x v="0"/>
    <x v="0"/>
    <n v="19900"/>
    <n v="4"/>
    <n v="79600"/>
  </r>
  <r>
    <s v="1762"/>
    <x v="573"/>
    <n v="19"/>
    <x v="13"/>
    <x v="3"/>
    <x v="3"/>
    <x v="3"/>
    <n v="6900"/>
    <n v="8"/>
    <n v="55200"/>
  </r>
  <r>
    <s v="1763"/>
    <x v="574"/>
    <n v="2"/>
    <x v="18"/>
    <x v="1"/>
    <x v="1"/>
    <x v="0"/>
    <n v="19900"/>
    <n v="7"/>
    <n v="139300"/>
  </r>
  <r>
    <s v="1764"/>
    <x v="574"/>
    <n v="9"/>
    <x v="2"/>
    <x v="2"/>
    <x v="2"/>
    <x v="3"/>
    <n v="6900"/>
    <n v="2"/>
    <n v="13800"/>
  </r>
  <r>
    <s v="1765"/>
    <x v="575"/>
    <n v="9"/>
    <x v="2"/>
    <x v="5"/>
    <x v="2"/>
    <x v="0"/>
    <n v="19900"/>
    <n v="3"/>
    <n v="59700"/>
  </r>
  <r>
    <s v="1766"/>
    <x v="576"/>
    <n v="13"/>
    <x v="5"/>
    <x v="0"/>
    <x v="0"/>
    <x v="4"/>
    <n v="39900"/>
    <n v="8"/>
    <n v="319200"/>
  </r>
  <r>
    <s v="1767"/>
    <x v="576"/>
    <n v="6"/>
    <x v="11"/>
    <x v="2"/>
    <x v="2"/>
    <x v="4"/>
    <n v="39900"/>
    <n v="9"/>
    <n v="359100"/>
  </r>
  <r>
    <s v="1768"/>
    <x v="577"/>
    <n v="15"/>
    <x v="19"/>
    <x v="6"/>
    <x v="0"/>
    <x v="2"/>
    <n v="15900"/>
    <n v="1"/>
    <n v="15900"/>
  </r>
  <r>
    <s v="1769"/>
    <x v="578"/>
    <n v="6"/>
    <x v="11"/>
    <x v="5"/>
    <x v="2"/>
    <x v="4"/>
    <n v="39900"/>
    <n v="2"/>
    <n v="79800"/>
  </r>
  <r>
    <s v="1770"/>
    <x v="579"/>
    <n v="1"/>
    <x v="1"/>
    <x v="7"/>
    <x v="1"/>
    <x v="2"/>
    <n v="15900"/>
    <n v="8"/>
    <n v="127200"/>
  </r>
  <r>
    <s v="1771"/>
    <x v="579"/>
    <n v="4"/>
    <x v="12"/>
    <x v="1"/>
    <x v="1"/>
    <x v="0"/>
    <n v="19900"/>
    <n v="7"/>
    <n v="139300"/>
  </r>
  <r>
    <s v="1772"/>
    <x v="580"/>
    <n v="18"/>
    <x v="3"/>
    <x v="4"/>
    <x v="3"/>
    <x v="0"/>
    <n v="19900"/>
    <n v="8"/>
    <n v="159200"/>
  </r>
  <r>
    <s v="1773"/>
    <x v="580"/>
    <n v="5"/>
    <x v="15"/>
    <x v="1"/>
    <x v="1"/>
    <x v="0"/>
    <n v="19900"/>
    <n v="2"/>
    <n v="39800"/>
  </r>
  <r>
    <s v="1774"/>
    <x v="580"/>
    <n v="8"/>
    <x v="10"/>
    <x v="5"/>
    <x v="2"/>
    <x v="0"/>
    <n v="19900"/>
    <n v="1"/>
    <n v="19900"/>
  </r>
  <r>
    <s v="1775"/>
    <x v="580"/>
    <n v="7"/>
    <x v="17"/>
    <x v="5"/>
    <x v="2"/>
    <x v="3"/>
    <n v="6900"/>
    <n v="9"/>
    <n v="62100"/>
  </r>
  <r>
    <s v="1776"/>
    <x v="581"/>
    <n v="2"/>
    <x v="18"/>
    <x v="1"/>
    <x v="1"/>
    <x v="1"/>
    <n v="28900"/>
    <n v="8"/>
    <n v="231200"/>
  </r>
  <r>
    <s v="1777"/>
    <x v="582"/>
    <n v="7"/>
    <x v="17"/>
    <x v="2"/>
    <x v="2"/>
    <x v="4"/>
    <n v="39900"/>
    <n v="6"/>
    <n v="239400"/>
  </r>
  <r>
    <s v="1778"/>
    <x v="583"/>
    <n v="2"/>
    <x v="18"/>
    <x v="1"/>
    <x v="1"/>
    <x v="2"/>
    <n v="15900"/>
    <n v="6"/>
    <n v="95400"/>
  </r>
  <r>
    <s v="1779"/>
    <x v="583"/>
    <n v="10"/>
    <x v="14"/>
    <x v="2"/>
    <x v="2"/>
    <x v="2"/>
    <n v="15900"/>
    <n v="3"/>
    <n v="47700"/>
  </r>
  <r>
    <s v="1780"/>
    <x v="583"/>
    <n v="18"/>
    <x v="3"/>
    <x v="4"/>
    <x v="3"/>
    <x v="1"/>
    <n v="28900"/>
    <n v="0"/>
    <n v="0"/>
  </r>
  <r>
    <s v="1781"/>
    <x v="583"/>
    <n v="19"/>
    <x v="13"/>
    <x v="3"/>
    <x v="3"/>
    <x v="1"/>
    <n v="28900"/>
    <n v="8"/>
    <n v="231200"/>
  </r>
  <r>
    <s v="1782"/>
    <x v="584"/>
    <n v="13"/>
    <x v="5"/>
    <x v="0"/>
    <x v="0"/>
    <x v="0"/>
    <n v="19900"/>
    <n v="3"/>
    <n v="59700"/>
  </r>
  <r>
    <s v="1783"/>
    <x v="584"/>
    <n v="5"/>
    <x v="15"/>
    <x v="1"/>
    <x v="1"/>
    <x v="4"/>
    <n v="39900"/>
    <n v="1"/>
    <n v="39900"/>
  </r>
  <r>
    <s v="1784"/>
    <x v="584"/>
    <n v="14"/>
    <x v="7"/>
    <x v="0"/>
    <x v="0"/>
    <x v="2"/>
    <n v="15900"/>
    <n v="1"/>
    <n v="15900"/>
  </r>
  <r>
    <s v="1785"/>
    <x v="584"/>
    <n v="9"/>
    <x v="2"/>
    <x v="5"/>
    <x v="2"/>
    <x v="3"/>
    <n v="6900"/>
    <n v="0"/>
    <n v="0"/>
  </r>
  <r>
    <s v="1786"/>
    <x v="584"/>
    <n v="15"/>
    <x v="19"/>
    <x v="0"/>
    <x v="0"/>
    <x v="4"/>
    <n v="39900"/>
    <n v="2"/>
    <n v="79800"/>
  </r>
  <r>
    <s v="1787"/>
    <x v="585"/>
    <n v="15"/>
    <x v="19"/>
    <x v="6"/>
    <x v="0"/>
    <x v="1"/>
    <n v="28900"/>
    <n v="8"/>
    <n v="231200"/>
  </r>
  <r>
    <s v="1788"/>
    <x v="585"/>
    <n v="11"/>
    <x v="0"/>
    <x v="6"/>
    <x v="0"/>
    <x v="4"/>
    <n v="39900"/>
    <n v="5"/>
    <n v="199500"/>
  </r>
  <r>
    <s v="1789"/>
    <x v="586"/>
    <n v="4"/>
    <x v="12"/>
    <x v="7"/>
    <x v="1"/>
    <x v="0"/>
    <n v="19900"/>
    <n v="9"/>
    <n v="179100"/>
  </r>
  <r>
    <s v="1790"/>
    <x v="586"/>
    <n v="14"/>
    <x v="7"/>
    <x v="6"/>
    <x v="0"/>
    <x v="2"/>
    <n v="15900"/>
    <n v="8"/>
    <n v="127200"/>
  </r>
  <r>
    <s v="1791"/>
    <x v="587"/>
    <n v="17"/>
    <x v="6"/>
    <x v="3"/>
    <x v="3"/>
    <x v="4"/>
    <n v="39900"/>
    <n v="8"/>
    <n v="319200"/>
  </r>
  <r>
    <s v="1792"/>
    <x v="587"/>
    <n v="3"/>
    <x v="9"/>
    <x v="1"/>
    <x v="1"/>
    <x v="4"/>
    <n v="39900"/>
    <n v="2"/>
    <n v="79800"/>
  </r>
  <r>
    <s v="1793"/>
    <x v="587"/>
    <n v="17"/>
    <x v="6"/>
    <x v="4"/>
    <x v="3"/>
    <x v="3"/>
    <n v="6900"/>
    <n v="0"/>
    <n v="0"/>
  </r>
  <r>
    <s v="1794"/>
    <x v="587"/>
    <n v="2"/>
    <x v="18"/>
    <x v="7"/>
    <x v="1"/>
    <x v="3"/>
    <n v="6900"/>
    <n v="9"/>
    <n v="62100"/>
  </r>
  <r>
    <s v="1795"/>
    <x v="587"/>
    <n v="7"/>
    <x v="17"/>
    <x v="5"/>
    <x v="2"/>
    <x v="3"/>
    <n v="6900"/>
    <n v="5"/>
    <n v="34500"/>
  </r>
  <r>
    <s v="1796"/>
    <x v="588"/>
    <n v="2"/>
    <x v="18"/>
    <x v="7"/>
    <x v="1"/>
    <x v="1"/>
    <n v="28900"/>
    <n v="5"/>
    <n v="144500"/>
  </r>
  <r>
    <s v="1797"/>
    <x v="588"/>
    <n v="10"/>
    <x v="14"/>
    <x v="2"/>
    <x v="2"/>
    <x v="0"/>
    <n v="19900"/>
    <n v="2"/>
    <n v="39800"/>
  </r>
  <r>
    <s v="1798"/>
    <x v="588"/>
    <n v="13"/>
    <x v="5"/>
    <x v="6"/>
    <x v="0"/>
    <x v="1"/>
    <n v="28900"/>
    <n v="4"/>
    <n v="115600"/>
  </r>
  <r>
    <s v="1799"/>
    <x v="588"/>
    <n v="15"/>
    <x v="19"/>
    <x v="0"/>
    <x v="0"/>
    <x v="4"/>
    <n v="39900"/>
    <n v="4"/>
    <n v="159600"/>
  </r>
  <r>
    <s v="1800"/>
    <x v="588"/>
    <n v="9"/>
    <x v="2"/>
    <x v="2"/>
    <x v="2"/>
    <x v="0"/>
    <n v="19900"/>
    <n v="8"/>
    <n v="159200"/>
  </r>
  <r>
    <s v="1801"/>
    <x v="588"/>
    <n v="17"/>
    <x v="6"/>
    <x v="4"/>
    <x v="3"/>
    <x v="4"/>
    <n v="39900"/>
    <n v="1"/>
    <n v="39900"/>
  </r>
  <r>
    <s v="1802"/>
    <x v="588"/>
    <n v="6"/>
    <x v="11"/>
    <x v="5"/>
    <x v="2"/>
    <x v="0"/>
    <n v="19900"/>
    <n v="6"/>
    <n v="119400"/>
  </r>
  <r>
    <s v="1803"/>
    <x v="588"/>
    <n v="18"/>
    <x v="3"/>
    <x v="3"/>
    <x v="3"/>
    <x v="4"/>
    <n v="39900"/>
    <n v="5"/>
    <n v="199500"/>
  </r>
  <r>
    <s v="1804"/>
    <x v="588"/>
    <n v="8"/>
    <x v="10"/>
    <x v="5"/>
    <x v="2"/>
    <x v="0"/>
    <n v="19900"/>
    <n v="6"/>
    <n v="119400"/>
  </r>
  <r>
    <s v="1805"/>
    <x v="588"/>
    <n v="13"/>
    <x v="5"/>
    <x v="6"/>
    <x v="0"/>
    <x v="2"/>
    <n v="15900"/>
    <n v="3"/>
    <n v="47700"/>
  </r>
  <r>
    <s v="1806"/>
    <x v="588"/>
    <n v="17"/>
    <x v="6"/>
    <x v="4"/>
    <x v="3"/>
    <x v="3"/>
    <n v="6900"/>
    <n v="7"/>
    <n v="48300"/>
  </r>
  <r>
    <s v="1807"/>
    <x v="588"/>
    <n v="4"/>
    <x v="12"/>
    <x v="7"/>
    <x v="1"/>
    <x v="3"/>
    <n v="6900"/>
    <n v="3"/>
    <n v="20700"/>
  </r>
  <r>
    <s v="1808"/>
    <x v="589"/>
    <n v="9"/>
    <x v="2"/>
    <x v="5"/>
    <x v="2"/>
    <x v="0"/>
    <n v="19900"/>
    <n v="3"/>
    <n v="59700"/>
  </r>
  <r>
    <s v="1809"/>
    <x v="590"/>
    <n v="8"/>
    <x v="10"/>
    <x v="2"/>
    <x v="2"/>
    <x v="3"/>
    <n v="6900"/>
    <n v="5"/>
    <n v="34500"/>
  </r>
  <r>
    <s v="1810"/>
    <x v="590"/>
    <n v="3"/>
    <x v="9"/>
    <x v="7"/>
    <x v="1"/>
    <x v="1"/>
    <n v="28900"/>
    <n v="3"/>
    <n v="86700"/>
  </r>
  <r>
    <s v="1811"/>
    <x v="591"/>
    <n v="15"/>
    <x v="19"/>
    <x v="6"/>
    <x v="0"/>
    <x v="3"/>
    <n v="6900"/>
    <n v="4"/>
    <n v="27600"/>
  </r>
  <r>
    <s v="1812"/>
    <x v="591"/>
    <n v="11"/>
    <x v="0"/>
    <x v="6"/>
    <x v="0"/>
    <x v="3"/>
    <n v="6900"/>
    <n v="8"/>
    <n v="55200"/>
  </r>
  <r>
    <s v="1813"/>
    <x v="591"/>
    <n v="6"/>
    <x v="11"/>
    <x v="2"/>
    <x v="2"/>
    <x v="2"/>
    <n v="15900"/>
    <n v="6"/>
    <n v="95400"/>
  </r>
  <r>
    <s v="1814"/>
    <x v="591"/>
    <n v="9"/>
    <x v="2"/>
    <x v="2"/>
    <x v="2"/>
    <x v="2"/>
    <n v="15900"/>
    <n v="6"/>
    <n v="95400"/>
  </r>
  <r>
    <s v="1815"/>
    <x v="592"/>
    <n v="5"/>
    <x v="15"/>
    <x v="7"/>
    <x v="1"/>
    <x v="0"/>
    <n v="19900"/>
    <n v="2"/>
    <n v="39800"/>
  </r>
  <r>
    <s v="1816"/>
    <x v="593"/>
    <n v="10"/>
    <x v="14"/>
    <x v="2"/>
    <x v="2"/>
    <x v="2"/>
    <n v="15900"/>
    <n v="9"/>
    <n v="143100"/>
  </r>
  <r>
    <s v="1817"/>
    <x v="593"/>
    <n v="8"/>
    <x v="10"/>
    <x v="5"/>
    <x v="2"/>
    <x v="3"/>
    <n v="6900"/>
    <n v="8"/>
    <n v="55200"/>
  </r>
  <r>
    <s v="1818"/>
    <x v="593"/>
    <n v="5"/>
    <x v="15"/>
    <x v="1"/>
    <x v="1"/>
    <x v="0"/>
    <n v="19900"/>
    <n v="4"/>
    <n v="79600"/>
  </r>
  <r>
    <s v="1819"/>
    <x v="593"/>
    <n v="9"/>
    <x v="2"/>
    <x v="2"/>
    <x v="2"/>
    <x v="0"/>
    <n v="19900"/>
    <n v="9"/>
    <n v="179100"/>
  </r>
  <r>
    <s v="1820"/>
    <x v="593"/>
    <n v="2"/>
    <x v="18"/>
    <x v="1"/>
    <x v="1"/>
    <x v="3"/>
    <n v="6900"/>
    <n v="9"/>
    <n v="62100"/>
  </r>
  <r>
    <s v="1821"/>
    <x v="593"/>
    <n v="7"/>
    <x v="17"/>
    <x v="5"/>
    <x v="2"/>
    <x v="0"/>
    <n v="19900"/>
    <n v="6"/>
    <n v="119400"/>
  </r>
  <r>
    <s v="1822"/>
    <x v="594"/>
    <n v="17"/>
    <x v="6"/>
    <x v="3"/>
    <x v="3"/>
    <x v="1"/>
    <n v="28900"/>
    <n v="7"/>
    <n v="202300"/>
  </r>
  <r>
    <s v="1823"/>
    <x v="594"/>
    <n v="9"/>
    <x v="2"/>
    <x v="2"/>
    <x v="2"/>
    <x v="0"/>
    <n v="19900"/>
    <n v="3"/>
    <n v="59700"/>
  </r>
  <r>
    <s v="1824"/>
    <x v="594"/>
    <n v="15"/>
    <x v="19"/>
    <x v="0"/>
    <x v="0"/>
    <x v="2"/>
    <n v="15900"/>
    <n v="3"/>
    <n v="47700"/>
  </r>
  <r>
    <s v="1825"/>
    <x v="595"/>
    <n v="11"/>
    <x v="0"/>
    <x v="0"/>
    <x v="0"/>
    <x v="0"/>
    <n v="19900"/>
    <n v="5"/>
    <n v="99500"/>
  </r>
  <r>
    <s v="1826"/>
    <x v="595"/>
    <n v="18"/>
    <x v="3"/>
    <x v="4"/>
    <x v="3"/>
    <x v="1"/>
    <n v="28900"/>
    <n v="4"/>
    <n v="115600"/>
  </r>
  <r>
    <s v="1827"/>
    <x v="595"/>
    <n v="2"/>
    <x v="18"/>
    <x v="1"/>
    <x v="1"/>
    <x v="1"/>
    <n v="28900"/>
    <n v="2"/>
    <n v="57800"/>
  </r>
  <r>
    <s v="1828"/>
    <x v="595"/>
    <n v="18"/>
    <x v="3"/>
    <x v="4"/>
    <x v="3"/>
    <x v="3"/>
    <n v="6900"/>
    <n v="6"/>
    <n v="41400"/>
  </r>
  <r>
    <s v="1829"/>
    <x v="595"/>
    <n v="13"/>
    <x v="5"/>
    <x v="6"/>
    <x v="0"/>
    <x v="3"/>
    <n v="6900"/>
    <n v="4"/>
    <n v="27600"/>
  </r>
  <r>
    <s v="1830"/>
    <x v="596"/>
    <n v="5"/>
    <x v="15"/>
    <x v="1"/>
    <x v="1"/>
    <x v="1"/>
    <n v="28900"/>
    <n v="2"/>
    <n v="57800"/>
  </r>
  <r>
    <s v="1831"/>
    <x v="597"/>
    <n v="8"/>
    <x v="10"/>
    <x v="2"/>
    <x v="2"/>
    <x v="0"/>
    <n v="19900"/>
    <n v="3"/>
    <n v="59700"/>
  </r>
  <r>
    <s v="1832"/>
    <x v="597"/>
    <n v="14"/>
    <x v="7"/>
    <x v="6"/>
    <x v="0"/>
    <x v="2"/>
    <n v="15900"/>
    <n v="1"/>
    <n v="15900"/>
  </r>
  <r>
    <s v="1833"/>
    <x v="597"/>
    <n v="8"/>
    <x v="10"/>
    <x v="5"/>
    <x v="2"/>
    <x v="3"/>
    <n v="6900"/>
    <n v="5"/>
    <n v="34500"/>
  </r>
  <r>
    <s v="1834"/>
    <x v="597"/>
    <n v="5"/>
    <x v="15"/>
    <x v="7"/>
    <x v="1"/>
    <x v="0"/>
    <n v="19900"/>
    <n v="7"/>
    <n v="139300"/>
  </r>
  <r>
    <s v="1835"/>
    <x v="597"/>
    <n v="5"/>
    <x v="15"/>
    <x v="7"/>
    <x v="1"/>
    <x v="1"/>
    <n v="28900"/>
    <n v="3"/>
    <n v="86700"/>
  </r>
  <r>
    <s v="1836"/>
    <x v="597"/>
    <n v="9"/>
    <x v="2"/>
    <x v="5"/>
    <x v="2"/>
    <x v="0"/>
    <n v="19900"/>
    <n v="5"/>
    <n v="99500"/>
  </r>
  <r>
    <s v="1837"/>
    <x v="598"/>
    <n v="6"/>
    <x v="11"/>
    <x v="2"/>
    <x v="2"/>
    <x v="3"/>
    <n v="6900"/>
    <n v="3"/>
    <n v="20700"/>
  </r>
  <r>
    <s v="1838"/>
    <x v="598"/>
    <n v="20"/>
    <x v="8"/>
    <x v="4"/>
    <x v="3"/>
    <x v="4"/>
    <n v="39900"/>
    <n v="9"/>
    <n v="359100"/>
  </r>
  <r>
    <s v="1839"/>
    <x v="598"/>
    <n v="19"/>
    <x v="13"/>
    <x v="3"/>
    <x v="3"/>
    <x v="1"/>
    <n v="28900"/>
    <n v="5"/>
    <n v="144500"/>
  </r>
  <r>
    <s v="1840"/>
    <x v="598"/>
    <n v="17"/>
    <x v="6"/>
    <x v="4"/>
    <x v="3"/>
    <x v="0"/>
    <n v="19900"/>
    <n v="5"/>
    <n v="99500"/>
  </r>
  <r>
    <s v="1841"/>
    <x v="598"/>
    <n v="3"/>
    <x v="9"/>
    <x v="7"/>
    <x v="1"/>
    <x v="0"/>
    <n v="19900"/>
    <n v="4"/>
    <n v="79600"/>
  </r>
  <r>
    <s v="1842"/>
    <x v="598"/>
    <n v="2"/>
    <x v="18"/>
    <x v="1"/>
    <x v="1"/>
    <x v="2"/>
    <n v="15900"/>
    <n v="3"/>
    <n v="47700"/>
  </r>
  <r>
    <s v="1843"/>
    <x v="598"/>
    <n v="20"/>
    <x v="8"/>
    <x v="3"/>
    <x v="3"/>
    <x v="0"/>
    <n v="19900"/>
    <n v="1"/>
    <n v="19900"/>
  </r>
  <r>
    <s v="1844"/>
    <x v="598"/>
    <n v="5"/>
    <x v="15"/>
    <x v="1"/>
    <x v="1"/>
    <x v="0"/>
    <n v="19900"/>
    <n v="4"/>
    <n v="79600"/>
  </r>
  <r>
    <s v="1845"/>
    <x v="598"/>
    <n v="5"/>
    <x v="15"/>
    <x v="7"/>
    <x v="1"/>
    <x v="2"/>
    <n v="15900"/>
    <n v="2"/>
    <n v="31800"/>
  </r>
  <r>
    <s v="1846"/>
    <x v="599"/>
    <n v="7"/>
    <x v="17"/>
    <x v="2"/>
    <x v="2"/>
    <x v="2"/>
    <n v="15900"/>
    <n v="1"/>
    <n v="15900"/>
  </r>
  <r>
    <s v="1847"/>
    <x v="599"/>
    <n v="2"/>
    <x v="18"/>
    <x v="1"/>
    <x v="1"/>
    <x v="2"/>
    <n v="15900"/>
    <n v="6"/>
    <n v="95400"/>
  </r>
  <r>
    <s v="1848"/>
    <x v="600"/>
    <n v="1"/>
    <x v="1"/>
    <x v="7"/>
    <x v="1"/>
    <x v="3"/>
    <n v="6900"/>
    <n v="5"/>
    <n v="34500"/>
  </r>
  <r>
    <s v="1849"/>
    <x v="600"/>
    <n v="4"/>
    <x v="12"/>
    <x v="1"/>
    <x v="1"/>
    <x v="4"/>
    <n v="39900"/>
    <n v="7"/>
    <n v="279300"/>
  </r>
  <r>
    <s v="1850"/>
    <x v="601"/>
    <n v="4"/>
    <x v="12"/>
    <x v="7"/>
    <x v="1"/>
    <x v="2"/>
    <n v="15900"/>
    <n v="1"/>
    <n v="15900"/>
  </r>
  <r>
    <s v="1851"/>
    <x v="602"/>
    <n v="14"/>
    <x v="7"/>
    <x v="6"/>
    <x v="0"/>
    <x v="3"/>
    <n v="6900"/>
    <n v="2"/>
    <n v="13800"/>
  </r>
  <r>
    <s v="1852"/>
    <x v="603"/>
    <n v="11"/>
    <x v="0"/>
    <x v="0"/>
    <x v="0"/>
    <x v="3"/>
    <n v="6900"/>
    <n v="9"/>
    <n v="62100"/>
  </r>
  <r>
    <s v="1853"/>
    <x v="604"/>
    <n v="16"/>
    <x v="4"/>
    <x v="4"/>
    <x v="3"/>
    <x v="3"/>
    <n v="6900"/>
    <n v="2"/>
    <n v="13800"/>
  </r>
  <r>
    <s v="1854"/>
    <x v="605"/>
    <n v="16"/>
    <x v="4"/>
    <x v="3"/>
    <x v="3"/>
    <x v="2"/>
    <n v="15900"/>
    <n v="8"/>
    <n v="127200"/>
  </r>
  <r>
    <s v="1855"/>
    <x v="605"/>
    <n v="4"/>
    <x v="12"/>
    <x v="7"/>
    <x v="1"/>
    <x v="2"/>
    <n v="15900"/>
    <n v="0"/>
    <n v="0"/>
  </r>
  <r>
    <s v="1856"/>
    <x v="606"/>
    <n v="19"/>
    <x v="13"/>
    <x v="4"/>
    <x v="3"/>
    <x v="2"/>
    <n v="15900"/>
    <n v="7"/>
    <n v="111300"/>
  </r>
  <r>
    <s v="1857"/>
    <x v="606"/>
    <n v="7"/>
    <x v="17"/>
    <x v="5"/>
    <x v="2"/>
    <x v="0"/>
    <n v="19900"/>
    <n v="1"/>
    <n v="19900"/>
  </r>
  <r>
    <s v="1858"/>
    <x v="606"/>
    <n v="17"/>
    <x v="6"/>
    <x v="4"/>
    <x v="3"/>
    <x v="4"/>
    <n v="39900"/>
    <n v="1"/>
    <n v="39900"/>
  </r>
  <r>
    <s v="1859"/>
    <x v="606"/>
    <n v="6"/>
    <x v="11"/>
    <x v="2"/>
    <x v="2"/>
    <x v="3"/>
    <n v="6900"/>
    <n v="0"/>
    <n v="0"/>
  </r>
  <r>
    <s v="1860"/>
    <x v="606"/>
    <n v="14"/>
    <x v="7"/>
    <x v="6"/>
    <x v="0"/>
    <x v="4"/>
    <n v="39900"/>
    <n v="4"/>
    <n v="159600"/>
  </r>
  <r>
    <s v="1861"/>
    <x v="606"/>
    <n v="20"/>
    <x v="8"/>
    <x v="3"/>
    <x v="3"/>
    <x v="4"/>
    <n v="39900"/>
    <n v="8"/>
    <n v="319200"/>
  </r>
  <r>
    <s v="1862"/>
    <x v="606"/>
    <n v="10"/>
    <x v="14"/>
    <x v="2"/>
    <x v="2"/>
    <x v="1"/>
    <n v="28900"/>
    <n v="3"/>
    <n v="86700"/>
  </r>
  <r>
    <s v="1863"/>
    <x v="607"/>
    <n v="11"/>
    <x v="0"/>
    <x v="0"/>
    <x v="0"/>
    <x v="4"/>
    <n v="39900"/>
    <n v="5"/>
    <n v="199500"/>
  </r>
  <r>
    <s v="1864"/>
    <x v="608"/>
    <n v="16"/>
    <x v="4"/>
    <x v="3"/>
    <x v="3"/>
    <x v="1"/>
    <n v="28900"/>
    <n v="3"/>
    <n v="86700"/>
  </r>
  <r>
    <s v="1865"/>
    <x v="608"/>
    <n v="11"/>
    <x v="0"/>
    <x v="6"/>
    <x v="0"/>
    <x v="4"/>
    <n v="39900"/>
    <n v="4"/>
    <n v="159600"/>
  </r>
  <r>
    <s v="1866"/>
    <x v="608"/>
    <n v="7"/>
    <x v="17"/>
    <x v="5"/>
    <x v="2"/>
    <x v="3"/>
    <n v="6900"/>
    <n v="6"/>
    <n v="41400"/>
  </r>
  <r>
    <s v="1867"/>
    <x v="609"/>
    <n v="3"/>
    <x v="9"/>
    <x v="1"/>
    <x v="1"/>
    <x v="1"/>
    <n v="28900"/>
    <n v="6"/>
    <n v="173400"/>
  </r>
  <r>
    <s v="1868"/>
    <x v="609"/>
    <n v="15"/>
    <x v="19"/>
    <x v="0"/>
    <x v="0"/>
    <x v="0"/>
    <n v="19900"/>
    <n v="5"/>
    <n v="99500"/>
  </r>
  <r>
    <s v="1869"/>
    <x v="610"/>
    <n v="7"/>
    <x v="17"/>
    <x v="2"/>
    <x v="2"/>
    <x v="4"/>
    <n v="39900"/>
    <n v="1"/>
    <n v="39900"/>
  </r>
  <r>
    <s v="1870"/>
    <x v="611"/>
    <n v="19"/>
    <x v="13"/>
    <x v="4"/>
    <x v="3"/>
    <x v="4"/>
    <n v="39900"/>
    <n v="9"/>
    <n v="359100"/>
  </r>
  <r>
    <s v="1871"/>
    <x v="611"/>
    <n v="20"/>
    <x v="8"/>
    <x v="3"/>
    <x v="3"/>
    <x v="2"/>
    <n v="15900"/>
    <n v="4"/>
    <n v="63600"/>
  </r>
  <r>
    <s v="1872"/>
    <x v="612"/>
    <n v="10"/>
    <x v="14"/>
    <x v="5"/>
    <x v="2"/>
    <x v="3"/>
    <n v="6900"/>
    <n v="7"/>
    <n v="48300"/>
  </r>
  <r>
    <s v="1873"/>
    <x v="612"/>
    <n v="8"/>
    <x v="10"/>
    <x v="5"/>
    <x v="2"/>
    <x v="0"/>
    <n v="19900"/>
    <n v="6"/>
    <n v="119400"/>
  </r>
  <r>
    <s v="1874"/>
    <x v="613"/>
    <n v="9"/>
    <x v="2"/>
    <x v="2"/>
    <x v="2"/>
    <x v="1"/>
    <n v="28900"/>
    <n v="2"/>
    <n v="57800"/>
  </r>
  <r>
    <s v="1875"/>
    <x v="613"/>
    <n v="3"/>
    <x v="9"/>
    <x v="7"/>
    <x v="1"/>
    <x v="2"/>
    <n v="15900"/>
    <n v="9"/>
    <n v="143100"/>
  </r>
  <r>
    <s v="1876"/>
    <x v="613"/>
    <n v="16"/>
    <x v="4"/>
    <x v="3"/>
    <x v="3"/>
    <x v="0"/>
    <n v="19900"/>
    <n v="8"/>
    <n v="159200"/>
  </r>
  <r>
    <s v="1877"/>
    <x v="613"/>
    <n v="1"/>
    <x v="1"/>
    <x v="1"/>
    <x v="1"/>
    <x v="4"/>
    <n v="39900"/>
    <n v="3"/>
    <n v="119700"/>
  </r>
  <r>
    <s v="1878"/>
    <x v="613"/>
    <n v="9"/>
    <x v="2"/>
    <x v="2"/>
    <x v="2"/>
    <x v="3"/>
    <n v="6900"/>
    <n v="1"/>
    <n v="6900"/>
  </r>
  <r>
    <s v="1879"/>
    <x v="613"/>
    <n v="4"/>
    <x v="12"/>
    <x v="7"/>
    <x v="1"/>
    <x v="4"/>
    <n v="39900"/>
    <n v="4"/>
    <n v="159600"/>
  </r>
  <r>
    <s v="1880"/>
    <x v="613"/>
    <n v="11"/>
    <x v="0"/>
    <x v="0"/>
    <x v="0"/>
    <x v="2"/>
    <n v="15900"/>
    <n v="3"/>
    <n v="47700"/>
  </r>
  <r>
    <s v="1881"/>
    <x v="614"/>
    <n v="9"/>
    <x v="2"/>
    <x v="2"/>
    <x v="2"/>
    <x v="3"/>
    <n v="6900"/>
    <n v="8"/>
    <n v="55200"/>
  </r>
  <r>
    <s v="1882"/>
    <x v="614"/>
    <n v="2"/>
    <x v="18"/>
    <x v="1"/>
    <x v="1"/>
    <x v="0"/>
    <n v="19900"/>
    <n v="1"/>
    <n v="19900"/>
  </r>
  <r>
    <s v="1883"/>
    <x v="615"/>
    <n v="8"/>
    <x v="10"/>
    <x v="5"/>
    <x v="2"/>
    <x v="3"/>
    <n v="6900"/>
    <n v="4"/>
    <n v="27600"/>
  </r>
  <r>
    <s v="1884"/>
    <x v="615"/>
    <n v="13"/>
    <x v="5"/>
    <x v="0"/>
    <x v="0"/>
    <x v="4"/>
    <n v="39900"/>
    <n v="4"/>
    <n v="159600"/>
  </r>
  <r>
    <s v="1885"/>
    <x v="615"/>
    <n v="14"/>
    <x v="7"/>
    <x v="6"/>
    <x v="0"/>
    <x v="0"/>
    <n v="19900"/>
    <n v="3"/>
    <n v="59700"/>
  </r>
  <r>
    <s v="1886"/>
    <x v="615"/>
    <n v="10"/>
    <x v="14"/>
    <x v="5"/>
    <x v="2"/>
    <x v="1"/>
    <n v="28900"/>
    <n v="2"/>
    <n v="57800"/>
  </r>
  <r>
    <s v="1887"/>
    <x v="615"/>
    <n v="8"/>
    <x v="10"/>
    <x v="5"/>
    <x v="2"/>
    <x v="4"/>
    <n v="39900"/>
    <n v="1"/>
    <n v="39900"/>
  </r>
  <r>
    <s v="1888"/>
    <x v="615"/>
    <n v="3"/>
    <x v="9"/>
    <x v="1"/>
    <x v="1"/>
    <x v="3"/>
    <n v="6900"/>
    <n v="7"/>
    <n v="48300"/>
  </r>
  <r>
    <s v="1889"/>
    <x v="616"/>
    <n v="18"/>
    <x v="3"/>
    <x v="3"/>
    <x v="3"/>
    <x v="3"/>
    <n v="6900"/>
    <n v="3"/>
    <n v="20700"/>
  </r>
  <r>
    <s v="1890"/>
    <x v="617"/>
    <n v="10"/>
    <x v="14"/>
    <x v="5"/>
    <x v="2"/>
    <x v="0"/>
    <n v="19900"/>
    <n v="5"/>
    <n v="99500"/>
  </r>
  <r>
    <s v="1891"/>
    <x v="617"/>
    <n v="17"/>
    <x v="6"/>
    <x v="4"/>
    <x v="3"/>
    <x v="2"/>
    <n v="15900"/>
    <n v="7"/>
    <n v="111300"/>
  </r>
  <r>
    <s v="1892"/>
    <x v="618"/>
    <n v="5"/>
    <x v="15"/>
    <x v="1"/>
    <x v="1"/>
    <x v="4"/>
    <n v="39900"/>
    <n v="9"/>
    <n v="359100"/>
  </r>
  <r>
    <s v="1893"/>
    <x v="618"/>
    <n v="15"/>
    <x v="19"/>
    <x v="6"/>
    <x v="0"/>
    <x v="0"/>
    <n v="19900"/>
    <n v="1"/>
    <n v="19900"/>
  </r>
  <r>
    <s v="1894"/>
    <x v="619"/>
    <n v="8"/>
    <x v="10"/>
    <x v="5"/>
    <x v="2"/>
    <x v="2"/>
    <n v="15900"/>
    <n v="0"/>
    <n v="0"/>
  </r>
  <r>
    <s v="1895"/>
    <x v="619"/>
    <n v="15"/>
    <x v="19"/>
    <x v="6"/>
    <x v="0"/>
    <x v="4"/>
    <n v="39900"/>
    <n v="1"/>
    <n v="39900"/>
  </r>
  <r>
    <s v="1896"/>
    <x v="619"/>
    <n v="20"/>
    <x v="8"/>
    <x v="4"/>
    <x v="3"/>
    <x v="1"/>
    <n v="28900"/>
    <n v="0"/>
    <n v="0"/>
  </r>
  <r>
    <s v="1897"/>
    <x v="619"/>
    <n v="1"/>
    <x v="1"/>
    <x v="1"/>
    <x v="1"/>
    <x v="2"/>
    <n v="15900"/>
    <n v="3"/>
    <n v="47700"/>
  </r>
  <r>
    <s v="1898"/>
    <x v="620"/>
    <n v="3"/>
    <x v="9"/>
    <x v="7"/>
    <x v="1"/>
    <x v="0"/>
    <n v="19900"/>
    <n v="1"/>
    <n v="19900"/>
  </r>
  <r>
    <s v="1899"/>
    <x v="621"/>
    <n v="9"/>
    <x v="2"/>
    <x v="5"/>
    <x v="2"/>
    <x v="0"/>
    <n v="19900"/>
    <n v="0"/>
    <n v="0"/>
  </r>
  <r>
    <s v="1900"/>
    <x v="622"/>
    <n v="2"/>
    <x v="18"/>
    <x v="1"/>
    <x v="1"/>
    <x v="0"/>
    <n v="19900"/>
    <n v="6"/>
    <n v="119400"/>
  </r>
  <r>
    <s v="1901"/>
    <x v="623"/>
    <n v="18"/>
    <x v="3"/>
    <x v="4"/>
    <x v="3"/>
    <x v="4"/>
    <n v="39900"/>
    <n v="3"/>
    <n v="119700"/>
  </r>
  <r>
    <s v="1902"/>
    <x v="623"/>
    <n v="14"/>
    <x v="7"/>
    <x v="0"/>
    <x v="0"/>
    <x v="4"/>
    <n v="39900"/>
    <n v="8"/>
    <n v="319200"/>
  </r>
  <r>
    <s v="1903"/>
    <x v="623"/>
    <n v="15"/>
    <x v="19"/>
    <x v="6"/>
    <x v="0"/>
    <x v="4"/>
    <n v="39900"/>
    <n v="0"/>
    <n v="0"/>
  </r>
  <r>
    <s v="1904"/>
    <x v="624"/>
    <n v="15"/>
    <x v="19"/>
    <x v="6"/>
    <x v="0"/>
    <x v="4"/>
    <n v="39900"/>
    <n v="2"/>
    <n v="79800"/>
  </r>
  <r>
    <s v="1905"/>
    <x v="624"/>
    <n v="14"/>
    <x v="7"/>
    <x v="6"/>
    <x v="0"/>
    <x v="3"/>
    <n v="6900"/>
    <n v="5"/>
    <n v="34500"/>
  </r>
  <r>
    <s v="1906"/>
    <x v="624"/>
    <n v="16"/>
    <x v="4"/>
    <x v="4"/>
    <x v="3"/>
    <x v="3"/>
    <n v="6900"/>
    <n v="8"/>
    <n v="55200"/>
  </r>
  <r>
    <s v="1907"/>
    <x v="624"/>
    <n v="1"/>
    <x v="1"/>
    <x v="1"/>
    <x v="1"/>
    <x v="3"/>
    <n v="6900"/>
    <n v="2"/>
    <n v="13800"/>
  </r>
  <r>
    <s v="1908"/>
    <x v="625"/>
    <n v="20"/>
    <x v="8"/>
    <x v="4"/>
    <x v="3"/>
    <x v="0"/>
    <n v="19900"/>
    <n v="7"/>
    <n v="139300"/>
  </r>
  <r>
    <s v="1909"/>
    <x v="625"/>
    <n v="15"/>
    <x v="19"/>
    <x v="6"/>
    <x v="0"/>
    <x v="3"/>
    <n v="6900"/>
    <n v="8"/>
    <n v="55200"/>
  </r>
  <r>
    <s v="1910"/>
    <x v="625"/>
    <n v="14"/>
    <x v="7"/>
    <x v="0"/>
    <x v="0"/>
    <x v="2"/>
    <n v="15900"/>
    <n v="7"/>
    <n v="111300"/>
  </r>
  <r>
    <s v="1911"/>
    <x v="625"/>
    <n v="1"/>
    <x v="1"/>
    <x v="7"/>
    <x v="1"/>
    <x v="4"/>
    <n v="39900"/>
    <n v="6"/>
    <n v="239400"/>
  </r>
  <r>
    <s v="1912"/>
    <x v="626"/>
    <n v="6"/>
    <x v="11"/>
    <x v="2"/>
    <x v="2"/>
    <x v="1"/>
    <n v="28900"/>
    <n v="7"/>
    <n v="202300"/>
  </r>
  <r>
    <s v="1913"/>
    <x v="626"/>
    <n v="16"/>
    <x v="4"/>
    <x v="3"/>
    <x v="3"/>
    <x v="3"/>
    <n v="6900"/>
    <n v="5"/>
    <n v="34500"/>
  </r>
  <r>
    <s v="1914"/>
    <x v="626"/>
    <n v="9"/>
    <x v="2"/>
    <x v="5"/>
    <x v="2"/>
    <x v="3"/>
    <n v="6900"/>
    <n v="0"/>
    <n v="0"/>
  </r>
  <r>
    <s v="1915"/>
    <x v="626"/>
    <n v="11"/>
    <x v="0"/>
    <x v="0"/>
    <x v="0"/>
    <x v="0"/>
    <n v="19900"/>
    <n v="9"/>
    <n v="179100"/>
  </r>
  <r>
    <s v="1916"/>
    <x v="627"/>
    <n v="5"/>
    <x v="15"/>
    <x v="1"/>
    <x v="1"/>
    <x v="4"/>
    <n v="39900"/>
    <n v="4"/>
    <n v="159600"/>
  </r>
  <r>
    <s v="1917"/>
    <x v="627"/>
    <n v="4"/>
    <x v="12"/>
    <x v="1"/>
    <x v="1"/>
    <x v="1"/>
    <n v="28900"/>
    <n v="8"/>
    <n v="231200"/>
  </r>
  <r>
    <s v="1918"/>
    <x v="627"/>
    <n v="1"/>
    <x v="1"/>
    <x v="1"/>
    <x v="1"/>
    <x v="4"/>
    <n v="39900"/>
    <n v="1"/>
    <n v="39900"/>
  </r>
  <r>
    <s v="1919"/>
    <x v="627"/>
    <n v="11"/>
    <x v="0"/>
    <x v="6"/>
    <x v="0"/>
    <x v="0"/>
    <n v="19900"/>
    <n v="4"/>
    <n v="79600"/>
  </r>
  <r>
    <s v="1920"/>
    <x v="627"/>
    <n v="10"/>
    <x v="14"/>
    <x v="5"/>
    <x v="2"/>
    <x v="2"/>
    <n v="15900"/>
    <n v="9"/>
    <n v="143100"/>
  </r>
  <r>
    <s v="1921"/>
    <x v="627"/>
    <n v="17"/>
    <x v="6"/>
    <x v="3"/>
    <x v="3"/>
    <x v="4"/>
    <n v="39900"/>
    <n v="1"/>
    <n v="39900"/>
  </r>
  <r>
    <s v="1922"/>
    <x v="627"/>
    <n v="8"/>
    <x v="10"/>
    <x v="2"/>
    <x v="2"/>
    <x v="4"/>
    <n v="39900"/>
    <n v="3"/>
    <n v="119700"/>
  </r>
  <r>
    <s v="1923"/>
    <x v="627"/>
    <n v="12"/>
    <x v="16"/>
    <x v="6"/>
    <x v="0"/>
    <x v="2"/>
    <n v="15900"/>
    <n v="8"/>
    <n v="127200"/>
  </r>
  <r>
    <s v="1924"/>
    <x v="627"/>
    <n v="6"/>
    <x v="11"/>
    <x v="2"/>
    <x v="2"/>
    <x v="0"/>
    <n v="19900"/>
    <n v="0"/>
    <n v="0"/>
  </r>
  <r>
    <s v="1925"/>
    <x v="628"/>
    <n v="19"/>
    <x v="13"/>
    <x v="3"/>
    <x v="3"/>
    <x v="1"/>
    <n v="28900"/>
    <n v="1"/>
    <n v="28900"/>
  </r>
  <r>
    <s v="1926"/>
    <x v="629"/>
    <n v="1"/>
    <x v="1"/>
    <x v="1"/>
    <x v="1"/>
    <x v="0"/>
    <n v="19900"/>
    <n v="3"/>
    <n v="59700"/>
  </r>
  <r>
    <s v="1927"/>
    <x v="629"/>
    <n v="6"/>
    <x v="11"/>
    <x v="5"/>
    <x v="2"/>
    <x v="1"/>
    <n v="28900"/>
    <n v="2"/>
    <n v="57800"/>
  </r>
  <r>
    <s v="1928"/>
    <x v="629"/>
    <n v="13"/>
    <x v="5"/>
    <x v="6"/>
    <x v="0"/>
    <x v="4"/>
    <n v="39900"/>
    <n v="6"/>
    <n v="239400"/>
  </r>
  <r>
    <s v="1929"/>
    <x v="629"/>
    <n v="9"/>
    <x v="2"/>
    <x v="5"/>
    <x v="2"/>
    <x v="0"/>
    <n v="19900"/>
    <n v="3"/>
    <n v="59700"/>
  </r>
  <r>
    <s v="1930"/>
    <x v="630"/>
    <n v="4"/>
    <x v="12"/>
    <x v="1"/>
    <x v="1"/>
    <x v="4"/>
    <n v="39900"/>
    <n v="7"/>
    <n v="279300"/>
  </r>
  <r>
    <s v="1931"/>
    <x v="630"/>
    <n v="2"/>
    <x v="18"/>
    <x v="1"/>
    <x v="1"/>
    <x v="4"/>
    <n v="39900"/>
    <n v="0"/>
    <n v="0"/>
  </r>
  <r>
    <s v="1932"/>
    <x v="631"/>
    <n v="7"/>
    <x v="17"/>
    <x v="2"/>
    <x v="2"/>
    <x v="2"/>
    <n v="15900"/>
    <n v="5"/>
    <n v="79500"/>
  </r>
  <r>
    <s v="1933"/>
    <x v="631"/>
    <n v="2"/>
    <x v="18"/>
    <x v="7"/>
    <x v="1"/>
    <x v="2"/>
    <n v="15900"/>
    <n v="7"/>
    <n v="111300"/>
  </r>
  <r>
    <s v="1934"/>
    <x v="632"/>
    <n v="6"/>
    <x v="11"/>
    <x v="5"/>
    <x v="2"/>
    <x v="1"/>
    <n v="28900"/>
    <n v="8"/>
    <n v="231200"/>
  </r>
  <r>
    <s v="1935"/>
    <x v="632"/>
    <n v="12"/>
    <x v="16"/>
    <x v="0"/>
    <x v="0"/>
    <x v="1"/>
    <n v="28900"/>
    <n v="5"/>
    <n v="144500"/>
  </r>
  <r>
    <s v="1936"/>
    <x v="633"/>
    <n v="17"/>
    <x v="6"/>
    <x v="4"/>
    <x v="3"/>
    <x v="1"/>
    <n v="28900"/>
    <n v="6"/>
    <n v="173400"/>
  </r>
  <r>
    <s v="1937"/>
    <x v="634"/>
    <n v="15"/>
    <x v="19"/>
    <x v="0"/>
    <x v="0"/>
    <x v="1"/>
    <n v="28900"/>
    <n v="2"/>
    <n v="57800"/>
  </r>
  <r>
    <s v="1938"/>
    <x v="634"/>
    <n v="13"/>
    <x v="5"/>
    <x v="6"/>
    <x v="0"/>
    <x v="1"/>
    <n v="28900"/>
    <n v="5"/>
    <n v="144500"/>
  </r>
  <r>
    <s v="1939"/>
    <x v="634"/>
    <n v="13"/>
    <x v="5"/>
    <x v="6"/>
    <x v="0"/>
    <x v="4"/>
    <n v="39900"/>
    <n v="6"/>
    <n v="239400"/>
  </r>
  <r>
    <s v="1940"/>
    <x v="635"/>
    <n v="12"/>
    <x v="16"/>
    <x v="0"/>
    <x v="0"/>
    <x v="2"/>
    <n v="15900"/>
    <n v="1"/>
    <n v="15900"/>
  </r>
  <r>
    <s v="1941"/>
    <x v="635"/>
    <n v="11"/>
    <x v="0"/>
    <x v="6"/>
    <x v="0"/>
    <x v="3"/>
    <n v="6900"/>
    <n v="3"/>
    <n v="20700"/>
  </r>
  <r>
    <s v="1942"/>
    <x v="635"/>
    <n v="4"/>
    <x v="12"/>
    <x v="1"/>
    <x v="1"/>
    <x v="0"/>
    <n v="19900"/>
    <n v="0"/>
    <n v="0"/>
  </r>
  <r>
    <s v="1943"/>
    <x v="636"/>
    <n v="18"/>
    <x v="3"/>
    <x v="3"/>
    <x v="3"/>
    <x v="3"/>
    <n v="6900"/>
    <n v="3"/>
    <n v="20700"/>
  </r>
  <r>
    <s v="1944"/>
    <x v="636"/>
    <n v="12"/>
    <x v="16"/>
    <x v="6"/>
    <x v="0"/>
    <x v="0"/>
    <n v="19900"/>
    <n v="2"/>
    <n v="39800"/>
  </r>
  <r>
    <s v="1945"/>
    <x v="636"/>
    <n v="19"/>
    <x v="13"/>
    <x v="3"/>
    <x v="3"/>
    <x v="1"/>
    <n v="28900"/>
    <n v="0"/>
    <n v="0"/>
  </r>
  <r>
    <s v="1946"/>
    <x v="636"/>
    <n v="16"/>
    <x v="4"/>
    <x v="4"/>
    <x v="3"/>
    <x v="0"/>
    <n v="19900"/>
    <n v="4"/>
    <n v="79600"/>
  </r>
  <r>
    <s v="1947"/>
    <x v="636"/>
    <n v="19"/>
    <x v="13"/>
    <x v="4"/>
    <x v="3"/>
    <x v="0"/>
    <n v="19900"/>
    <n v="2"/>
    <n v="39800"/>
  </r>
  <r>
    <s v="1948"/>
    <x v="636"/>
    <n v="1"/>
    <x v="1"/>
    <x v="1"/>
    <x v="1"/>
    <x v="1"/>
    <n v="28900"/>
    <n v="8"/>
    <n v="231200"/>
  </r>
  <r>
    <s v="1949"/>
    <x v="636"/>
    <n v="9"/>
    <x v="2"/>
    <x v="2"/>
    <x v="2"/>
    <x v="4"/>
    <n v="39900"/>
    <n v="4"/>
    <n v="159600"/>
  </r>
  <r>
    <s v="1950"/>
    <x v="637"/>
    <n v="9"/>
    <x v="2"/>
    <x v="5"/>
    <x v="2"/>
    <x v="3"/>
    <n v="6900"/>
    <n v="7"/>
    <n v="48300"/>
  </r>
  <r>
    <s v="1951"/>
    <x v="638"/>
    <n v="20"/>
    <x v="8"/>
    <x v="3"/>
    <x v="3"/>
    <x v="2"/>
    <n v="15900"/>
    <n v="1"/>
    <n v="15900"/>
  </r>
  <r>
    <s v="1952"/>
    <x v="638"/>
    <n v="8"/>
    <x v="10"/>
    <x v="2"/>
    <x v="2"/>
    <x v="1"/>
    <n v="28900"/>
    <n v="5"/>
    <n v="144500"/>
  </r>
  <r>
    <s v="1953"/>
    <x v="638"/>
    <n v="18"/>
    <x v="3"/>
    <x v="4"/>
    <x v="3"/>
    <x v="3"/>
    <n v="6900"/>
    <n v="0"/>
    <n v="0"/>
  </r>
  <r>
    <s v="1954"/>
    <x v="638"/>
    <n v="2"/>
    <x v="18"/>
    <x v="1"/>
    <x v="1"/>
    <x v="4"/>
    <n v="39900"/>
    <n v="2"/>
    <n v="79800"/>
  </r>
  <r>
    <s v="1955"/>
    <x v="639"/>
    <n v="10"/>
    <x v="14"/>
    <x v="2"/>
    <x v="2"/>
    <x v="0"/>
    <n v="19900"/>
    <n v="7"/>
    <n v="139300"/>
  </r>
  <r>
    <s v="1956"/>
    <x v="639"/>
    <n v="13"/>
    <x v="5"/>
    <x v="6"/>
    <x v="0"/>
    <x v="2"/>
    <n v="15900"/>
    <n v="5"/>
    <n v="79500"/>
  </r>
  <r>
    <s v="1957"/>
    <x v="639"/>
    <n v="17"/>
    <x v="6"/>
    <x v="3"/>
    <x v="3"/>
    <x v="1"/>
    <n v="28900"/>
    <n v="6"/>
    <n v="173400"/>
  </r>
  <r>
    <s v="1958"/>
    <x v="640"/>
    <n v="8"/>
    <x v="10"/>
    <x v="5"/>
    <x v="2"/>
    <x v="4"/>
    <n v="39900"/>
    <n v="3"/>
    <n v="119700"/>
  </r>
  <r>
    <s v="1959"/>
    <x v="640"/>
    <n v="12"/>
    <x v="16"/>
    <x v="0"/>
    <x v="0"/>
    <x v="3"/>
    <n v="6900"/>
    <n v="7"/>
    <n v="48300"/>
  </r>
  <r>
    <s v="1960"/>
    <x v="641"/>
    <n v="19"/>
    <x v="13"/>
    <x v="4"/>
    <x v="3"/>
    <x v="2"/>
    <n v="15900"/>
    <n v="3"/>
    <n v="47700"/>
  </r>
  <r>
    <s v="1961"/>
    <x v="641"/>
    <n v="9"/>
    <x v="2"/>
    <x v="2"/>
    <x v="2"/>
    <x v="1"/>
    <n v="28900"/>
    <n v="8"/>
    <n v="231200"/>
  </r>
  <r>
    <s v="1962"/>
    <x v="641"/>
    <n v="20"/>
    <x v="8"/>
    <x v="3"/>
    <x v="3"/>
    <x v="4"/>
    <n v="39900"/>
    <n v="3"/>
    <n v="119700"/>
  </r>
  <r>
    <s v="1963"/>
    <x v="642"/>
    <n v="20"/>
    <x v="8"/>
    <x v="4"/>
    <x v="3"/>
    <x v="1"/>
    <n v="28900"/>
    <n v="1"/>
    <n v="28900"/>
  </r>
  <r>
    <s v="1964"/>
    <x v="642"/>
    <n v="4"/>
    <x v="12"/>
    <x v="1"/>
    <x v="1"/>
    <x v="1"/>
    <n v="28900"/>
    <n v="3"/>
    <n v="86700"/>
  </r>
  <r>
    <s v="1965"/>
    <x v="642"/>
    <n v="4"/>
    <x v="12"/>
    <x v="7"/>
    <x v="1"/>
    <x v="0"/>
    <n v="19900"/>
    <n v="2"/>
    <n v="39800"/>
  </r>
  <r>
    <s v="1966"/>
    <x v="642"/>
    <n v="15"/>
    <x v="19"/>
    <x v="0"/>
    <x v="0"/>
    <x v="4"/>
    <n v="39900"/>
    <n v="0"/>
    <n v="0"/>
  </r>
  <r>
    <s v="1967"/>
    <x v="642"/>
    <n v="20"/>
    <x v="8"/>
    <x v="4"/>
    <x v="3"/>
    <x v="4"/>
    <n v="39900"/>
    <n v="9"/>
    <n v="359100"/>
  </r>
  <r>
    <s v="1968"/>
    <x v="642"/>
    <n v="1"/>
    <x v="1"/>
    <x v="7"/>
    <x v="1"/>
    <x v="3"/>
    <n v="6900"/>
    <n v="2"/>
    <n v="13800"/>
  </r>
  <r>
    <s v="1969"/>
    <x v="642"/>
    <n v="3"/>
    <x v="9"/>
    <x v="7"/>
    <x v="1"/>
    <x v="0"/>
    <n v="19900"/>
    <n v="1"/>
    <n v="19900"/>
  </r>
  <r>
    <s v="1970"/>
    <x v="642"/>
    <n v="11"/>
    <x v="0"/>
    <x v="6"/>
    <x v="0"/>
    <x v="4"/>
    <n v="39900"/>
    <n v="2"/>
    <n v="79800"/>
  </r>
  <r>
    <s v="1971"/>
    <x v="642"/>
    <n v="17"/>
    <x v="6"/>
    <x v="3"/>
    <x v="3"/>
    <x v="3"/>
    <n v="6900"/>
    <n v="6"/>
    <n v="41400"/>
  </r>
  <r>
    <s v="1972"/>
    <x v="642"/>
    <n v="8"/>
    <x v="10"/>
    <x v="2"/>
    <x v="2"/>
    <x v="3"/>
    <n v="6900"/>
    <n v="0"/>
    <n v="0"/>
  </r>
  <r>
    <s v="1973"/>
    <x v="642"/>
    <n v="12"/>
    <x v="16"/>
    <x v="0"/>
    <x v="0"/>
    <x v="4"/>
    <n v="39900"/>
    <n v="6"/>
    <n v="239400"/>
  </r>
  <r>
    <s v="1974"/>
    <x v="643"/>
    <n v="19"/>
    <x v="13"/>
    <x v="3"/>
    <x v="3"/>
    <x v="1"/>
    <n v="28900"/>
    <n v="1"/>
    <n v="28900"/>
  </r>
  <r>
    <s v="1975"/>
    <x v="644"/>
    <n v="6"/>
    <x v="11"/>
    <x v="2"/>
    <x v="2"/>
    <x v="2"/>
    <n v="15900"/>
    <n v="4"/>
    <n v="63600"/>
  </r>
  <r>
    <s v="1976"/>
    <x v="644"/>
    <n v="15"/>
    <x v="19"/>
    <x v="0"/>
    <x v="0"/>
    <x v="2"/>
    <n v="15900"/>
    <n v="1"/>
    <n v="15900"/>
  </r>
  <r>
    <s v="1977"/>
    <x v="645"/>
    <n v="10"/>
    <x v="14"/>
    <x v="2"/>
    <x v="2"/>
    <x v="2"/>
    <n v="15900"/>
    <n v="6"/>
    <n v="95400"/>
  </r>
  <r>
    <s v="1978"/>
    <x v="645"/>
    <n v="14"/>
    <x v="7"/>
    <x v="6"/>
    <x v="0"/>
    <x v="0"/>
    <n v="19900"/>
    <n v="0"/>
    <n v="0"/>
  </r>
  <r>
    <s v="1979"/>
    <x v="646"/>
    <n v="11"/>
    <x v="0"/>
    <x v="6"/>
    <x v="0"/>
    <x v="2"/>
    <n v="15900"/>
    <n v="0"/>
    <n v="0"/>
  </r>
  <r>
    <s v="1980"/>
    <x v="646"/>
    <n v="17"/>
    <x v="6"/>
    <x v="3"/>
    <x v="3"/>
    <x v="3"/>
    <n v="6900"/>
    <n v="4"/>
    <n v="27600"/>
  </r>
  <r>
    <s v="1981"/>
    <x v="646"/>
    <n v="12"/>
    <x v="16"/>
    <x v="0"/>
    <x v="0"/>
    <x v="1"/>
    <n v="28900"/>
    <n v="0"/>
    <n v="0"/>
  </r>
  <r>
    <s v="1982"/>
    <x v="646"/>
    <n v="15"/>
    <x v="19"/>
    <x v="6"/>
    <x v="0"/>
    <x v="3"/>
    <n v="6900"/>
    <n v="1"/>
    <n v="6900"/>
  </r>
  <r>
    <s v="1983"/>
    <x v="647"/>
    <n v="3"/>
    <x v="9"/>
    <x v="7"/>
    <x v="1"/>
    <x v="4"/>
    <n v="39900"/>
    <n v="1"/>
    <n v="39900"/>
  </r>
  <r>
    <s v="1984"/>
    <x v="648"/>
    <n v="20"/>
    <x v="8"/>
    <x v="3"/>
    <x v="3"/>
    <x v="0"/>
    <n v="19900"/>
    <n v="1"/>
    <n v="19900"/>
  </r>
  <r>
    <s v="1985"/>
    <x v="649"/>
    <n v="13"/>
    <x v="5"/>
    <x v="0"/>
    <x v="0"/>
    <x v="4"/>
    <n v="39900"/>
    <n v="3"/>
    <n v="119700"/>
  </r>
  <r>
    <s v="1986"/>
    <x v="649"/>
    <n v="1"/>
    <x v="1"/>
    <x v="1"/>
    <x v="1"/>
    <x v="3"/>
    <n v="6900"/>
    <n v="8"/>
    <n v="55200"/>
  </r>
  <r>
    <s v="1987"/>
    <x v="650"/>
    <n v="9"/>
    <x v="2"/>
    <x v="2"/>
    <x v="2"/>
    <x v="1"/>
    <n v="28900"/>
    <n v="0"/>
    <n v="0"/>
  </r>
  <r>
    <s v="1988"/>
    <x v="650"/>
    <n v="2"/>
    <x v="18"/>
    <x v="7"/>
    <x v="1"/>
    <x v="0"/>
    <n v="19900"/>
    <n v="5"/>
    <n v="99500"/>
  </r>
  <r>
    <s v="1989"/>
    <x v="650"/>
    <n v="12"/>
    <x v="16"/>
    <x v="6"/>
    <x v="0"/>
    <x v="1"/>
    <n v="28900"/>
    <n v="3"/>
    <n v="86700"/>
  </r>
  <r>
    <s v="1990"/>
    <x v="650"/>
    <n v="11"/>
    <x v="0"/>
    <x v="0"/>
    <x v="0"/>
    <x v="0"/>
    <n v="19900"/>
    <n v="4"/>
    <n v="79600"/>
  </r>
  <r>
    <s v="1991"/>
    <x v="651"/>
    <n v="3"/>
    <x v="9"/>
    <x v="1"/>
    <x v="1"/>
    <x v="0"/>
    <n v="19900"/>
    <n v="7"/>
    <n v="139300"/>
  </r>
  <r>
    <s v="1992"/>
    <x v="652"/>
    <n v="5"/>
    <x v="15"/>
    <x v="1"/>
    <x v="1"/>
    <x v="2"/>
    <n v="15900"/>
    <n v="7"/>
    <n v="111300"/>
  </r>
  <r>
    <s v="1993"/>
    <x v="653"/>
    <n v="15"/>
    <x v="19"/>
    <x v="6"/>
    <x v="0"/>
    <x v="0"/>
    <n v="19900"/>
    <n v="1"/>
    <n v="19900"/>
  </r>
  <r>
    <s v="1994"/>
    <x v="653"/>
    <n v="3"/>
    <x v="9"/>
    <x v="1"/>
    <x v="1"/>
    <x v="3"/>
    <n v="6900"/>
    <n v="3"/>
    <n v="20700"/>
  </r>
  <r>
    <s v="1995"/>
    <x v="653"/>
    <n v="1"/>
    <x v="1"/>
    <x v="1"/>
    <x v="1"/>
    <x v="0"/>
    <n v="19900"/>
    <n v="8"/>
    <n v="159200"/>
  </r>
  <r>
    <s v="1996"/>
    <x v="653"/>
    <n v="9"/>
    <x v="2"/>
    <x v="5"/>
    <x v="2"/>
    <x v="3"/>
    <n v="6900"/>
    <n v="8"/>
    <n v="55200"/>
  </r>
  <r>
    <s v="1997"/>
    <x v="653"/>
    <n v="5"/>
    <x v="15"/>
    <x v="7"/>
    <x v="1"/>
    <x v="3"/>
    <n v="6900"/>
    <n v="6"/>
    <n v="41400"/>
  </r>
  <r>
    <s v="1998"/>
    <x v="653"/>
    <n v="3"/>
    <x v="9"/>
    <x v="7"/>
    <x v="1"/>
    <x v="4"/>
    <n v="39900"/>
    <n v="6"/>
    <n v="239400"/>
  </r>
  <r>
    <s v="1999"/>
    <x v="653"/>
    <n v="6"/>
    <x v="11"/>
    <x v="5"/>
    <x v="2"/>
    <x v="1"/>
    <n v="28900"/>
    <n v="1"/>
    <n v="28900"/>
  </r>
  <r>
    <s v="2000"/>
    <x v="653"/>
    <n v="14"/>
    <x v="7"/>
    <x v="0"/>
    <x v="0"/>
    <x v="0"/>
    <n v="19900"/>
    <n v="4"/>
    <n v="796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9069B3-2478-4484-A0A7-61CD8061B6A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28" firstHeaderRow="1" firstDataRow="1" firstDataCol="1"/>
  <pivotFields count="13">
    <pivotField showAll="0"/>
    <pivotField numFmtId="14" showAll="0">
      <items count="6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t="default"/>
      </items>
    </pivotField>
    <pivotField showAll="0"/>
    <pivotField showAll="0"/>
    <pivotField showAll="0">
      <items count="9">
        <item x="1"/>
        <item x="2"/>
        <item x="0"/>
        <item x="5"/>
        <item x="4"/>
        <item x="7"/>
        <item x="3"/>
        <item x="6"/>
        <item t="default"/>
      </items>
    </pivotField>
    <pivotField showAll="0">
      <items count="5">
        <item x="0"/>
        <item x="3"/>
        <item x="2"/>
        <item x="1"/>
        <item t="default"/>
      </items>
    </pivotField>
    <pivotField showAll="0">
      <items count="6">
        <item x="0"/>
        <item x="3"/>
        <item x="4"/>
        <item x="1"/>
        <item x="2"/>
        <item t="default"/>
      </items>
    </pivotField>
    <pivotField showAll="0"/>
    <pivotField showAll="0"/>
    <pivotField dataField="1" numFmtI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h="1" sd="0" x="0"/>
        <item x="1"/>
        <item x="2"/>
        <item h="1" sd="0" x="3"/>
        <item t="default"/>
      </items>
    </pivotField>
  </pivotFields>
  <rowFields count="2">
    <field x="12"/>
    <field x="10"/>
  </rowFields>
  <rowItems count="25">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t="grand">
      <x/>
    </i>
  </rowItems>
  <colItems count="1">
    <i/>
  </colItems>
  <dataFields count="1">
    <dataField name="Sum of Revenue" fld="9"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F80DD9-C1B6-49C6-B513-07F6ECB85CE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4:B29" firstHeaderRow="1" firstDataRow="1" firstDataCol="1"/>
  <pivotFields count="13">
    <pivotField showAll="0"/>
    <pivotField numFmtId="14" showAll="0">
      <items count="6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t="default"/>
      </items>
    </pivotField>
    <pivotField showAll="0"/>
    <pivotField showAll="0"/>
    <pivotField showAll="0">
      <items count="9">
        <item x="1"/>
        <item x="2"/>
        <item x="0"/>
        <item x="5"/>
        <item x="4"/>
        <item x="7"/>
        <item x="3"/>
        <item x="6"/>
        <item t="default"/>
      </items>
    </pivotField>
    <pivotField showAll="0">
      <items count="5">
        <item x="0"/>
        <item x="3"/>
        <item x="2"/>
        <item x="1"/>
        <item t="default"/>
      </items>
    </pivotField>
    <pivotField showAll="0">
      <items count="6">
        <item x="0"/>
        <item x="3"/>
        <item x="4"/>
        <item x="1"/>
        <item x="2"/>
        <item t="default"/>
      </items>
    </pivotField>
    <pivotField showAll="0"/>
    <pivotField dataField="1" showAll="0"/>
    <pivotField numFmtI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h="1" sd="0" x="0"/>
        <item x="1"/>
        <item x="2"/>
        <item h="1" sd="0" x="3"/>
        <item t="default"/>
      </items>
    </pivotField>
  </pivotFields>
  <rowFields count="2">
    <field x="12"/>
    <field x="10"/>
  </rowFields>
  <rowItems count="25">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t="grand">
      <x/>
    </i>
  </rowItems>
  <colItems count="1">
    <i/>
  </colItems>
  <dataFields count="1">
    <dataField name="Sum of Quantity" fld="8" baseField="0" baseItem="0"/>
  </dataFields>
  <chartFormats count="2">
    <chartFormat chart="18" format="0"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DA192D1-2267-43A4-855B-E7E4FD4EF51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5" firstHeaderRow="1" firstDataRow="2" firstDataCol="1"/>
  <pivotFields count="13">
    <pivotField showAll="0"/>
    <pivotField numFmtId="14" showAll="0">
      <items count="6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t="default"/>
      </items>
    </pivotField>
    <pivotField showAll="0"/>
    <pivotField showAll="0"/>
    <pivotField showAll="0">
      <items count="9">
        <item x="1"/>
        <item x="2"/>
        <item x="0"/>
        <item x="5"/>
        <item x="4"/>
        <item x="7"/>
        <item x="3"/>
        <item x="6"/>
        <item t="default"/>
      </items>
    </pivotField>
    <pivotField axis="axisCol" showAll="0">
      <items count="5">
        <item x="0"/>
        <item x="3"/>
        <item x="2"/>
        <item x="1"/>
        <item t="default"/>
      </items>
    </pivotField>
    <pivotField showAll="0">
      <items count="6">
        <item x="0"/>
        <item x="3"/>
        <item x="4"/>
        <item x="1"/>
        <item x="2"/>
        <item t="default"/>
      </items>
    </pivotField>
    <pivotField showAll="0"/>
    <pivotField showAll="0"/>
    <pivotField dataField="1" numFmtId="1" showAll="0"/>
    <pivotField showAll="0" defaultSubtotal="0"/>
    <pivotField showAll="0" defaultSubtotal="0"/>
    <pivotField showAll="0" defaultSubtotal="0">
      <items count="4">
        <item h="1" x="0"/>
        <item x="1"/>
        <item x="2"/>
        <item h="1" x="3"/>
      </items>
    </pivotField>
  </pivotFields>
  <rowItems count="1">
    <i/>
  </rowItems>
  <colFields count="1">
    <field x="5"/>
  </colFields>
  <colItems count="5">
    <i>
      <x/>
    </i>
    <i>
      <x v="1"/>
    </i>
    <i>
      <x v="2"/>
    </i>
    <i>
      <x v="3"/>
    </i>
    <i t="grand">
      <x/>
    </i>
  </colItems>
  <dataFields count="1">
    <dataField name="Sum of Revenu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89601E7-90BB-43A8-B920-3D7A34621DE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5" firstHeaderRow="1" firstDataRow="2" firstDataCol="1"/>
  <pivotFields count="13">
    <pivotField showAll="0"/>
    <pivotField numFmtId="14" showAll="0">
      <items count="6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t="default"/>
      </items>
    </pivotField>
    <pivotField showAll="0"/>
    <pivotField showAll="0"/>
    <pivotField showAll="0">
      <items count="9">
        <item x="1"/>
        <item x="2"/>
        <item x="0"/>
        <item x="5"/>
        <item x="4"/>
        <item x="7"/>
        <item x="3"/>
        <item x="6"/>
        <item t="default"/>
      </items>
    </pivotField>
    <pivotField axis="axisCol" showAll="0">
      <items count="5">
        <item x="0"/>
        <item x="3"/>
        <item x="2"/>
        <item x="1"/>
        <item t="default"/>
      </items>
    </pivotField>
    <pivotField showAll="0">
      <items count="6">
        <item x="0"/>
        <item x="3"/>
        <item x="4"/>
        <item x="1"/>
        <item x="2"/>
        <item t="default"/>
      </items>
    </pivotField>
    <pivotField showAll="0"/>
    <pivotField dataField="1" showAll="0"/>
    <pivotField numFmtId="1" showAll="0"/>
    <pivotField showAll="0" defaultSubtotal="0"/>
    <pivotField showAll="0" defaultSubtotal="0"/>
    <pivotField showAll="0" defaultSubtotal="0">
      <items count="4">
        <item h="1" x="0"/>
        <item x="1"/>
        <item x="2"/>
        <item h="1" x="3"/>
      </items>
    </pivotField>
  </pivotFields>
  <rowItems count="1">
    <i/>
  </rowItems>
  <colFields count="1">
    <field x="5"/>
  </colFields>
  <colItems count="5">
    <i>
      <x/>
    </i>
    <i>
      <x v="1"/>
    </i>
    <i>
      <x v="2"/>
    </i>
    <i>
      <x v="3"/>
    </i>
    <i t="grand">
      <x/>
    </i>
  </colItems>
  <dataFields count="1">
    <dataField name="Sum of Quantity"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353D3B-89FD-491D-A055-9DFCCE310E8D}"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J7" firstHeaderRow="1" firstDataRow="2" firstDataCol="1"/>
  <pivotFields count="13">
    <pivotField showAll="0"/>
    <pivotField numFmtId="14" showAll="0">
      <items count="6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t="default"/>
      </items>
    </pivotField>
    <pivotField showAll="0"/>
    <pivotField showAll="0"/>
    <pivotField axis="axisCol" showAll="0">
      <items count="9">
        <item x="1"/>
        <item x="2"/>
        <item x="0"/>
        <item x="5"/>
        <item x="4"/>
        <item x="7"/>
        <item x="3"/>
        <item x="6"/>
        <item t="default"/>
      </items>
    </pivotField>
    <pivotField showAll="0">
      <items count="5">
        <item x="0"/>
        <item x="3"/>
        <item x="2"/>
        <item x="1"/>
        <item t="default"/>
      </items>
    </pivotField>
    <pivotField showAll="0">
      <items count="6">
        <item x="0"/>
        <item x="3"/>
        <item x="4"/>
        <item x="1"/>
        <item x="2"/>
        <item t="default"/>
      </items>
    </pivotField>
    <pivotField showAll="0"/>
    <pivotField showAll="0"/>
    <pivotField dataField="1" numFmtId="1" showAll="0"/>
    <pivotField showAll="0" defaultSubtotal="0"/>
    <pivotField showAll="0" defaultSubtotal="0"/>
    <pivotField axis="axisRow" showAll="0" defaultSubtotal="0">
      <items count="4">
        <item h="1" x="0"/>
        <item x="1"/>
        <item x="2"/>
        <item h="1" x="3"/>
      </items>
    </pivotField>
  </pivotFields>
  <rowFields count="1">
    <field x="12"/>
  </rowFields>
  <rowItems count="3">
    <i>
      <x v="1"/>
    </i>
    <i>
      <x v="2"/>
    </i>
    <i t="grand">
      <x/>
    </i>
  </rowItems>
  <colFields count="1">
    <field x="4"/>
  </colFields>
  <colItems count="9">
    <i>
      <x/>
    </i>
    <i>
      <x v="1"/>
    </i>
    <i>
      <x v="2"/>
    </i>
    <i>
      <x v="3"/>
    </i>
    <i>
      <x v="4"/>
    </i>
    <i>
      <x v="5"/>
    </i>
    <i>
      <x v="6"/>
    </i>
    <i>
      <x v="7"/>
    </i>
    <i t="grand">
      <x/>
    </i>
  </colItems>
  <dataFields count="1">
    <dataField name="Sum of Revenue" fld="9" baseField="0" baseItem="0"/>
  </dataFields>
  <chartFormats count="16">
    <chartFormat chart="2" format="0" series="1">
      <pivotArea type="data" outline="0" fieldPosition="0">
        <references count="2">
          <reference field="4294967294" count="1" selected="0">
            <x v="0"/>
          </reference>
          <reference field="4" count="1" selected="0">
            <x v="0"/>
          </reference>
        </references>
      </pivotArea>
    </chartFormat>
    <chartFormat chart="2" format="1" series="1">
      <pivotArea type="data" outline="0" fieldPosition="0">
        <references count="2">
          <reference field="4294967294" count="1" selected="0">
            <x v="0"/>
          </reference>
          <reference field="4" count="1" selected="0">
            <x v="1"/>
          </reference>
        </references>
      </pivotArea>
    </chartFormat>
    <chartFormat chart="2" format="2" series="1">
      <pivotArea type="data" outline="0" fieldPosition="0">
        <references count="2">
          <reference field="4294967294" count="1" selected="0">
            <x v="0"/>
          </reference>
          <reference field="4" count="1" selected="0">
            <x v="2"/>
          </reference>
        </references>
      </pivotArea>
    </chartFormat>
    <chartFormat chart="2" format="3" series="1">
      <pivotArea type="data" outline="0" fieldPosition="0">
        <references count="2">
          <reference field="4294967294" count="1" selected="0">
            <x v="0"/>
          </reference>
          <reference field="4" count="1" selected="0">
            <x v="3"/>
          </reference>
        </references>
      </pivotArea>
    </chartFormat>
    <chartFormat chart="2" format="4" series="1">
      <pivotArea type="data" outline="0" fieldPosition="0">
        <references count="2">
          <reference field="4294967294" count="1" selected="0">
            <x v="0"/>
          </reference>
          <reference field="4" count="1" selected="0">
            <x v="4"/>
          </reference>
        </references>
      </pivotArea>
    </chartFormat>
    <chartFormat chart="2" format="5" series="1">
      <pivotArea type="data" outline="0" fieldPosition="0">
        <references count="2">
          <reference field="4294967294" count="1" selected="0">
            <x v="0"/>
          </reference>
          <reference field="4" count="1" selected="0">
            <x v="5"/>
          </reference>
        </references>
      </pivotArea>
    </chartFormat>
    <chartFormat chart="2" format="6" series="1">
      <pivotArea type="data" outline="0" fieldPosition="0">
        <references count="2">
          <reference field="4294967294" count="1" selected="0">
            <x v="0"/>
          </reference>
          <reference field="4" count="1" selected="0">
            <x v="6"/>
          </reference>
        </references>
      </pivotArea>
    </chartFormat>
    <chartFormat chart="2" format="7" series="1">
      <pivotArea type="data" outline="0" fieldPosition="0">
        <references count="2">
          <reference field="4294967294" count="1" selected="0">
            <x v="0"/>
          </reference>
          <reference field="4" count="1" selected="0">
            <x v="7"/>
          </reference>
        </references>
      </pivotArea>
    </chartFormat>
    <chartFormat chart="4" format="16" series="1">
      <pivotArea type="data" outline="0" fieldPosition="0">
        <references count="2">
          <reference field="4294967294" count="1" selected="0">
            <x v="0"/>
          </reference>
          <reference field="4" count="1" selected="0">
            <x v="0"/>
          </reference>
        </references>
      </pivotArea>
    </chartFormat>
    <chartFormat chart="4" format="17" series="1">
      <pivotArea type="data" outline="0" fieldPosition="0">
        <references count="2">
          <reference field="4294967294" count="1" selected="0">
            <x v="0"/>
          </reference>
          <reference field="4" count="1" selected="0">
            <x v="1"/>
          </reference>
        </references>
      </pivotArea>
    </chartFormat>
    <chartFormat chart="4" format="18" series="1">
      <pivotArea type="data" outline="0" fieldPosition="0">
        <references count="2">
          <reference field="4294967294" count="1" selected="0">
            <x v="0"/>
          </reference>
          <reference field="4" count="1" selected="0">
            <x v="2"/>
          </reference>
        </references>
      </pivotArea>
    </chartFormat>
    <chartFormat chart="4" format="19" series="1">
      <pivotArea type="data" outline="0" fieldPosition="0">
        <references count="2">
          <reference field="4294967294" count="1" selected="0">
            <x v="0"/>
          </reference>
          <reference field="4" count="1" selected="0">
            <x v="3"/>
          </reference>
        </references>
      </pivotArea>
    </chartFormat>
    <chartFormat chart="4" format="20" series="1">
      <pivotArea type="data" outline="0" fieldPosition="0">
        <references count="2">
          <reference field="4294967294" count="1" selected="0">
            <x v="0"/>
          </reference>
          <reference field="4" count="1" selected="0">
            <x v="4"/>
          </reference>
        </references>
      </pivotArea>
    </chartFormat>
    <chartFormat chart="4" format="21" series="1">
      <pivotArea type="data" outline="0" fieldPosition="0">
        <references count="2">
          <reference field="4294967294" count="1" selected="0">
            <x v="0"/>
          </reference>
          <reference field="4" count="1" selected="0">
            <x v="5"/>
          </reference>
        </references>
      </pivotArea>
    </chartFormat>
    <chartFormat chart="4" format="22" series="1">
      <pivotArea type="data" outline="0" fieldPosition="0">
        <references count="2">
          <reference field="4294967294" count="1" selected="0">
            <x v="0"/>
          </reference>
          <reference field="4" count="1" selected="0">
            <x v="6"/>
          </reference>
        </references>
      </pivotArea>
    </chartFormat>
    <chartFormat chart="4" format="23" series="1">
      <pivotArea type="data" outline="0" fieldPosition="0">
        <references count="2">
          <reference field="4294967294" count="1" selected="0">
            <x v="0"/>
          </reference>
          <reference field="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2930797-45AE-497B-AD3B-3C545A06F1A5}"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J7" firstHeaderRow="1" firstDataRow="2" firstDataCol="1"/>
  <pivotFields count="13">
    <pivotField showAll="0"/>
    <pivotField numFmtId="14" showAll="0">
      <items count="6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t="default"/>
      </items>
    </pivotField>
    <pivotField showAll="0"/>
    <pivotField showAll="0"/>
    <pivotField axis="axisCol" showAll="0">
      <items count="9">
        <item x="1"/>
        <item x="2"/>
        <item x="0"/>
        <item x="5"/>
        <item x="4"/>
        <item x="7"/>
        <item x="3"/>
        <item x="6"/>
        <item t="default"/>
      </items>
    </pivotField>
    <pivotField showAll="0">
      <items count="5">
        <item x="0"/>
        <item x="3"/>
        <item x="2"/>
        <item x="1"/>
        <item t="default"/>
      </items>
    </pivotField>
    <pivotField showAll="0">
      <items count="6">
        <item x="0"/>
        <item x="3"/>
        <item x="4"/>
        <item x="1"/>
        <item x="2"/>
        <item t="default"/>
      </items>
    </pivotField>
    <pivotField showAll="0"/>
    <pivotField dataField="1" showAll="0"/>
    <pivotField numFmtId="1" showAll="0"/>
    <pivotField showAll="0" defaultSubtotal="0"/>
    <pivotField showAll="0" defaultSubtotal="0"/>
    <pivotField axis="axisRow" showAll="0" defaultSubtotal="0">
      <items count="4">
        <item h="1" x="0"/>
        <item x="1"/>
        <item x="2"/>
        <item h="1" x="3"/>
      </items>
    </pivotField>
  </pivotFields>
  <rowFields count="1">
    <field x="12"/>
  </rowFields>
  <rowItems count="3">
    <i>
      <x v="1"/>
    </i>
    <i>
      <x v="2"/>
    </i>
    <i t="grand">
      <x/>
    </i>
  </rowItems>
  <colFields count="1">
    <field x="4"/>
  </colFields>
  <colItems count="9">
    <i>
      <x/>
    </i>
    <i>
      <x v="1"/>
    </i>
    <i>
      <x v="2"/>
    </i>
    <i>
      <x v="3"/>
    </i>
    <i>
      <x v="4"/>
    </i>
    <i>
      <x v="5"/>
    </i>
    <i>
      <x v="6"/>
    </i>
    <i>
      <x v="7"/>
    </i>
    <i t="grand">
      <x/>
    </i>
  </colItems>
  <dataFields count="1">
    <dataField name="Sum of Quantity" fld="8" baseField="0" baseItem="0"/>
  </dataFields>
  <chartFormats count="16">
    <chartFormat chart="5" format="0" series="1">
      <pivotArea type="data" outline="0" fieldPosition="0">
        <references count="2">
          <reference field="4294967294" count="1" selected="0">
            <x v="0"/>
          </reference>
          <reference field="4" count="1" selected="0">
            <x v="0"/>
          </reference>
        </references>
      </pivotArea>
    </chartFormat>
    <chartFormat chart="5" format="1" series="1">
      <pivotArea type="data" outline="0" fieldPosition="0">
        <references count="2">
          <reference field="4294967294" count="1" selected="0">
            <x v="0"/>
          </reference>
          <reference field="4" count="1" selected="0">
            <x v="1"/>
          </reference>
        </references>
      </pivotArea>
    </chartFormat>
    <chartFormat chart="5" format="2" series="1">
      <pivotArea type="data" outline="0" fieldPosition="0">
        <references count="2">
          <reference field="4294967294" count="1" selected="0">
            <x v="0"/>
          </reference>
          <reference field="4" count="1" selected="0">
            <x v="2"/>
          </reference>
        </references>
      </pivotArea>
    </chartFormat>
    <chartFormat chart="5" format="3" series="1">
      <pivotArea type="data" outline="0" fieldPosition="0">
        <references count="2">
          <reference field="4294967294" count="1" selected="0">
            <x v="0"/>
          </reference>
          <reference field="4" count="1" selected="0">
            <x v="3"/>
          </reference>
        </references>
      </pivotArea>
    </chartFormat>
    <chartFormat chart="5" format="4" series="1">
      <pivotArea type="data" outline="0" fieldPosition="0">
        <references count="2">
          <reference field="4294967294" count="1" selected="0">
            <x v="0"/>
          </reference>
          <reference field="4" count="1" selected="0">
            <x v="4"/>
          </reference>
        </references>
      </pivotArea>
    </chartFormat>
    <chartFormat chart="5" format="5" series="1">
      <pivotArea type="data" outline="0" fieldPosition="0">
        <references count="2">
          <reference field="4294967294" count="1" selected="0">
            <x v="0"/>
          </reference>
          <reference field="4" count="1" selected="0">
            <x v="5"/>
          </reference>
        </references>
      </pivotArea>
    </chartFormat>
    <chartFormat chart="5" format="6" series="1">
      <pivotArea type="data" outline="0" fieldPosition="0">
        <references count="2">
          <reference field="4294967294" count="1" selected="0">
            <x v="0"/>
          </reference>
          <reference field="4" count="1" selected="0">
            <x v="6"/>
          </reference>
        </references>
      </pivotArea>
    </chartFormat>
    <chartFormat chart="5" format="7" series="1">
      <pivotArea type="data" outline="0" fieldPosition="0">
        <references count="2">
          <reference field="4294967294" count="1" selected="0">
            <x v="0"/>
          </reference>
          <reference field="4" count="1" selected="0">
            <x v="7"/>
          </reference>
        </references>
      </pivotArea>
    </chartFormat>
    <chartFormat chart="7" format="16" series="1">
      <pivotArea type="data" outline="0" fieldPosition="0">
        <references count="2">
          <reference field="4294967294" count="1" selected="0">
            <x v="0"/>
          </reference>
          <reference field="4" count="1" selected="0">
            <x v="0"/>
          </reference>
        </references>
      </pivotArea>
    </chartFormat>
    <chartFormat chart="7" format="17" series="1">
      <pivotArea type="data" outline="0" fieldPosition="0">
        <references count="2">
          <reference field="4294967294" count="1" selected="0">
            <x v="0"/>
          </reference>
          <reference field="4" count="1" selected="0">
            <x v="1"/>
          </reference>
        </references>
      </pivotArea>
    </chartFormat>
    <chartFormat chart="7" format="18" series="1">
      <pivotArea type="data" outline="0" fieldPosition="0">
        <references count="2">
          <reference field="4294967294" count="1" selected="0">
            <x v="0"/>
          </reference>
          <reference field="4" count="1" selected="0">
            <x v="2"/>
          </reference>
        </references>
      </pivotArea>
    </chartFormat>
    <chartFormat chart="7" format="19" series="1">
      <pivotArea type="data" outline="0" fieldPosition="0">
        <references count="2">
          <reference field="4294967294" count="1" selected="0">
            <x v="0"/>
          </reference>
          <reference field="4" count="1" selected="0">
            <x v="3"/>
          </reference>
        </references>
      </pivotArea>
    </chartFormat>
    <chartFormat chart="7" format="20" series="1">
      <pivotArea type="data" outline="0" fieldPosition="0">
        <references count="2">
          <reference field="4294967294" count="1" selected="0">
            <x v="0"/>
          </reference>
          <reference field="4" count="1" selected="0">
            <x v="4"/>
          </reference>
        </references>
      </pivotArea>
    </chartFormat>
    <chartFormat chart="7" format="21" series="1">
      <pivotArea type="data" outline="0" fieldPosition="0">
        <references count="2">
          <reference field="4294967294" count="1" selected="0">
            <x v="0"/>
          </reference>
          <reference field="4" count="1" selected="0">
            <x v="5"/>
          </reference>
        </references>
      </pivotArea>
    </chartFormat>
    <chartFormat chart="7" format="22" series="1">
      <pivotArea type="data" outline="0" fieldPosition="0">
        <references count="2">
          <reference field="4294967294" count="1" selected="0">
            <x v="0"/>
          </reference>
          <reference field="4" count="1" selected="0">
            <x v="6"/>
          </reference>
        </references>
      </pivotArea>
    </chartFormat>
    <chartFormat chart="7" format="23" series="1">
      <pivotArea type="data" outline="0" fieldPosition="0">
        <references count="2">
          <reference field="4294967294" count="1" selected="0">
            <x v="0"/>
          </reference>
          <reference field="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1BAD12B-6DBB-49E4-9DE5-45D4777165F1}"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9" firstHeaderRow="1" firstDataRow="1" firstDataCol="1"/>
  <pivotFields count="13">
    <pivotField showAll="0"/>
    <pivotField numFmtId="14" showAll="0">
      <items count="6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t="default"/>
      </items>
    </pivotField>
    <pivotField showAll="0"/>
    <pivotField showAll="0"/>
    <pivotField showAll="0">
      <items count="9">
        <item x="1"/>
        <item x="2"/>
        <item x="0"/>
        <item x="5"/>
        <item x="4"/>
        <item x="7"/>
        <item x="3"/>
        <item x="6"/>
        <item t="default"/>
      </items>
    </pivotField>
    <pivotField showAll="0">
      <items count="5">
        <item x="0"/>
        <item x="3"/>
        <item x="2"/>
        <item x="1"/>
        <item t="default"/>
      </items>
    </pivotField>
    <pivotField axis="axisRow" showAll="0">
      <items count="6">
        <item x="0"/>
        <item x="3"/>
        <item x="4"/>
        <item x="1"/>
        <item x="2"/>
        <item t="default"/>
      </items>
    </pivotField>
    <pivotField showAll="0"/>
    <pivotField showAll="0"/>
    <pivotField dataField="1" numFmtId="1" showAll="0"/>
    <pivotField showAll="0" defaultSubtotal="0"/>
    <pivotField showAll="0" defaultSubtotal="0"/>
    <pivotField showAll="0" defaultSubtotal="0">
      <items count="4">
        <item h="1" x="0"/>
        <item x="1"/>
        <item x="2"/>
        <item h="1" x="3"/>
      </items>
    </pivotField>
  </pivotFields>
  <rowFields count="1">
    <field x="6"/>
  </rowFields>
  <rowItems count="6">
    <i>
      <x/>
    </i>
    <i>
      <x v="1"/>
    </i>
    <i>
      <x v="2"/>
    </i>
    <i>
      <x v="3"/>
    </i>
    <i>
      <x v="4"/>
    </i>
    <i t="grand">
      <x/>
    </i>
  </rowItems>
  <colItems count="1">
    <i/>
  </colItems>
  <dataFields count="1">
    <dataField name="Sum of Revenue" fld="9" baseField="0" baseItem="0"/>
  </dataFields>
  <chartFormats count="12">
    <chartFormat chart="0" format="0"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6" count="1" selected="0">
            <x v="0"/>
          </reference>
        </references>
      </pivotArea>
    </chartFormat>
    <chartFormat chart="2" format="9">
      <pivotArea type="data" outline="0" fieldPosition="0">
        <references count="2">
          <reference field="4294967294" count="1" selected="0">
            <x v="0"/>
          </reference>
          <reference field="6" count="1" selected="0">
            <x v="1"/>
          </reference>
        </references>
      </pivotArea>
    </chartFormat>
    <chartFormat chart="2" format="10">
      <pivotArea type="data" outline="0" fieldPosition="0">
        <references count="2">
          <reference field="4294967294" count="1" selected="0">
            <x v="0"/>
          </reference>
          <reference field="6" count="1" selected="0">
            <x v="2"/>
          </reference>
        </references>
      </pivotArea>
    </chartFormat>
    <chartFormat chart="2" format="11">
      <pivotArea type="data" outline="0" fieldPosition="0">
        <references count="2">
          <reference field="4294967294" count="1" selected="0">
            <x v="0"/>
          </reference>
          <reference field="6" count="1" selected="0">
            <x v="3"/>
          </reference>
        </references>
      </pivotArea>
    </chartFormat>
    <chartFormat chart="2" format="12">
      <pivotArea type="data" outline="0" fieldPosition="0">
        <references count="2">
          <reference field="4294967294" count="1" selected="0">
            <x v="0"/>
          </reference>
          <reference field="6" count="1" selected="0">
            <x v="4"/>
          </reference>
        </references>
      </pivotArea>
    </chartFormat>
    <chartFormat chart="0" format="6">
      <pivotArea type="data" outline="0" fieldPosition="0">
        <references count="2">
          <reference field="4294967294" count="1" selected="0">
            <x v="0"/>
          </reference>
          <reference field="6" count="1" selected="0">
            <x v="0"/>
          </reference>
        </references>
      </pivotArea>
    </chartFormat>
    <chartFormat chart="0" format="7">
      <pivotArea type="data" outline="0" fieldPosition="0">
        <references count="2">
          <reference field="4294967294" count="1" selected="0">
            <x v="0"/>
          </reference>
          <reference field="6" count="1" selected="0">
            <x v="1"/>
          </reference>
        </references>
      </pivotArea>
    </chartFormat>
    <chartFormat chart="0" format="8">
      <pivotArea type="data" outline="0" fieldPosition="0">
        <references count="2">
          <reference field="4294967294" count="1" selected="0">
            <x v="0"/>
          </reference>
          <reference field="6" count="1" selected="0">
            <x v="2"/>
          </reference>
        </references>
      </pivotArea>
    </chartFormat>
    <chartFormat chart="0" format="9">
      <pivotArea type="data" outline="0" fieldPosition="0">
        <references count="2">
          <reference field="4294967294" count="1" selected="0">
            <x v="0"/>
          </reference>
          <reference field="6" count="1" selected="0">
            <x v="3"/>
          </reference>
        </references>
      </pivotArea>
    </chartFormat>
    <chartFormat chart="0" format="10">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53A75D0-7B90-41D6-A1E0-9EDE02C879A8}"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3">
    <pivotField showAll="0"/>
    <pivotField numFmtId="14" showAll="0">
      <items count="6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t="default"/>
      </items>
    </pivotField>
    <pivotField showAll="0"/>
    <pivotField showAll="0"/>
    <pivotField showAll="0">
      <items count="9">
        <item x="1"/>
        <item x="2"/>
        <item x="0"/>
        <item x="5"/>
        <item x="4"/>
        <item x="7"/>
        <item x="3"/>
        <item x="6"/>
        <item t="default"/>
      </items>
    </pivotField>
    <pivotField showAll="0">
      <items count="5">
        <item x="0"/>
        <item x="3"/>
        <item x="2"/>
        <item x="1"/>
        <item t="default"/>
      </items>
    </pivotField>
    <pivotField axis="axisRow" showAll="0">
      <items count="6">
        <item x="0"/>
        <item x="3"/>
        <item x="4"/>
        <item x="1"/>
        <item x="2"/>
        <item t="default"/>
      </items>
    </pivotField>
    <pivotField showAll="0"/>
    <pivotField dataField="1" showAll="0"/>
    <pivotField numFmtId="1" showAll="0"/>
    <pivotField showAll="0" defaultSubtotal="0"/>
    <pivotField showAll="0" defaultSubtotal="0"/>
    <pivotField showAll="0" defaultSubtotal="0">
      <items count="4">
        <item h="1" x="0"/>
        <item x="1"/>
        <item x="2"/>
        <item h="1" x="3"/>
      </items>
    </pivotField>
  </pivotFields>
  <rowFields count="1">
    <field x="6"/>
  </rowFields>
  <rowItems count="6">
    <i>
      <x/>
    </i>
    <i>
      <x v="1"/>
    </i>
    <i>
      <x v="2"/>
    </i>
    <i>
      <x v="3"/>
    </i>
    <i>
      <x v="4"/>
    </i>
    <i t="grand">
      <x/>
    </i>
  </rowItems>
  <colItems count="1">
    <i/>
  </colItems>
  <dataFields count="1">
    <dataField name="Sum of Quantity" fld="8" baseField="0" baseItem="0"/>
  </dataFields>
  <chartFormats count="12">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6" count="1" selected="0">
            <x v="0"/>
          </reference>
        </references>
      </pivotArea>
    </chartFormat>
    <chartFormat chart="3" format="2">
      <pivotArea type="data" outline="0" fieldPosition="0">
        <references count="2">
          <reference field="4294967294" count="1" selected="0">
            <x v="0"/>
          </reference>
          <reference field="6" count="1" selected="0">
            <x v="1"/>
          </reference>
        </references>
      </pivotArea>
    </chartFormat>
    <chartFormat chart="3" format="3">
      <pivotArea type="data" outline="0" fieldPosition="0">
        <references count="2">
          <reference field="4294967294" count="1" selected="0">
            <x v="0"/>
          </reference>
          <reference field="6" count="1" selected="0">
            <x v="2"/>
          </reference>
        </references>
      </pivotArea>
    </chartFormat>
    <chartFormat chart="3" format="4">
      <pivotArea type="data" outline="0" fieldPosition="0">
        <references count="2">
          <reference field="4294967294" count="1" selected="0">
            <x v="0"/>
          </reference>
          <reference field="6" count="1" selected="0">
            <x v="3"/>
          </reference>
        </references>
      </pivotArea>
    </chartFormat>
    <chartFormat chart="3" format="5">
      <pivotArea type="data" outline="0" fieldPosition="0">
        <references count="2">
          <reference field="4294967294" count="1" selected="0">
            <x v="0"/>
          </reference>
          <reference field="6" count="1" selected="0">
            <x v="4"/>
          </reference>
        </references>
      </pivotArea>
    </chartFormat>
    <chartFormat chart="5" format="12" series="1">
      <pivotArea type="data" outline="0" fieldPosition="0">
        <references count="1">
          <reference field="4294967294" count="1" selected="0">
            <x v="0"/>
          </reference>
        </references>
      </pivotArea>
    </chartFormat>
    <chartFormat chart="5" format="13">
      <pivotArea type="data" outline="0" fieldPosition="0">
        <references count="2">
          <reference field="4294967294" count="1" selected="0">
            <x v="0"/>
          </reference>
          <reference field="6" count="1" selected="0">
            <x v="0"/>
          </reference>
        </references>
      </pivotArea>
    </chartFormat>
    <chartFormat chart="5" format="14">
      <pivotArea type="data" outline="0" fieldPosition="0">
        <references count="2">
          <reference field="4294967294" count="1" selected="0">
            <x v="0"/>
          </reference>
          <reference field="6" count="1" selected="0">
            <x v="1"/>
          </reference>
        </references>
      </pivotArea>
    </chartFormat>
    <chartFormat chart="5" format="15">
      <pivotArea type="data" outline="0" fieldPosition="0">
        <references count="2">
          <reference field="4294967294" count="1" selected="0">
            <x v="0"/>
          </reference>
          <reference field="6" count="1" selected="0">
            <x v="2"/>
          </reference>
        </references>
      </pivotArea>
    </chartFormat>
    <chartFormat chart="5" format="16">
      <pivotArea type="data" outline="0" fieldPosition="0">
        <references count="2">
          <reference field="4294967294" count="1" selected="0">
            <x v="0"/>
          </reference>
          <reference field="6" count="1" selected="0">
            <x v="3"/>
          </reference>
        </references>
      </pivotArea>
    </chartFormat>
    <chartFormat chart="5" format="17">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F90B7B2-46E7-48C4-BE35-FC5071513471}" name="PivotTable1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24" firstHeaderRow="1" firstDataRow="1" firstDataCol="1"/>
  <pivotFields count="13">
    <pivotField showAll="0"/>
    <pivotField numFmtId="14" showAll="0">
      <items count="6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t="default"/>
      </items>
    </pivotField>
    <pivotField showAll="0"/>
    <pivotField axis="axisRow" showAll="0">
      <items count="21">
        <item x="5"/>
        <item x="12"/>
        <item x="13"/>
        <item x="16"/>
        <item x="2"/>
        <item x="6"/>
        <item x="17"/>
        <item x="9"/>
        <item x="7"/>
        <item x="19"/>
        <item x="15"/>
        <item x="0"/>
        <item x="18"/>
        <item x="1"/>
        <item x="3"/>
        <item x="4"/>
        <item x="8"/>
        <item x="11"/>
        <item x="14"/>
        <item x="10"/>
        <item t="default"/>
      </items>
    </pivotField>
    <pivotField showAll="0">
      <items count="9">
        <item x="1"/>
        <item x="2"/>
        <item x="0"/>
        <item x="5"/>
        <item x="4"/>
        <item x="7"/>
        <item x="3"/>
        <item x="6"/>
        <item t="default"/>
      </items>
    </pivotField>
    <pivotField showAll="0">
      <items count="5">
        <item x="0"/>
        <item x="3"/>
        <item x="2"/>
        <item x="1"/>
        <item t="default"/>
      </items>
    </pivotField>
    <pivotField showAll="0">
      <items count="6">
        <item x="0"/>
        <item x="3"/>
        <item x="4"/>
        <item x="1"/>
        <item x="2"/>
        <item t="default"/>
      </items>
    </pivotField>
    <pivotField showAll="0"/>
    <pivotField showAll="0"/>
    <pivotField dataField="1" numFmtId="1" showAll="0"/>
    <pivotField showAll="0" defaultSubtotal="0"/>
    <pivotField showAll="0" defaultSubtotal="0"/>
    <pivotField showAll="0" defaultSubtotal="0">
      <items count="4">
        <item h="1" x="0"/>
        <item x="1"/>
        <item x="2"/>
        <item h="1" x="3"/>
      </items>
    </pivotField>
  </pivotFields>
  <rowFields count="1">
    <field x="3"/>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Revenue" fld="9"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1CDF3A2-7122-4289-AA32-002DA2111068}"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24" firstHeaderRow="1" firstDataRow="1" firstDataCol="1"/>
  <pivotFields count="13">
    <pivotField showAll="0"/>
    <pivotField numFmtId="14" showAll="0">
      <items count="6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t="default"/>
      </items>
    </pivotField>
    <pivotField showAll="0"/>
    <pivotField axis="axisRow" showAll="0">
      <items count="21">
        <item x="5"/>
        <item x="12"/>
        <item x="13"/>
        <item x="16"/>
        <item x="2"/>
        <item x="6"/>
        <item x="17"/>
        <item x="9"/>
        <item x="7"/>
        <item x="19"/>
        <item x="15"/>
        <item x="0"/>
        <item x="18"/>
        <item x="1"/>
        <item x="3"/>
        <item x="4"/>
        <item x="8"/>
        <item x="11"/>
        <item x="14"/>
        <item x="10"/>
        <item t="default"/>
      </items>
    </pivotField>
    <pivotField showAll="0">
      <items count="9">
        <item x="1"/>
        <item x="2"/>
        <item x="0"/>
        <item x="5"/>
        <item x="4"/>
        <item x="7"/>
        <item x="3"/>
        <item x="6"/>
        <item t="default"/>
      </items>
    </pivotField>
    <pivotField showAll="0">
      <items count="5">
        <item x="0"/>
        <item x="3"/>
        <item x="2"/>
        <item x="1"/>
        <item t="default"/>
      </items>
    </pivotField>
    <pivotField showAll="0">
      <items count="6">
        <item x="0"/>
        <item x="3"/>
        <item x="4"/>
        <item x="1"/>
        <item x="2"/>
        <item t="default"/>
      </items>
    </pivotField>
    <pivotField showAll="0"/>
    <pivotField dataField="1" showAll="0"/>
    <pivotField numFmtId="1" showAll="0"/>
    <pivotField showAll="0" defaultSubtotal="0"/>
    <pivotField showAll="0" defaultSubtotal="0"/>
    <pivotField showAll="0" defaultSubtotal="0">
      <items count="4">
        <item h="1" x="0"/>
        <item x="1"/>
        <item x="2"/>
        <item h="1" x="3"/>
      </items>
    </pivotField>
  </pivotFields>
  <rowFields count="1">
    <field x="3"/>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Quantity" fld="8" baseField="0" baseItem="0"/>
  </dataField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Person" xr10:uid="{5C389D7F-196C-4F5D-8237-33597A3E3042}" sourceName="Sales Person">
  <pivotTables>
    <pivotTable tabId="6" name="PivotTable3"/>
    <pivotTable tabId="10" name="PivotTable15"/>
    <pivotTable tabId="9" name="PivotTable14"/>
    <pivotTable tabId="8" name="PivotTable13"/>
    <pivotTable tabId="7" name="PivotTable4"/>
    <pivotTable tabId="11" name="PivotTable2"/>
    <pivotTable tabId="12" name="PivotTable3"/>
    <pivotTable tabId="13" name="PivotTable8"/>
    <pivotTable tabId="14" name="PivotTable9"/>
    <pivotTable tabId="15" name="PivotTable10"/>
  </pivotTables>
  <data>
    <tabular pivotCacheId="1422646570">
      <items count="8">
        <i x="1" s="1"/>
        <i x="2" s="1"/>
        <i x="0" s="1"/>
        <i x="5" s="1"/>
        <i x="4" s="1"/>
        <i x="7" s="1"/>
        <i x="3" s="1"/>
        <i x="6"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8DEF794-0A4C-4FE5-9295-9A2230452798}" sourceName="Region">
  <pivotTables>
    <pivotTable tabId="6" name="PivotTable3"/>
    <pivotTable tabId="10" name="PivotTable15"/>
    <pivotTable tabId="9" name="PivotTable14"/>
    <pivotTable tabId="8" name="PivotTable13"/>
    <pivotTable tabId="7" name="PivotTable4"/>
    <pivotTable tabId="11" name="PivotTable2"/>
    <pivotTable tabId="12" name="PivotTable3"/>
    <pivotTable tabId="13" name="PivotTable8"/>
    <pivotTable tabId="14" name="PivotTable9"/>
    <pivotTable tabId="15" name="PivotTable10"/>
  </pivotTables>
  <data>
    <tabular pivotCacheId="1422646570">
      <items count="4">
        <i x="0" s="1"/>
        <i x="3"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D61FE78B-CB77-498E-B785-78824C3A2C4B}" sourceName="Item">
  <pivotTables>
    <pivotTable tabId="6" name="PivotTable3"/>
    <pivotTable tabId="10" name="PivotTable15"/>
    <pivotTable tabId="9" name="PivotTable14"/>
    <pivotTable tabId="8" name="PivotTable13"/>
    <pivotTable tabId="7" name="PivotTable4"/>
    <pivotTable tabId="11" name="PivotTable2"/>
    <pivotTable tabId="12" name="PivotTable3"/>
    <pivotTable tabId="13" name="PivotTable8"/>
    <pivotTable tabId="14" name="PivotTable9"/>
    <pivotTable tabId="15" name="PivotTable10"/>
  </pivotTables>
  <data>
    <tabular pivotCacheId="1422646570">
      <items count="5">
        <i x="0" s="1"/>
        <i x="3" s="1"/>
        <i x="4"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4CDA896C-D5A0-4FAB-827B-3E07B42BFCF1}" sourceName="Years (Date)">
  <pivotTables>
    <pivotTable tabId="6" name="PivotTable3"/>
    <pivotTable tabId="10" name="PivotTable15"/>
    <pivotTable tabId="9" name="PivotTable14"/>
    <pivotTable tabId="8" name="PivotTable13"/>
    <pivotTable tabId="7" name="PivotTable4"/>
    <pivotTable tabId="11" name="PivotTable2"/>
    <pivotTable tabId="12" name="PivotTable3"/>
    <pivotTable tabId="13" name="PivotTable8"/>
    <pivotTable tabId="14" name="PivotTable9"/>
    <pivotTable tabId="15" name="PivotTable10"/>
  </pivotTables>
  <data>
    <tabular pivotCacheId="1422646570">
      <items count="4">
        <i x="1" s="1"/>
        <i x="2" s="1"/>
        <i x="0" nd="1"/>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Person" xr10:uid="{30140E55-EE0B-417D-8851-3CE22DC75527}" cache="Slicer_Sales_Person" caption="Sales Person" columnCount="4" showCaption="0" style="SlicerStyleLight1 2" rowHeight="144000"/>
  <slicer name="Region" xr10:uid="{9A72AAB0-0F6F-42A3-9781-053307F130BC}" cache="Slicer_Region" caption="Region" columnCount="2" showCaption="0" style="SlicerStyleLight1 2" rowHeight="144000"/>
  <slicer name="Item" xr10:uid="{4E370193-1C3D-42F1-B325-211D98422BDF}" cache="Slicer_Item" caption="Item" columnCount="3" showCaption="0" style="SlicerStyleLight1 2" rowHeight="144000"/>
  <slicer name="Years (Date)" xr10:uid="{479F2A09-E11F-418C-89AA-919C3C6F6ED8}" cache="Slicer_Years__Date" caption="Years (Date)" showCaption="0" style="SlicerStyleLight1 2"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21CA30-3952-45DF-9056-5C455095E9BB}" name="Table1" displayName="Table1" ref="A1:J2001" totalsRowShown="0" headerRowDxfId="11" dataDxfId="10">
  <autoFilter ref="A1:J2001" xr:uid="{D021CA30-3952-45DF-9056-5C455095E9BB}"/>
  <tableColumns count="10">
    <tableColumn id="1" xr3:uid="{83AB768F-E284-4758-A9D9-F4D93BF8EB23}" name="Order ID" dataDxfId="9"/>
    <tableColumn id="2" xr3:uid="{710D2F0B-E78F-4E70-A11D-E1800FCFCFF9}" name="Date" dataDxfId="8"/>
    <tableColumn id="3" xr3:uid="{75FAE541-6662-425E-B077-78773FC74D27}" name="Customer ID" dataDxfId="7"/>
    <tableColumn id="4" xr3:uid="{1BDAB45F-C0DC-4E86-8489-440A9FC1CA55}" name="Customer Name" dataDxfId="6"/>
    <tableColumn id="5" xr3:uid="{BF1C571E-B3BB-4CB5-9CBE-C98708EAA069}" name="Sales Person" dataDxfId="5"/>
    <tableColumn id="6" xr3:uid="{01846E43-B3B6-454F-85DD-911227C1C20A}" name="Region" dataDxfId="4"/>
    <tableColumn id="7" xr3:uid="{D93145D7-745F-4BC2-B4BC-34EA302C3417}" name="Item" dataDxfId="3"/>
    <tableColumn id="8" xr3:uid="{7D068438-AD9C-4620-9D9F-6A5599B8CBA5}" name="Price" dataDxfId="2"/>
    <tableColumn id="9" xr3:uid="{22AFB187-3B6F-423E-BC0B-4BE4C279E454}" name="Quantity" dataDxfId="1"/>
    <tableColumn id="10" xr3:uid="{78C8FF7D-293B-4C4E-8AC5-F074EE812ADE}" name="Revenue" dataDxfId="0"/>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J2002"/>
  <sheetViews>
    <sheetView workbookViewId="0">
      <selection activeCell="L2000" sqref="L2000"/>
    </sheetView>
  </sheetViews>
  <sheetFormatPr defaultRowHeight="14.4" x14ac:dyDescent="0.3"/>
  <cols>
    <col min="1" max="1" width="10.88671875" customWidth="1"/>
    <col min="2" max="2" width="10.33203125" bestFit="1" customWidth="1"/>
    <col min="3" max="3" width="14.44140625" customWidth="1"/>
    <col min="4" max="4" width="23.109375" bestFit="1" customWidth="1"/>
    <col min="5" max="5" width="14.88671875" bestFit="1" customWidth="1"/>
    <col min="6" max="6" width="12.21875" bestFit="1" customWidth="1"/>
    <col min="7" max="7" width="11.33203125" bestFit="1" customWidth="1"/>
    <col min="8" max="8" width="9.6640625" customWidth="1"/>
    <col min="9" max="9" width="11.109375" customWidth="1"/>
    <col min="10" max="10" width="10.88671875" customWidth="1"/>
  </cols>
  <sheetData>
    <row r="1" spans="1:10" ht="15.6" x14ac:dyDescent="0.3">
      <c r="A1" s="1" t="s">
        <v>0</v>
      </c>
      <c r="B1" s="2" t="s">
        <v>1</v>
      </c>
      <c r="C1" s="2" t="s">
        <v>2</v>
      </c>
      <c r="D1" s="2" t="s">
        <v>3</v>
      </c>
      <c r="E1" s="2" t="s">
        <v>4</v>
      </c>
      <c r="F1" s="2" t="s">
        <v>5</v>
      </c>
      <c r="G1" s="2" t="s">
        <v>6</v>
      </c>
      <c r="H1" s="2" t="s">
        <v>7</v>
      </c>
      <c r="I1" s="2" t="s">
        <v>8</v>
      </c>
      <c r="J1" s="2" t="s">
        <v>9</v>
      </c>
    </row>
    <row r="2" spans="1:10" x14ac:dyDescent="0.3">
      <c r="A2" s="3" t="s">
        <v>67</v>
      </c>
      <c r="B2" s="4">
        <v>43101</v>
      </c>
      <c r="C2" s="5">
        <v>11</v>
      </c>
      <c r="D2" s="5" t="s">
        <v>29</v>
      </c>
      <c r="E2" s="5" t="s">
        <v>39</v>
      </c>
      <c r="F2" s="5" t="s">
        <v>16</v>
      </c>
      <c r="G2" s="5" t="s">
        <v>11</v>
      </c>
      <c r="H2" s="5">
        <v>19900</v>
      </c>
      <c r="I2" s="5">
        <v>3</v>
      </c>
      <c r="J2" s="9">
        <v>59700</v>
      </c>
    </row>
    <row r="3" spans="1:10" x14ac:dyDescent="0.3">
      <c r="A3" s="3" t="s">
        <v>68</v>
      </c>
      <c r="B3" s="4">
        <v>43102</v>
      </c>
      <c r="C3" s="5">
        <v>1</v>
      </c>
      <c r="D3" s="5" t="s">
        <v>19</v>
      </c>
      <c r="E3" s="5" t="s">
        <v>40</v>
      </c>
      <c r="F3" s="5" t="s">
        <v>18</v>
      </c>
      <c r="G3" s="5" t="s">
        <v>13</v>
      </c>
      <c r="H3" s="5">
        <v>28900</v>
      </c>
      <c r="I3" s="5">
        <v>7</v>
      </c>
      <c r="J3" s="9">
        <v>202300</v>
      </c>
    </row>
    <row r="4" spans="1:10" x14ac:dyDescent="0.3">
      <c r="A4" s="3" t="s">
        <v>69</v>
      </c>
      <c r="B4" s="4">
        <v>43103</v>
      </c>
      <c r="C4" s="5">
        <v>9</v>
      </c>
      <c r="D4" s="5" t="s">
        <v>27</v>
      </c>
      <c r="E4" s="5" t="s">
        <v>41</v>
      </c>
      <c r="F4" s="5" t="s">
        <v>15</v>
      </c>
      <c r="G4" s="5" t="s">
        <v>14</v>
      </c>
      <c r="H4" s="5">
        <v>15900</v>
      </c>
      <c r="I4" s="5">
        <v>3</v>
      </c>
      <c r="J4" s="9">
        <v>47700</v>
      </c>
    </row>
    <row r="5" spans="1:10" x14ac:dyDescent="0.3">
      <c r="A5" s="3" t="s">
        <v>70</v>
      </c>
      <c r="B5" s="4">
        <v>43103</v>
      </c>
      <c r="C5" s="5">
        <v>18</v>
      </c>
      <c r="D5" s="5" t="s">
        <v>36</v>
      </c>
      <c r="E5" s="5" t="s">
        <v>42</v>
      </c>
      <c r="F5" s="5" t="s">
        <v>17</v>
      </c>
      <c r="G5" s="5" t="s">
        <v>13</v>
      </c>
      <c r="H5" s="5">
        <v>28900</v>
      </c>
      <c r="I5" s="5">
        <v>3</v>
      </c>
      <c r="J5" s="9">
        <v>86700</v>
      </c>
    </row>
    <row r="6" spans="1:10" x14ac:dyDescent="0.3">
      <c r="A6" s="3" t="s">
        <v>71</v>
      </c>
      <c r="B6" s="4">
        <v>43104</v>
      </c>
      <c r="C6" s="5">
        <v>16</v>
      </c>
      <c r="D6" s="5" t="s">
        <v>34</v>
      </c>
      <c r="E6" s="5" t="s">
        <v>42</v>
      </c>
      <c r="F6" s="5" t="s">
        <v>17</v>
      </c>
      <c r="G6" s="5" t="s">
        <v>12</v>
      </c>
      <c r="H6" s="5">
        <v>6900</v>
      </c>
      <c r="I6" s="5">
        <v>4</v>
      </c>
      <c r="J6" s="9">
        <v>27600</v>
      </c>
    </row>
    <row r="7" spans="1:10" x14ac:dyDescent="0.3">
      <c r="A7" s="3" t="s">
        <v>72</v>
      </c>
      <c r="B7" s="4">
        <v>43104</v>
      </c>
      <c r="C7" s="5">
        <v>13</v>
      </c>
      <c r="D7" s="5" t="s">
        <v>31</v>
      </c>
      <c r="E7" s="5" t="s">
        <v>39</v>
      </c>
      <c r="F7" s="5" t="s">
        <v>16</v>
      </c>
      <c r="G7" s="5" t="s">
        <v>11</v>
      </c>
      <c r="H7" s="5">
        <v>19900</v>
      </c>
      <c r="I7" s="5">
        <v>2</v>
      </c>
      <c r="J7" s="9">
        <v>39800</v>
      </c>
    </row>
    <row r="8" spans="1:10" x14ac:dyDescent="0.3">
      <c r="A8" s="3" t="s">
        <v>73</v>
      </c>
      <c r="B8" s="4">
        <v>43104</v>
      </c>
      <c r="C8" s="5">
        <v>17</v>
      </c>
      <c r="D8" s="5" t="s">
        <v>35</v>
      </c>
      <c r="E8" s="5" t="s">
        <v>43</v>
      </c>
      <c r="F8" s="5" t="s">
        <v>17</v>
      </c>
      <c r="G8" s="5" t="s">
        <v>13</v>
      </c>
      <c r="H8" s="5">
        <v>28900</v>
      </c>
      <c r="I8" s="5">
        <v>9</v>
      </c>
      <c r="J8" s="9">
        <v>260100</v>
      </c>
    </row>
    <row r="9" spans="1:10" x14ac:dyDescent="0.3">
      <c r="A9" s="3" t="s">
        <v>74</v>
      </c>
      <c r="B9" s="4">
        <v>43105</v>
      </c>
      <c r="C9" s="5">
        <v>14</v>
      </c>
      <c r="D9" s="5" t="s">
        <v>32</v>
      </c>
      <c r="E9" s="5" t="s">
        <v>39</v>
      </c>
      <c r="F9" s="5" t="s">
        <v>16</v>
      </c>
      <c r="G9" s="5" t="s">
        <v>11</v>
      </c>
      <c r="H9" s="5">
        <v>19900</v>
      </c>
      <c r="I9" s="5">
        <v>5</v>
      </c>
      <c r="J9" s="9">
        <v>99500</v>
      </c>
    </row>
    <row r="10" spans="1:10" x14ac:dyDescent="0.3">
      <c r="A10" s="3" t="s">
        <v>75</v>
      </c>
      <c r="B10" s="4">
        <v>43105</v>
      </c>
      <c r="C10" s="5">
        <v>20</v>
      </c>
      <c r="D10" s="5" t="s">
        <v>38</v>
      </c>
      <c r="E10" s="5" t="s">
        <v>43</v>
      </c>
      <c r="F10" s="5" t="s">
        <v>17</v>
      </c>
      <c r="G10" s="5" t="s">
        <v>10</v>
      </c>
      <c r="H10" s="5">
        <v>39900</v>
      </c>
      <c r="I10" s="5">
        <v>5</v>
      </c>
      <c r="J10" s="9">
        <v>199500</v>
      </c>
    </row>
    <row r="11" spans="1:10" x14ac:dyDescent="0.3">
      <c r="A11" s="3" t="s">
        <v>76</v>
      </c>
      <c r="B11" s="4">
        <v>43105</v>
      </c>
      <c r="C11" s="5">
        <v>3</v>
      </c>
      <c r="D11" s="5" t="s">
        <v>21</v>
      </c>
      <c r="E11" s="5" t="s">
        <v>40</v>
      </c>
      <c r="F11" s="5" t="s">
        <v>18</v>
      </c>
      <c r="G11" s="5" t="s">
        <v>11</v>
      </c>
      <c r="H11" s="5">
        <v>19900</v>
      </c>
      <c r="I11" s="5">
        <v>0</v>
      </c>
      <c r="J11" s="9">
        <v>0</v>
      </c>
    </row>
    <row r="12" spans="1:10" x14ac:dyDescent="0.3">
      <c r="A12" s="3" t="s">
        <v>77</v>
      </c>
      <c r="B12" s="4">
        <v>43105</v>
      </c>
      <c r="C12" s="5">
        <v>8</v>
      </c>
      <c r="D12" s="5" t="s">
        <v>26</v>
      </c>
      <c r="E12" s="5" t="s">
        <v>44</v>
      </c>
      <c r="F12" s="5" t="s">
        <v>15</v>
      </c>
      <c r="G12" s="5" t="s">
        <v>13</v>
      </c>
      <c r="H12" s="5">
        <v>28900</v>
      </c>
      <c r="I12" s="5">
        <v>9</v>
      </c>
      <c r="J12" s="9">
        <v>260100</v>
      </c>
    </row>
    <row r="13" spans="1:10" x14ac:dyDescent="0.3">
      <c r="A13" s="3" t="s">
        <v>78</v>
      </c>
      <c r="B13" s="4">
        <v>43105</v>
      </c>
      <c r="C13" s="5">
        <v>6</v>
      </c>
      <c r="D13" s="5" t="s">
        <v>24</v>
      </c>
      <c r="E13" s="5" t="s">
        <v>44</v>
      </c>
      <c r="F13" s="5" t="s">
        <v>15</v>
      </c>
      <c r="G13" s="5" t="s">
        <v>10</v>
      </c>
      <c r="H13" s="5">
        <v>39900</v>
      </c>
      <c r="I13" s="5">
        <v>6</v>
      </c>
      <c r="J13" s="9">
        <v>239400</v>
      </c>
    </row>
    <row r="14" spans="1:10" x14ac:dyDescent="0.3">
      <c r="A14" s="3" t="s">
        <v>79</v>
      </c>
      <c r="B14" s="4">
        <v>43105</v>
      </c>
      <c r="C14" s="5">
        <v>9</v>
      </c>
      <c r="D14" s="5" t="s">
        <v>27</v>
      </c>
      <c r="E14" s="5" t="s">
        <v>41</v>
      </c>
      <c r="F14" s="5" t="s">
        <v>15</v>
      </c>
      <c r="G14" s="5" t="s">
        <v>11</v>
      </c>
      <c r="H14" s="5">
        <v>19900</v>
      </c>
      <c r="I14" s="5">
        <v>6</v>
      </c>
      <c r="J14" s="9">
        <v>119400</v>
      </c>
    </row>
    <row r="15" spans="1:10" x14ac:dyDescent="0.3">
      <c r="A15" s="3" t="s">
        <v>80</v>
      </c>
      <c r="B15" s="4">
        <v>43105</v>
      </c>
      <c r="C15" s="5">
        <v>4</v>
      </c>
      <c r="D15" s="5" t="s">
        <v>22</v>
      </c>
      <c r="E15" s="5" t="s">
        <v>40</v>
      </c>
      <c r="F15" s="5" t="s">
        <v>18</v>
      </c>
      <c r="G15" s="5" t="s">
        <v>10</v>
      </c>
      <c r="H15" s="5">
        <v>39900</v>
      </c>
      <c r="I15" s="5">
        <v>4</v>
      </c>
      <c r="J15" s="9">
        <v>159600</v>
      </c>
    </row>
    <row r="16" spans="1:10" x14ac:dyDescent="0.3">
      <c r="A16" s="3" t="s">
        <v>81</v>
      </c>
      <c r="B16" s="4">
        <v>43105</v>
      </c>
      <c r="C16" s="5">
        <v>6</v>
      </c>
      <c r="D16" s="5" t="s">
        <v>24</v>
      </c>
      <c r="E16" s="5" t="s">
        <v>41</v>
      </c>
      <c r="F16" s="5" t="s">
        <v>15</v>
      </c>
      <c r="G16" s="5" t="s">
        <v>11</v>
      </c>
      <c r="H16" s="5">
        <v>19900</v>
      </c>
      <c r="I16" s="5">
        <v>2</v>
      </c>
      <c r="J16" s="9">
        <v>39800</v>
      </c>
    </row>
    <row r="17" spans="1:10" x14ac:dyDescent="0.3">
      <c r="A17" s="3" t="s">
        <v>82</v>
      </c>
      <c r="B17" s="4">
        <v>43106</v>
      </c>
      <c r="C17" s="5">
        <v>13</v>
      </c>
      <c r="D17" s="5" t="s">
        <v>31</v>
      </c>
      <c r="E17" s="5" t="s">
        <v>39</v>
      </c>
      <c r="F17" s="5" t="s">
        <v>16</v>
      </c>
      <c r="G17" s="5" t="s">
        <v>12</v>
      </c>
      <c r="H17" s="5">
        <v>6900</v>
      </c>
      <c r="I17" s="5">
        <v>0</v>
      </c>
      <c r="J17" s="9">
        <v>0</v>
      </c>
    </row>
    <row r="18" spans="1:10" x14ac:dyDescent="0.3">
      <c r="A18" s="3" t="s">
        <v>83</v>
      </c>
      <c r="B18" s="4">
        <v>43107</v>
      </c>
      <c r="C18" s="5">
        <v>14</v>
      </c>
      <c r="D18" s="5" t="s">
        <v>32</v>
      </c>
      <c r="E18" s="5" t="s">
        <v>39</v>
      </c>
      <c r="F18" s="5" t="s">
        <v>16</v>
      </c>
      <c r="G18" s="5" t="s">
        <v>13</v>
      </c>
      <c r="H18" s="5">
        <v>28900</v>
      </c>
      <c r="I18" s="5">
        <v>0</v>
      </c>
      <c r="J18" s="9">
        <v>0</v>
      </c>
    </row>
    <row r="19" spans="1:10" x14ac:dyDescent="0.3">
      <c r="A19" s="3" t="s">
        <v>84</v>
      </c>
      <c r="B19" s="4">
        <v>43107</v>
      </c>
      <c r="C19" s="5">
        <v>19</v>
      </c>
      <c r="D19" s="5" t="s">
        <v>37</v>
      </c>
      <c r="E19" s="5" t="s">
        <v>42</v>
      </c>
      <c r="F19" s="5" t="s">
        <v>17</v>
      </c>
      <c r="G19" s="5" t="s">
        <v>14</v>
      </c>
      <c r="H19" s="5">
        <v>15900</v>
      </c>
      <c r="I19" s="5">
        <v>5</v>
      </c>
      <c r="J19" s="9">
        <v>79500</v>
      </c>
    </row>
    <row r="20" spans="1:10" x14ac:dyDescent="0.3">
      <c r="A20" s="3" t="s">
        <v>85</v>
      </c>
      <c r="B20" s="4">
        <v>43107</v>
      </c>
      <c r="C20" s="5">
        <v>10</v>
      </c>
      <c r="D20" s="5" t="s">
        <v>28</v>
      </c>
      <c r="E20" s="5" t="s">
        <v>44</v>
      </c>
      <c r="F20" s="5" t="s">
        <v>15</v>
      </c>
      <c r="G20" s="5" t="s">
        <v>12</v>
      </c>
      <c r="H20" s="5">
        <v>6900</v>
      </c>
      <c r="I20" s="5">
        <v>2</v>
      </c>
      <c r="J20" s="9">
        <v>13800</v>
      </c>
    </row>
    <row r="21" spans="1:10" x14ac:dyDescent="0.3">
      <c r="A21" s="3" t="s">
        <v>86</v>
      </c>
      <c r="B21" s="4">
        <v>43107</v>
      </c>
      <c r="C21" s="5">
        <v>5</v>
      </c>
      <c r="D21" s="5" t="s">
        <v>23</v>
      </c>
      <c r="E21" s="5" t="s">
        <v>40</v>
      </c>
      <c r="F21" s="5" t="s">
        <v>18</v>
      </c>
      <c r="G21" s="5" t="s">
        <v>10</v>
      </c>
      <c r="H21" s="5">
        <v>39900</v>
      </c>
      <c r="I21" s="5">
        <v>3</v>
      </c>
      <c r="J21" s="9">
        <v>119700</v>
      </c>
    </row>
    <row r="22" spans="1:10" x14ac:dyDescent="0.3">
      <c r="A22" s="3" t="s">
        <v>87</v>
      </c>
      <c r="B22" s="4">
        <v>43107</v>
      </c>
      <c r="C22" s="5">
        <v>10</v>
      </c>
      <c r="D22" s="5" t="s">
        <v>28</v>
      </c>
      <c r="E22" s="5" t="s">
        <v>44</v>
      </c>
      <c r="F22" s="5" t="s">
        <v>15</v>
      </c>
      <c r="G22" s="5" t="s">
        <v>12</v>
      </c>
      <c r="H22" s="5">
        <v>6900</v>
      </c>
      <c r="I22" s="5">
        <v>2</v>
      </c>
      <c r="J22" s="9">
        <v>13800</v>
      </c>
    </row>
    <row r="23" spans="1:10" x14ac:dyDescent="0.3">
      <c r="A23" s="3" t="s">
        <v>88</v>
      </c>
      <c r="B23" s="4">
        <v>43107</v>
      </c>
      <c r="C23" s="5">
        <v>11</v>
      </c>
      <c r="D23" s="5" t="s">
        <v>29</v>
      </c>
      <c r="E23" s="5" t="s">
        <v>45</v>
      </c>
      <c r="F23" s="5" t="s">
        <v>16</v>
      </c>
      <c r="G23" s="5" t="s">
        <v>13</v>
      </c>
      <c r="H23" s="5">
        <v>28900</v>
      </c>
      <c r="I23" s="5">
        <v>6</v>
      </c>
      <c r="J23" s="9">
        <v>173400</v>
      </c>
    </row>
    <row r="24" spans="1:10" x14ac:dyDescent="0.3">
      <c r="A24" s="3" t="s">
        <v>89</v>
      </c>
      <c r="B24" s="4">
        <v>43107</v>
      </c>
      <c r="C24" s="5">
        <v>8</v>
      </c>
      <c r="D24" s="5" t="s">
        <v>26</v>
      </c>
      <c r="E24" s="5" t="s">
        <v>44</v>
      </c>
      <c r="F24" s="5" t="s">
        <v>15</v>
      </c>
      <c r="G24" s="5" t="s">
        <v>14</v>
      </c>
      <c r="H24" s="5">
        <v>15900</v>
      </c>
      <c r="I24" s="5">
        <v>4</v>
      </c>
      <c r="J24" s="9">
        <v>63600</v>
      </c>
    </row>
    <row r="25" spans="1:10" x14ac:dyDescent="0.3">
      <c r="A25" s="3" t="s">
        <v>90</v>
      </c>
      <c r="B25" s="4">
        <v>43107</v>
      </c>
      <c r="C25" s="5">
        <v>12</v>
      </c>
      <c r="D25" s="5" t="s">
        <v>30</v>
      </c>
      <c r="E25" s="5" t="s">
        <v>39</v>
      </c>
      <c r="F25" s="5" t="s">
        <v>16</v>
      </c>
      <c r="G25" s="5" t="s">
        <v>10</v>
      </c>
      <c r="H25" s="5">
        <v>39900</v>
      </c>
      <c r="I25" s="5">
        <v>2</v>
      </c>
      <c r="J25" s="9">
        <v>79800</v>
      </c>
    </row>
    <row r="26" spans="1:10" x14ac:dyDescent="0.3">
      <c r="A26" s="3" t="s">
        <v>91</v>
      </c>
      <c r="B26" s="4">
        <v>43108</v>
      </c>
      <c r="C26" s="5">
        <v>3</v>
      </c>
      <c r="D26" s="5" t="s">
        <v>21</v>
      </c>
      <c r="E26" s="5" t="s">
        <v>46</v>
      </c>
      <c r="F26" s="5" t="s">
        <v>18</v>
      </c>
      <c r="G26" s="5" t="s">
        <v>10</v>
      </c>
      <c r="H26" s="5">
        <v>39900</v>
      </c>
      <c r="I26" s="5">
        <v>0</v>
      </c>
      <c r="J26" s="9">
        <v>0</v>
      </c>
    </row>
    <row r="27" spans="1:10" x14ac:dyDescent="0.3">
      <c r="A27" s="3" t="s">
        <v>92</v>
      </c>
      <c r="B27" s="4">
        <v>43108</v>
      </c>
      <c r="C27" s="5">
        <v>14</v>
      </c>
      <c r="D27" s="5" t="s">
        <v>32</v>
      </c>
      <c r="E27" s="5" t="s">
        <v>39</v>
      </c>
      <c r="F27" s="5" t="s">
        <v>16</v>
      </c>
      <c r="G27" s="5" t="s">
        <v>13</v>
      </c>
      <c r="H27" s="5">
        <v>28900</v>
      </c>
      <c r="I27" s="5">
        <v>0</v>
      </c>
      <c r="J27" s="9">
        <v>0</v>
      </c>
    </row>
    <row r="28" spans="1:10" x14ac:dyDescent="0.3">
      <c r="A28" s="3" t="s">
        <v>93</v>
      </c>
      <c r="B28" s="4">
        <v>43108</v>
      </c>
      <c r="C28" s="5">
        <v>14</v>
      </c>
      <c r="D28" s="5" t="s">
        <v>32</v>
      </c>
      <c r="E28" s="5" t="s">
        <v>45</v>
      </c>
      <c r="F28" s="5" t="s">
        <v>16</v>
      </c>
      <c r="G28" s="5" t="s">
        <v>11</v>
      </c>
      <c r="H28" s="5">
        <v>19900</v>
      </c>
      <c r="I28" s="5">
        <v>1</v>
      </c>
      <c r="J28" s="9">
        <v>19900</v>
      </c>
    </row>
    <row r="29" spans="1:10" x14ac:dyDescent="0.3">
      <c r="A29" s="3" t="s">
        <v>94</v>
      </c>
      <c r="B29" s="4">
        <v>43108</v>
      </c>
      <c r="C29" s="5">
        <v>19</v>
      </c>
      <c r="D29" s="5" t="s">
        <v>37</v>
      </c>
      <c r="E29" s="5" t="s">
        <v>43</v>
      </c>
      <c r="F29" s="5" t="s">
        <v>17</v>
      </c>
      <c r="G29" s="5" t="s">
        <v>10</v>
      </c>
      <c r="H29" s="5">
        <v>39900</v>
      </c>
      <c r="I29" s="5">
        <v>7</v>
      </c>
      <c r="J29" s="9">
        <v>279300</v>
      </c>
    </row>
    <row r="30" spans="1:10" x14ac:dyDescent="0.3">
      <c r="A30" s="3" t="s">
        <v>95</v>
      </c>
      <c r="B30" s="4">
        <v>43109</v>
      </c>
      <c r="C30" s="5">
        <v>10</v>
      </c>
      <c r="D30" s="5" t="s">
        <v>28</v>
      </c>
      <c r="E30" s="5" t="s">
        <v>44</v>
      </c>
      <c r="F30" s="5" t="s">
        <v>15</v>
      </c>
      <c r="G30" s="5" t="s">
        <v>11</v>
      </c>
      <c r="H30" s="5">
        <v>19900</v>
      </c>
      <c r="I30" s="5">
        <v>3</v>
      </c>
      <c r="J30" s="9">
        <v>59700</v>
      </c>
    </row>
    <row r="31" spans="1:10" x14ac:dyDescent="0.3">
      <c r="A31" s="3" t="s">
        <v>96</v>
      </c>
      <c r="B31" s="4">
        <v>43109</v>
      </c>
      <c r="C31" s="5">
        <v>12</v>
      </c>
      <c r="D31" s="5" t="s">
        <v>30</v>
      </c>
      <c r="E31" s="5" t="s">
        <v>45</v>
      </c>
      <c r="F31" s="5" t="s">
        <v>16</v>
      </c>
      <c r="G31" s="5" t="s">
        <v>13</v>
      </c>
      <c r="H31" s="5">
        <v>28900</v>
      </c>
      <c r="I31" s="5">
        <v>0</v>
      </c>
      <c r="J31" s="9">
        <v>0</v>
      </c>
    </row>
    <row r="32" spans="1:10" x14ac:dyDescent="0.3">
      <c r="A32" s="3" t="s">
        <v>97</v>
      </c>
      <c r="B32" s="4">
        <v>43109</v>
      </c>
      <c r="C32" s="5">
        <v>6</v>
      </c>
      <c r="D32" s="5" t="s">
        <v>24</v>
      </c>
      <c r="E32" s="5" t="s">
        <v>41</v>
      </c>
      <c r="F32" s="5" t="s">
        <v>15</v>
      </c>
      <c r="G32" s="5" t="s">
        <v>14</v>
      </c>
      <c r="H32" s="5">
        <v>15900</v>
      </c>
      <c r="I32" s="5">
        <v>2</v>
      </c>
      <c r="J32" s="9">
        <v>31800</v>
      </c>
    </row>
    <row r="33" spans="1:10" x14ac:dyDescent="0.3">
      <c r="A33" s="3" t="s">
        <v>98</v>
      </c>
      <c r="B33" s="4">
        <v>43109</v>
      </c>
      <c r="C33" s="5">
        <v>6</v>
      </c>
      <c r="D33" s="5" t="s">
        <v>24</v>
      </c>
      <c r="E33" s="5" t="s">
        <v>44</v>
      </c>
      <c r="F33" s="5" t="s">
        <v>15</v>
      </c>
      <c r="G33" s="5" t="s">
        <v>10</v>
      </c>
      <c r="H33" s="5">
        <v>39900</v>
      </c>
      <c r="I33" s="5">
        <v>3</v>
      </c>
      <c r="J33" s="9">
        <v>119700</v>
      </c>
    </row>
    <row r="34" spans="1:10" x14ac:dyDescent="0.3">
      <c r="A34" s="3" t="s">
        <v>99</v>
      </c>
      <c r="B34" s="4">
        <v>43110</v>
      </c>
      <c r="C34" s="5">
        <v>6</v>
      </c>
      <c r="D34" s="5" t="s">
        <v>24</v>
      </c>
      <c r="E34" s="5" t="s">
        <v>44</v>
      </c>
      <c r="F34" s="5" t="s">
        <v>15</v>
      </c>
      <c r="G34" s="5" t="s">
        <v>12</v>
      </c>
      <c r="H34" s="5">
        <v>6900</v>
      </c>
      <c r="I34" s="5">
        <v>2</v>
      </c>
      <c r="J34" s="9">
        <v>13800</v>
      </c>
    </row>
    <row r="35" spans="1:10" x14ac:dyDescent="0.3">
      <c r="A35" s="3" t="s">
        <v>100</v>
      </c>
      <c r="B35" s="4">
        <v>43111</v>
      </c>
      <c r="C35" s="5">
        <v>1</v>
      </c>
      <c r="D35" s="5" t="s">
        <v>19</v>
      </c>
      <c r="E35" s="5" t="s">
        <v>46</v>
      </c>
      <c r="F35" s="5" t="s">
        <v>18</v>
      </c>
      <c r="G35" s="5" t="s">
        <v>11</v>
      </c>
      <c r="H35" s="5">
        <v>19900</v>
      </c>
      <c r="I35" s="5">
        <v>8</v>
      </c>
      <c r="J35" s="9">
        <v>159200</v>
      </c>
    </row>
    <row r="36" spans="1:10" x14ac:dyDescent="0.3">
      <c r="A36" s="3" t="s">
        <v>101</v>
      </c>
      <c r="B36" s="4">
        <v>43111</v>
      </c>
      <c r="C36" s="5">
        <v>16</v>
      </c>
      <c r="D36" s="5" t="s">
        <v>34</v>
      </c>
      <c r="E36" s="5" t="s">
        <v>43</v>
      </c>
      <c r="F36" s="5" t="s">
        <v>17</v>
      </c>
      <c r="G36" s="5" t="s">
        <v>11</v>
      </c>
      <c r="H36" s="5">
        <v>19900</v>
      </c>
      <c r="I36" s="5">
        <v>5</v>
      </c>
      <c r="J36" s="9">
        <v>99500</v>
      </c>
    </row>
    <row r="37" spans="1:10" x14ac:dyDescent="0.3">
      <c r="A37" s="3" t="s">
        <v>102</v>
      </c>
      <c r="B37" s="4">
        <v>43111</v>
      </c>
      <c r="C37" s="5">
        <v>13</v>
      </c>
      <c r="D37" s="5" t="s">
        <v>31</v>
      </c>
      <c r="E37" s="5" t="s">
        <v>45</v>
      </c>
      <c r="F37" s="5" t="s">
        <v>16</v>
      </c>
      <c r="G37" s="5" t="s">
        <v>13</v>
      </c>
      <c r="H37" s="5">
        <v>28900</v>
      </c>
      <c r="I37" s="5">
        <v>1</v>
      </c>
      <c r="J37" s="9">
        <v>28900</v>
      </c>
    </row>
    <row r="38" spans="1:10" x14ac:dyDescent="0.3">
      <c r="A38" s="3" t="s">
        <v>103</v>
      </c>
      <c r="B38" s="4">
        <v>43111</v>
      </c>
      <c r="C38" s="5">
        <v>13</v>
      </c>
      <c r="D38" s="5" t="s">
        <v>31</v>
      </c>
      <c r="E38" s="5" t="s">
        <v>45</v>
      </c>
      <c r="F38" s="5" t="s">
        <v>16</v>
      </c>
      <c r="G38" s="5" t="s">
        <v>10</v>
      </c>
      <c r="H38" s="5">
        <v>39900</v>
      </c>
      <c r="I38" s="5">
        <v>4</v>
      </c>
      <c r="J38" s="9">
        <v>159600</v>
      </c>
    </row>
    <row r="39" spans="1:10" x14ac:dyDescent="0.3">
      <c r="A39" s="3" t="s">
        <v>104</v>
      </c>
      <c r="B39" s="4">
        <v>43112</v>
      </c>
      <c r="C39" s="5">
        <v>20</v>
      </c>
      <c r="D39" s="5" t="s">
        <v>38</v>
      </c>
      <c r="E39" s="5" t="s">
        <v>42</v>
      </c>
      <c r="F39" s="5" t="s">
        <v>17</v>
      </c>
      <c r="G39" s="5" t="s">
        <v>10</v>
      </c>
      <c r="H39" s="5">
        <v>39900</v>
      </c>
      <c r="I39" s="5">
        <v>3</v>
      </c>
      <c r="J39" s="9">
        <v>119700</v>
      </c>
    </row>
    <row r="40" spans="1:10" x14ac:dyDescent="0.3">
      <c r="A40" s="3" t="s">
        <v>105</v>
      </c>
      <c r="B40" s="4">
        <v>43112</v>
      </c>
      <c r="C40" s="5">
        <v>19</v>
      </c>
      <c r="D40" s="5" t="s">
        <v>37</v>
      </c>
      <c r="E40" s="5" t="s">
        <v>43</v>
      </c>
      <c r="F40" s="5" t="s">
        <v>17</v>
      </c>
      <c r="G40" s="5" t="s">
        <v>12</v>
      </c>
      <c r="H40" s="5">
        <v>6900</v>
      </c>
      <c r="I40" s="5">
        <v>8</v>
      </c>
      <c r="J40" s="9">
        <v>55200</v>
      </c>
    </row>
    <row r="41" spans="1:10" x14ac:dyDescent="0.3">
      <c r="A41" s="3" t="s">
        <v>106</v>
      </c>
      <c r="B41" s="4">
        <v>43112</v>
      </c>
      <c r="C41" s="5">
        <v>14</v>
      </c>
      <c r="D41" s="5" t="s">
        <v>32</v>
      </c>
      <c r="E41" s="5" t="s">
        <v>39</v>
      </c>
      <c r="F41" s="5" t="s">
        <v>16</v>
      </c>
      <c r="G41" s="5" t="s">
        <v>13</v>
      </c>
      <c r="H41" s="5">
        <v>28900</v>
      </c>
      <c r="I41" s="5">
        <v>3</v>
      </c>
      <c r="J41" s="9">
        <v>86700</v>
      </c>
    </row>
    <row r="42" spans="1:10" x14ac:dyDescent="0.3">
      <c r="A42" s="3" t="s">
        <v>107</v>
      </c>
      <c r="B42" s="4">
        <v>43113</v>
      </c>
      <c r="C42" s="5">
        <v>9</v>
      </c>
      <c r="D42" s="5" t="s">
        <v>27</v>
      </c>
      <c r="E42" s="5" t="s">
        <v>41</v>
      </c>
      <c r="F42" s="5" t="s">
        <v>15</v>
      </c>
      <c r="G42" s="5" t="s">
        <v>10</v>
      </c>
      <c r="H42" s="5">
        <v>39900</v>
      </c>
      <c r="I42" s="5">
        <v>4</v>
      </c>
      <c r="J42" s="9">
        <v>159600</v>
      </c>
    </row>
    <row r="43" spans="1:10" x14ac:dyDescent="0.3">
      <c r="A43" s="3" t="s">
        <v>108</v>
      </c>
      <c r="B43" s="4">
        <v>43113</v>
      </c>
      <c r="C43" s="5">
        <v>17</v>
      </c>
      <c r="D43" s="5" t="s">
        <v>35</v>
      </c>
      <c r="E43" s="5" t="s">
        <v>43</v>
      </c>
      <c r="F43" s="5" t="s">
        <v>17</v>
      </c>
      <c r="G43" s="5" t="s">
        <v>12</v>
      </c>
      <c r="H43" s="5">
        <v>6900</v>
      </c>
      <c r="I43" s="5">
        <v>5</v>
      </c>
      <c r="J43" s="9">
        <v>34500</v>
      </c>
    </row>
    <row r="44" spans="1:10" x14ac:dyDescent="0.3">
      <c r="A44" s="3" t="s">
        <v>109</v>
      </c>
      <c r="B44" s="4">
        <v>43113</v>
      </c>
      <c r="C44" s="5">
        <v>13</v>
      </c>
      <c r="D44" s="5" t="s">
        <v>31</v>
      </c>
      <c r="E44" s="5" t="s">
        <v>45</v>
      </c>
      <c r="F44" s="5" t="s">
        <v>16</v>
      </c>
      <c r="G44" s="5" t="s">
        <v>14</v>
      </c>
      <c r="H44" s="5">
        <v>15900</v>
      </c>
      <c r="I44" s="5">
        <v>8</v>
      </c>
      <c r="J44" s="9">
        <v>127200</v>
      </c>
    </row>
    <row r="45" spans="1:10" x14ac:dyDescent="0.3">
      <c r="A45" s="3" t="s">
        <v>110</v>
      </c>
      <c r="B45" s="4">
        <v>43113</v>
      </c>
      <c r="C45" s="5">
        <v>7</v>
      </c>
      <c r="D45" s="5" t="s">
        <v>25</v>
      </c>
      <c r="E45" s="5" t="s">
        <v>44</v>
      </c>
      <c r="F45" s="5" t="s">
        <v>15</v>
      </c>
      <c r="G45" s="5" t="s">
        <v>10</v>
      </c>
      <c r="H45" s="5">
        <v>39900</v>
      </c>
      <c r="I45" s="5">
        <v>5</v>
      </c>
      <c r="J45" s="9">
        <v>199500</v>
      </c>
    </row>
    <row r="46" spans="1:10" x14ac:dyDescent="0.3">
      <c r="A46" s="3" t="s">
        <v>111</v>
      </c>
      <c r="B46" s="4">
        <v>43113</v>
      </c>
      <c r="C46" s="5">
        <v>12</v>
      </c>
      <c r="D46" s="5" t="s">
        <v>30</v>
      </c>
      <c r="E46" s="5" t="s">
        <v>45</v>
      </c>
      <c r="F46" s="5" t="s">
        <v>16</v>
      </c>
      <c r="G46" s="5" t="s">
        <v>13</v>
      </c>
      <c r="H46" s="5">
        <v>28900</v>
      </c>
      <c r="I46" s="5">
        <v>4</v>
      </c>
      <c r="J46" s="9">
        <v>115600</v>
      </c>
    </row>
    <row r="47" spans="1:10" x14ac:dyDescent="0.3">
      <c r="A47" s="3" t="s">
        <v>112</v>
      </c>
      <c r="B47" s="4">
        <v>43113</v>
      </c>
      <c r="C47" s="5">
        <v>14</v>
      </c>
      <c r="D47" s="5" t="s">
        <v>32</v>
      </c>
      <c r="E47" s="5" t="s">
        <v>39</v>
      </c>
      <c r="F47" s="5" t="s">
        <v>16</v>
      </c>
      <c r="G47" s="5" t="s">
        <v>14</v>
      </c>
      <c r="H47" s="5">
        <v>15900</v>
      </c>
      <c r="I47" s="5">
        <v>7</v>
      </c>
      <c r="J47" s="9">
        <v>111300</v>
      </c>
    </row>
    <row r="48" spans="1:10" x14ac:dyDescent="0.3">
      <c r="A48" s="3" t="s">
        <v>113</v>
      </c>
      <c r="B48" s="4">
        <v>43113</v>
      </c>
      <c r="C48" s="5">
        <v>17</v>
      </c>
      <c r="D48" s="5" t="s">
        <v>35</v>
      </c>
      <c r="E48" s="5" t="s">
        <v>42</v>
      </c>
      <c r="F48" s="5" t="s">
        <v>17</v>
      </c>
      <c r="G48" s="5" t="s">
        <v>13</v>
      </c>
      <c r="H48" s="5">
        <v>28900</v>
      </c>
      <c r="I48" s="5">
        <v>0</v>
      </c>
      <c r="J48" s="9">
        <v>0</v>
      </c>
    </row>
    <row r="49" spans="1:10" x14ac:dyDescent="0.3">
      <c r="A49" s="3" t="s">
        <v>114</v>
      </c>
      <c r="B49" s="4">
        <v>43113</v>
      </c>
      <c r="C49" s="5">
        <v>16</v>
      </c>
      <c r="D49" s="5" t="s">
        <v>34</v>
      </c>
      <c r="E49" s="5" t="s">
        <v>42</v>
      </c>
      <c r="F49" s="5" t="s">
        <v>17</v>
      </c>
      <c r="G49" s="5" t="s">
        <v>12</v>
      </c>
      <c r="H49" s="5">
        <v>6900</v>
      </c>
      <c r="I49" s="5">
        <v>1</v>
      </c>
      <c r="J49" s="9">
        <v>6900</v>
      </c>
    </row>
    <row r="50" spans="1:10" x14ac:dyDescent="0.3">
      <c r="A50" s="3" t="s">
        <v>115</v>
      </c>
      <c r="B50" s="4">
        <v>43113</v>
      </c>
      <c r="C50" s="5">
        <v>4</v>
      </c>
      <c r="D50" s="5" t="s">
        <v>22</v>
      </c>
      <c r="E50" s="5" t="s">
        <v>46</v>
      </c>
      <c r="F50" s="5" t="s">
        <v>18</v>
      </c>
      <c r="G50" s="5" t="s">
        <v>14</v>
      </c>
      <c r="H50" s="5">
        <v>15900</v>
      </c>
      <c r="I50" s="5">
        <v>5</v>
      </c>
      <c r="J50" s="9">
        <v>79500</v>
      </c>
    </row>
    <row r="51" spans="1:10" x14ac:dyDescent="0.3">
      <c r="A51" s="3" t="s">
        <v>116</v>
      </c>
      <c r="B51" s="4">
        <v>43113</v>
      </c>
      <c r="C51" s="5">
        <v>5</v>
      </c>
      <c r="D51" s="5" t="s">
        <v>23</v>
      </c>
      <c r="E51" s="5" t="s">
        <v>46</v>
      </c>
      <c r="F51" s="5" t="s">
        <v>18</v>
      </c>
      <c r="G51" s="5" t="s">
        <v>14</v>
      </c>
      <c r="H51" s="5">
        <v>15900</v>
      </c>
      <c r="I51" s="5">
        <v>7</v>
      </c>
      <c r="J51" s="9">
        <v>111300</v>
      </c>
    </row>
    <row r="52" spans="1:10" x14ac:dyDescent="0.3">
      <c r="A52" s="3" t="s">
        <v>117</v>
      </c>
      <c r="B52" s="4">
        <v>43113</v>
      </c>
      <c r="C52" s="5">
        <v>19</v>
      </c>
      <c r="D52" s="5" t="s">
        <v>37</v>
      </c>
      <c r="E52" s="5" t="s">
        <v>43</v>
      </c>
      <c r="F52" s="5" t="s">
        <v>17</v>
      </c>
      <c r="G52" s="5" t="s">
        <v>10</v>
      </c>
      <c r="H52" s="5">
        <v>39900</v>
      </c>
      <c r="I52" s="5">
        <v>6</v>
      </c>
      <c r="J52" s="9">
        <v>239400</v>
      </c>
    </row>
    <row r="53" spans="1:10" x14ac:dyDescent="0.3">
      <c r="A53" s="3" t="s">
        <v>118</v>
      </c>
      <c r="B53" s="4">
        <v>43113</v>
      </c>
      <c r="C53" s="5">
        <v>1</v>
      </c>
      <c r="D53" s="5" t="s">
        <v>19</v>
      </c>
      <c r="E53" s="5" t="s">
        <v>46</v>
      </c>
      <c r="F53" s="5" t="s">
        <v>18</v>
      </c>
      <c r="G53" s="5" t="s">
        <v>12</v>
      </c>
      <c r="H53" s="5">
        <v>6900</v>
      </c>
      <c r="I53" s="5">
        <v>2</v>
      </c>
      <c r="J53" s="9">
        <v>13800</v>
      </c>
    </row>
    <row r="54" spans="1:10" x14ac:dyDescent="0.3">
      <c r="A54" s="3" t="s">
        <v>119</v>
      </c>
      <c r="B54" s="4">
        <v>43114</v>
      </c>
      <c r="C54" s="5">
        <v>17</v>
      </c>
      <c r="D54" s="5" t="s">
        <v>35</v>
      </c>
      <c r="E54" s="5" t="s">
        <v>43</v>
      </c>
      <c r="F54" s="5" t="s">
        <v>17</v>
      </c>
      <c r="G54" s="5" t="s">
        <v>12</v>
      </c>
      <c r="H54" s="5">
        <v>6900</v>
      </c>
      <c r="I54" s="5">
        <v>7</v>
      </c>
      <c r="J54" s="9">
        <v>48300</v>
      </c>
    </row>
    <row r="55" spans="1:10" x14ac:dyDescent="0.3">
      <c r="A55" s="3" t="s">
        <v>120</v>
      </c>
      <c r="B55" s="4">
        <v>43115</v>
      </c>
      <c r="C55" s="5">
        <v>8</v>
      </c>
      <c r="D55" s="5" t="s">
        <v>26</v>
      </c>
      <c r="E55" s="5" t="s">
        <v>44</v>
      </c>
      <c r="F55" s="5" t="s">
        <v>15</v>
      </c>
      <c r="G55" s="5" t="s">
        <v>13</v>
      </c>
      <c r="H55" s="5">
        <v>28900</v>
      </c>
      <c r="I55" s="5">
        <v>1</v>
      </c>
      <c r="J55" s="9">
        <v>28900</v>
      </c>
    </row>
    <row r="56" spans="1:10" x14ac:dyDescent="0.3">
      <c r="A56" s="3" t="s">
        <v>121</v>
      </c>
      <c r="B56" s="4">
        <v>43115</v>
      </c>
      <c r="C56" s="5">
        <v>7</v>
      </c>
      <c r="D56" s="5" t="s">
        <v>25</v>
      </c>
      <c r="E56" s="5" t="s">
        <v>44</v>
      </c>
      <c r="F56" s="5" t="s">
        <v>15</v>
      </c>
      <c r="G56" s="5" t="s">
        <v>10</v>
      </c>
      <c r="H56" s="5">
        <v>39900</v>
      </c>
      <c r="I56" s="5">
        <v>0</v>
      </c>
      <c r="J56" s="9">
        <v>0</v>
      </c>
    </row>
    <row r="57" spans="1:10" x14ac:dyDescent="0.3">
      <c r="A57" s="3" t="s">
        <v>122</v>
      </c>
      <c r="B57" s="4">
        <v>43115</v>
      </c>
      <c r="C57" s="5">
        <v>20</v>
      </c>
      <c r="D57" s="5" t="s">
        <v>38</v>
      </c>
      <c r="E57" s="5" t="s">
        <v>43</v>
      </c>
      <c r="F57" s="5" t="s">
        <v>17</v>
      </c>
      <c r="G57" s="5" t="s">
        <v>12</v>
      </c>
      <c r="H57" s="5">
        <v>6900</v>
      </c>
      <c r="I57" s="5">
        <v>9</v>
      </c>
      <c r="J57" s="9">
        <v>62100</v>
      </c>
    </row>
    <row r="58" spans="1:10" x14ac:dyDescent="0.3">
      <c r="A58" s="3" t="s">
        <v>123</v>
      </c>
      <c r="B58" s="4">
        <v>43115</v>
      </c>
      <c r="C58" s="5">
        <v>8</v>
      </c>
      <c r="D58" s="5" t="s">
        <v>26</v>
      </c>
      <c r="E58" s="5" t="s">
        <v>44</v>
      </c>
      <c r="F58" s="5" t="s">
        <v>15</v>
      </c>
      <c r="G58" s="5" t="s">
        <v>11</v>
      </c>
      <c r="H58" s="5">
        <v>19900</v>
      </c>
      <c r="I58" s="5">
        <v>5</v>
      </c>
      <c r="J58" s="9">
        <v>99500</v>
      </c>
    </row>
    <row r="59" spans="1:10" x14ac:dyDescent="0.3">
      <c r="A59" s="3" t="s">
        <v>124</v>
      </c>
      <c r="B59" s="4">
        <v>43115</v>
      </c>
      <c r="C59" s="5">
        <v>11</v>
      </c>
      <c r="D59" s="5" t="s">
        <v>29</v>
      </c>
      <c r="E59" s="5" t="s">
        <v>39</v>
      </c>
      <c r="F59" s="5" t="s">
        <v>16</v>
      </c>
      <c r="G59" s="5" t="s">
        <v>12</v>
      </c>
      <c r="H59" s="5">
        <v>6900</v>
      </c>
      <c r="I59" s="5">
        <v>9</v>
      </c>
      <c r="J59" s="9">
        <v>62100</v>
      </c>
    </row>
    <row r="60" spans="1:10" x14ac:dyDescent="0.3">
      <c r="A60" s="3" t="s">
        <v>125</v>
      </c>
      <c r="B60" s="4">
        <v>43115</v>
      </c>
      <c r="C60" s="5">
        <v>9</v>
      </c>
      <c r="D60" s="5" t="s">
        <v>27</v>
      </c>
      <c r="E60" s="5" t="s">
        <v>41</v>
      </c>
      <c r="F60" s="5" t="s">
        <v>15</v>
      </c>
      <c r="G60" s="5" t="s">
        <v>10</v>
      </c>
      <c r="H60" s="5">
        <v>39900</v>
      </c>
      <c r="I60" s="5">
        <v>7</v>
      </c>
      <c r="J60" s="9">
        <v>279300</v>
      </c>
    </row>
    <row r="61" spans="1:10" x14ac:dyDescent="0.3">
      <c r="A61" s="3" t="s">
        <v>126</v>
      </c>
      <c r="B61" s="4">
        <v>43115</v>
      </c>
      <c r="C61" s="5">
        <v>10</v>
      </c>
      <c r="D61" s="5" t="s">
        <v>28</v>
      </c>
      <c r="E61" s="5" t="s">
        <v>44</v>
      </c>
      <c r="F61" s="5" t="s">
        <v>15</v>
      </c>
      <c r="G61" s="5" t="s">
        <v>11</v>
      </c>
      <c r="H61" s="5">
        <v>19900</v>
      </c>
      <c r="I61" s="5">
        <v>3</v>
      </c>
      <c r="J61" s="9">
        <v>59700</v>
      </c>
    </row>
    <row r="62" spans="1:10" x14ac:dyDescent="0.3">
      <c r="A62" s="3" t="s">
        <v>127</v>
      </c>
      <c r="B62" s="4">
        <v>43116</v>
      </c>
      <c r="C62" s="5">
        <v>2</v>
      </c>
      <c r="D62" s="5" t="s">
        <v>20</v>
      </c>
      <c r="E62" s="5" t="s">
        <v>40</v>
      </c>
      <c r="F62" s="5" t="s">
        <v>18</v>
      </c>
      <c r="G62" s="5" t="s">
        <v>14</v>
      </c>
      <c r="H62" s="5">
        <v>15900</v>
      </c>
      <c r="I62" s="5">
        <v>8</v>
      </c>
      <c r="J62" s="9">
        <v>127200</v>
      </c>
    </row>
    <row r="63" spans="1:10" x14ac:dyDescent="0.3">
      <c r="A63" s="3" t="s">
        <v>128</v>
      </c>
      <c r="B63" s="4">
        <v>43117</v>
      </c>
      <c r="C63" s="5">
        <v>20</v>
      </c>
      <c r="D63" s="5" t="s">
        <v>38</v>
      </c>
      <c r="E63" s="5" t="s">
        <v>43</v>
      </c>
      <c r="F63" s="5" t="s">
        <v>17</v>
      </c>
      <c r="G63" s="5" t="s">
        <v>14</v>
      </c>
      <c r="H63" s="5">
        <v>15900</v>
      </c>
      <c r="I63" s="5">
        <v>9</v>
      </c>
      <c r="J63" s="9">
        <v>143100</v>
      </c>
    </row>
    <row r="64" spans="1:10" x14ac:dyDescent="0.3">
      <c r="A64" s="3" t="s">
        <v>129</v>
      </c>
      <c r="B64" s="4">
        <v>43117</v>
      </c>
      <c r="C64" s="5">
        <v>9</v>
      </c>
      <c r="D64" s="5" t="s">
        <v>27</v>
      </c>
      <c r="E64" s="5" t="s">
        <v>44</v>
      </c>
      <c r="F64" s="5" t="s">
        <v>15</v>
      </c>
      <c r="G64" s="5" t="s">
        <v>13</v>
      </c>
      <c r="H64" s="5">
        <v>28900</v>
      </c>
      <c r="I64" s="5">
        <v>7</v>
      </c>
      <c r="J64" s="9">
        <v>202300</v>
      </c>
    </row>
    <row r="65" spans="1:10" x14ac:dyDescent="0.3">
      <c r="A65" s="3" t="s">
        <v>130</v>
      </c>
      <c r="B65" s="4">
        <v>43118</v>
      </c>
      <c r="C65" s="5">
        <v>9</v>
      </c>
      <c r="D65" s="5" t="s">
        <v>27</v>
      </c>
      <c r="E65" s="5" t="s">
        <v>44</v>
      </c>
      <c r="F65" s="5" t="s">
        <v>15</v>
      </c>
      <c r="G65" s="5" t="s">
        <v>10</v>
      </c>
      <c r="H65" s="5">
        <v>39900</v>
      </c>
      <c r="I65" s="5">
        <v>1</v>
      </c>
      <c r="J65" s="9">
        <v>39900</v>
      </c>
    </row>
    <row r="66" spans="1:10" x14ac:dyDescent="0.3">
      <c r="A66" s="3" t="s">
        <v>131</v>
      </c>
      <c r="B66" s="4">
        <v>43119</v>
      </c>
      <c r="C66" s="5">
        <v>9</v>
      </c>
      <c r="D66" s="5" t="s">
        <v>27</v>
      </c>
      <c r="E66" s="5" t="s">
        <v>44</v>
      </c>
      <c r="F66" s="5" t="s">
        <v>15</v>
      </c>
      <c r="G66" s="5" t="s">
        <v>11</v>
      </c>
      <c r="H66" s="5">
        <v>19900</v>
      </c>
      <c r="I66" s="5">
        <v>6</v>
      </c>
      <c r="J66" s="9">
        <v>119400</v>
      </c>
    </row>
    <row r="67" spans="1:10" x14ac:dyDescent="0.3">
      <c r="A67" s="3" t="s">
        <v>132</v>
      </c>
      <c r="B67" s="4">
        <v>43119</v>
      </c>
      <c r="C67" s="5">
        <v>10</v>
      </c>
      <c r="D67" s="5" t="s">
        <v>28</v>
      </c>
      <c r="E67" s="5" t="s">
        <v>44</v>
      </c>
      <c r="F67" s="5" t="s">
        <v>15</v>
      </c>
      <c r="G67" s="5" t="s">
        <v>13</v>
      </c>
      <c r="H67" s="5">
        <v>28900</v>
      </c>
      <c r="I67" s="5">
        <v>3</v>
      </c>
      <c r="J67" s="9">
        <v>86700</v>
      </c>
    </row>
    <row r="68" spans="1:10" x14ac:dyDescent="0.3">
      <c r="A68" s="3" t="s">
        <v>133</v>
      </c>
      <c r="B68" s="4">
        <v>43120</v>
      </c>
      <c r="C68" s="5">
        <v>16</v>
      </c>
      <c r="D68" s="5" t="s">
        <v>34</v>
      </c>
      <c r="E68" s="5" t="s">
        <v>42</v>
      </c>
      <c r="F68" s="5" t="s">
        <v>17</v>
      </c>
      <c r="G68" s="5" t="s">
        <v>12</v>
      </c>
      <c r="H68" s="5">
        <v>6900</v>
      </c>
      <c r="I68" s="5">
        <v>2</v>
      </c>
      <c r="J68" s="9">
        <v>13800</v>
      </c>
    </row>
    <row r="69" spans="1:10" x14ac:dyDescent="0.3">
      <c r="A69" s="3" t="s">
        <v>134</v>
      </c>
      <c r="B69" s="4">
        <v>43120</v>
      </c>
      <c r="C69" s="5">
        <v>13</v>
      </c>
      <c r="D69" s="5" t="s">
        <v>31</v>
      </c>
      <c r="E69" s="5" t="s">
        <v>45</v>
      </c>
      <c r="F69" s="5" t="s">
        <v>16</v>
      </c>
      <c r="G69" s="5" t="s">
        <v>11</v>
      </c>
      <c r="H69" s="5">
        <v>19900</v>
      </c>
      <c r="I69" s="5">
        <v>8</v>
      </c>
      <c r="J69" s="9">
        <v>159200</v>
      </c>
    </row>
    <row r="70" spans="1:10" x14ac:dyDescent="0.3">
      <c r="A70" s="3" t="s">
        <v>135</v>
      </c>
      <c r="B70" s="4">
        <v>43121</v>
      </c>
      <c r="C70" s="5">
        <v>19</v>
      </c>
      <c r="D70" s="5" t="s">
        <v>37</v>
      </c>
      <c r="E70" s="5" t="s">
        <v>43</v>
      </c>
      <c r="F70" s="5" t="s">
        <v>17</v>
      </c>
      <c r="G70" s="5" t="s">
        <v>11</v>
      </c>
      <c r="H70" s="5">
        <v>19900</v>
      </c>
      <c r="I70" s="5">
        <v>8</v>
      </c>
      <c r="J70" s="9">
        <v>159200</v>
      </c>
    </row>
    <row r="71" spans="1:10" x14ac:dyDescent="0.3">
      <c r="A71" s="3" t="s">
        <v>136</v>
      </c>
      <c r="B71" s="4">
        <v>43121</v>
      </c>
      <c r="C71" s="5">
        <v>6</v>
      </c>
      <c r="D71" s="5" t="s">
        <v>24</v>
      </c>
      <c r="E71" s="5" t="s">
        <v>44</v>
      </c>
      <c r="F71" s="5" t="s">
        <v>15</v>
      </c>
      <c r="G71" s="5" t="s">
        <v>11</v>
      </c>
      <c r="H71" s="5">
        <v>19900</v>
      </c>
      <c r="I71" s="5">
        <v>0</v>
      </c>
      <c r="J71" s="9">
        <v>0</v>
      </c>
    </row>
    <row r="72" spans="1:10" x14ac:dyDescent="0.3">
      <c r="A72" s="3" t="s">
        <v>137</v>
      </c>
      <c r="B72" s="4">
        <v>43121</v>
      </c>
      <c r="C72" s="5">
        <v>17</v>
      </c>
      <c r="D72" s="5" t="s">
        <v>35</v>
      </c>
      <c r="E72" s="5" t="s">
        <v>42</v>
      </c>
      <c r="F72" s="5" t="s">
        <v>17</v>
      </c>
      <c r="G72" s="5" t="s">
        <v>14</v>
      </c>
      <c r="H72" s="5">
        <v>15900</v>
      </c>
      <c r="I72" s="5">
        <v>4</v>
      </c>
      <c r="J72" s="9">
        <v>63600</v>
      </c>
    </row>
    <row r="73" spans="1:10" x14ac:dyDescent="0.3">
      <c r="A73" s="3" t="s">
        <v>138</v>
      </c>
      <c r="B73" s="4">
        <v>43122</v>
      </c>
      <c r="C73" s="5">
        <v>15</v>
      </c>
      <c r="D73" s="5" t="s">
        <v>33</v>
      </c>
      <c r="E73" s="5" t="s">
        <v>45</v>
      </c>
      <c r="F73" s="5" t="s">
        <v>16</v>
      </c>
      <c r="G73" s="5" t="s">
        <v>10</v>
      </c>
      <c r="H73" s="5">
        <v>39900</v>
      </c>
      <c r="I73" s="5">
        <v>4</v>
      </c>
      <c r="J73" s="9">
        <v>159600</v>
      </c>
    </row>
    <row r="74" spans="1:10" x14ac:dyDescent="0.3">
      <c r="A74" s="3" t="s">
        <v>139</v>
      </c>
      <c r="B74" s="4">
        <v>43123</v>
      </c>
      <c r="C74" s="5">
        <v>15</v>
      </c>
      <c r="D74" s="5" t="s">
        <v>33</v>
      </c>
      <c r="E74" s="5" t="s">
        <v>45</v>
      </c>
      <c r="F74" s="5" t="s">
        <v>16</v>
      </c>
      <c r="G74" s="5" t="s">
        <v>14</v>
      </c>
      <c r="H74" s="5">
        <v>15900</v>
      </c>
      <c r="I74" s="5">
        <v>1</v>
      </c>
      <c r="J74" s="9">
        <v>15900</v>
      </c>
    </row>
    <row r="75" spans="1:10" x14ac:dyDescent="0.3">
      <c r="A75" s="3" t="s">
        <v>140</v>
      </c>
      <c r="B75" s="4">
        <v>43123</v>
      </c>
      <c r="C75" s="5">
        <v>20</v>
      </c>
      <c r="D75" s="5" t="s">
        <v>38</v>
      </c>
      <c r="E75" s="5" t="s">
        <v>42</v>
      </c>
      <c r="F75" s="5" t="s">
        <v>17</v>
      </c>
      <c r="G75" s="5" t="s">
        <v>13</v>
      </c>
      <c r="H75" s="5">
        <v>28900</v>
      </c>
      <c r="I75" s="5">
        <v>1</v>
      </c>
      <c r="J75" s="9">
        <v>28900</v>
      </c>
    </row>
    <row r="76" spans="1:10" x14ac:dyDescent="0.3">
      <c r="A76" s="3" t="s">
        <v>141</v>
      </c>
      <c r="B76" s="4">
        <v>43123</v>
      </c>
      <c r="C76" s="5">
        <v>13</v>
      </c>
      <c r="D76" s="5" t="s">
        <v>31</v>
      </c>
      <c r="E76" s="5" t="s">
        <v>39</v>
      </c>
      <c r="F76" s="5" t="s">
        <v>16</v>
      </c>
      <c r="G76" s="5" t="s">
        <v>13</v>
      </c>
      <c r="H76" s="5">
        <v>28900</v>
      </c>
      <c r="I76" s="5">
        <v>5</v>
      </c>
      <c r="J76" s="9">
        <v>144500</v>
      </c>
    </row>
    <row r="77" spans="1:10" x14ac:dyDescent="0.3">
      <c r="A77" s="3" t="s">
        <v>142</v>
      </c>
      <c r="B77" s="4">
        <v>43124</v>
      </c>
      <c r="C77" s="5">
        <v>18</v>
      </c>
      <c r="D77" s="5" t="s">
        <v>36</v>
      </c>
      <c r="E77" s="5" t="s">
        <v>42</v>
      </c>
      <c r="F77" s="5" t="s">
        <v>17</v>
      </c>
      <c r="G77" s="5" t="s">
        <v>12</v>
      </c>
      <c r="H77" s="5">
        <v>6900</v>
      </c>
      <c r="I77" s="5">
        <v>7</v>
      </c>
      <c r="J77" s="9">
        <v>48300</v>
      </c>
    </row>
    <row r="78" spans="1:10" x14ac:dyDescent="0.3">
      <c r="A78" s="3" t="s">
        <v>143</v>
      </c>
      <c r="B78" s="4">
        <v>43124</v>
      </c>
      <c r="C78" s="5">
        <v>8</v>
      </c>
      <c r="D78" s="5" t="s">
        <v>26</v>
      </c>
      <c r="E78" s="5" t="s">
        <v>44</v>
      </c>
      <c r="F78" s="5" t="s">
        <v>15</v>
      </c>
      <c r="G78" s="5" t="s">
        <v>12</v>
      </c>
      <c r="H78" s="5">
        <v>6900</v>
      </c>
      <c r="I78" s="5">
        <v>2</v>
      </c>
      <c r="J78" s="9">
        <v>13800</v>
      </c>
    </row>
    <row r="79" spans="1:10" x14ac:dyDescent="0.3">
      <c r="A79" s="3" t="s">
        <v>144</v>
      </c>
      <c r="B79" s="4">
        <v>43124</v>
      </c>
      <c r="C79" s="5">
        <v>5</v>
      </c>
      <c r="D79" s="5" t="s">
        <v>23</v>
      </c>
      <c r="E79" s="5" t="s">
        <v>46</v>
      </c>
      <c r="F79" s="5" t="s">
        <v>18</v>
      </c>
      <c r="G79" s="5" t="s">
        <v>13</v>
      </c>
      <c r="H79" s="5">
        <v>28900</v>
      </c>
      <c r="I79" s="5">
        <v>1</v>
      </c>
      <c r="J79" s="9">
        <v>28900</v>
      </c>
    </row>
    <row r="80" spans="1:10" x14ac:dyDescent="0.3">
      <c r="A80" s="3" t="s">
        <v>145</v>
      </c>
      <c r="B80" s="4">
        <v>43124</v>
      </c>
      <c r="C80" s="5">
        <v>19</v>
      </c>
      <c r="D80" s="5" t="s">
        <v>37</v>
      </c>
      <c r="E80" s="5" t="s">
        <v>42</v>
      </c>
      <c r="F80" s="5" t="s">
        <v>17</v>
      </c>
      <c r="G80" s="5" t="s">
        <v>13</v>
      </c>
      <c r="H80" s="5">
        <v>28900</v>
      </c>
      <c r="I80" s="5">
        <v>8</v>
      </c>
      <c r="J80" s="9">
        <v>231200</v>
      </c>
    </row>
    <row r="81" spans="1:10" x14ac:dyDescent="0.3">
      <c r="A81" s="3" t="s">
        <v>146</v>
      </c>
      <c r="B81" s="4">
        <v>43124</v>
      </c>
      <c r="C81" s="5">
        <v>10</v>
      </c>
      <c r="D81" s="5" t="s">
        <v>28</v>
      </c>
      <c r="E81" s="5" t="s">
        <v>41</v>
      </c>
      <c r="F81" s="5" t="s">
        <v>15</v>
      </c>
      <c r="G81" s="5" t="s">
        <v>13</v>
      </c>
      <c r="H81" s="5">
        <v>28900</v>
      </c>
      <c r="I81" s="5">
        <v>3</v>
      </c>
      <c r="J81" s="9">
        <v>86700</v>
      </c>
    </row>
    <row r="82" spans="1:10" x14ac:dyDescent="0.3">
      <c r="A82" s="3" t="s">
        <v>147</v>
      </c>
      <c r="B82" s="4">
        <v>43124</v>
      </c>
      <c r="C82" s="5">
        <v>7</v>
      </c>
      <c r="D82" s="5" t="s">
        <v>25</v>
      </c>
      <c r="E82" s="5" t="s">
        <v>44</v>
      </c>
      <c r="F82" s="5" t="s">
        <v>15</v>
      </c>
      <c r="G82" s="5" t="s">
        <v>10</v>
      </c>
      <c r="H82" s="5">
        <v>39900</v>
      </c>
      <c r="I82" s="5">
        <v>6</v>
      </c>
      <c r="J82" s="9">
        <v>239400</v>
      </c>
    </row>
    <row r="83" spans="1:10" x14ac:dyDescent="0.3">
      <c r="A83" s="3" t="s">
        <v>148</v>
      </c>
      <c r="B83" s="4">
        <v>43124</v>
      </c>
      <c r="C83" s="5">
        <v>5</v>
      </c>
      <c r="D83" s="5" t="s">
        <v>23</v>
      </c>
      <c r="E83" s="5" t="s">
        <v>40</v>
      </c>
      <c r="F83" s="5" t="s">
        <v>18</v>
      </c>
      <c r="G83" s="5" t="s">
        <v>12</v>
      </c>
      <c r="H83" s="5">
        <v>6900</v>
      </c>
      <c r="I83" s="5">
        <v>1</v>
      </c>
      <c r="J83" s="9">
        <v>6900</v>
      </c>
    </row>
    <row r="84" spans="1:10" x14ac:dyDescent="0.3">
      <c r="A84" s="3" t="s">
        <v>149</v>
      </c>
      <c r="B84" s="4">
        <v>43124</v>
      </c>
      <c r="C84" s="5">
        <v>10</v>
      </c>
      <c r="D84" s="5" t="s">
        <v>28</v>
      </c>
      <c r="E84" s="5" t="s">
        <v>44</v>
      </c>
      <c r="F84" s="5" t="s">
        <v>15</v>
      </c>
      <c r="G84" s="5" t="s">
        <v>12</v>
      </c>
      <c r="H84" s="5">
        <v>6900</v>
      </c>
      <c r="I84" s="5">
        <v>2</v>
      </c>
      <c r="J84" s="9">
        <v>13800</v>
      </c>
    </row>
    <row r="85" spans="1:10" x14ac:dyDescent="0.3">
      <c r="A85" s="3" t="s">
        <v>150</v>
      </c>
      <c r="B85" s="4">
        <v>43125</v>
      </c>
      <c r="C85" s="5">
        <v>18</v>
      </c>
      <c r="D85" s="5" t="s">
        <v>36</v>
      </c>
      <c r="E85" s="5" t="s">
        <v>43</v>
      </c>
      <c r="F85" s="5" t="s">
        <v>17</v>
      </c>
      <c r="G85" s="5" t="s">
        <v>10</v>
      </c>
      <c r="H85" s="5">
        <v>39900</v>
      </c>
      <c r="I85" s="5">
        <v>1</v>
      </c>
      <c r="J85" s="9">
        <v>39900</v>
      </c>
    </row>
    <row r="86" spans="1:10" x14ac:dyDescent="0.3">
      <c r="A86" s="3" t="s">
        <v>151</v>
      </c>
      <c r="B86" s="4">
        <v>43126</v>
      </c>
      <c r="C86" s="5">
        <v>4</v>
      </c>
      <c r="D86" s="5" t="s">
        <v>22</v>
      </c>
      <c r="E86" s="5" t="s">
        <v>46</v>
      </c>
      <c r="F86" s="5" t="s">
        <v>18</v>
      </c>
      <c r="G86" s="5" t="s">
        <v>10</v>
      </c>
      <c r="H86" s="5">
        <v>39900</v>
      </c>
      <c r="I86" s="5">
        <v>9</v>
      </c>
      <c r="J86" s="9">
        <v>359100</v>
      </c>
    </row>
    <row r="87" spans="1:10" x14ac:dyDescent="0.3">
      <c r="A87" s="3" t="s">
        <v>152</v>
      </c>
      <c r="B87" s="4">
        <v>43126</v>
      </c>
      <c r="C87" s="5">
        <v>12</v>
      </c>
      <c r="D87" s="5" t="s">
        <v>30</v>
      </c>
      <c r="E87" s="5" t="s">
        <v>39</v>
      </c>
      <c r="F87" s="5" t="s">
        <v>16</v>
      </c>
      <c r="G87" s="5" t="s">
        <v>10</v>
      </c>
      <c r="H87" s="5">
        <v>39900</v>
      </c>
      <c r="I87" s="5">
        <v>2</v>
      </c>
      <c r="J87" s="9">
        <v>79800</v>
      </c>
    </row>
    <row r="88" spans="1:10" x14ac:dyDescent="0.3">
      <c r="A88" s="3" t="s">
        <v>153</v>
      </c>
      <c r="B88" s="4">
        <v>43127</v>
      </c>
      <c r="C88" s="5">
        <v>17</v>
      </c>
      <c r="D88" s="5" t="s">
        <v>35</v>
      </c>
      <c r="E88" s="5" t="s">
        <v>43</v>
      </c>
      <c r="F88" s="5" t="s">
        <v>17</v>
      </c>
      <c r="G88" s="5" t="s">
        <v>14</v>
      </c>
      <c r="H88" s="5">
        <v>15900</v>
      </c>
      <c r="I88" s="5">
        <v>3</v>
      </c>
      <c r="J88" s="9">
        <v>47700</v>
      </c>
    </row>
    <row r="89" spans="1:10" x14ac:dyDescent="0.3">
      <c r="A89" s="3" t="s">
        <v>154</v>
      </c>
      <c r="B89" s="4">
        <v>43127</v>
      </c>
      <c r="C89" s="5">
        <v>12</v>
      </c>
      <c r="D89" s="5" t="s">
        <v>30</v>
      </c>
      <c r="E89" s="5" t="s">
        <v>39</v>
      </c>
      <c r="F89" s="5" t="s">
        <v>16</v>
      </c>
      <c r="G89" s="5" t="s">
        <v>12</v>
      </c>
      <c r="H89" s="5">
        <v>6900</v>
      </c>
      <c r="I89" s="5">
        <v>2</v>
      </c>
      <c r="J89" s="9">
        <v>13800</v>
      </c>
    </row>
    <row r="90" spans="1:10" x14ac:dyDescent="0.3">
      <c r="A90" s="3" t="s">
        <v>155</v>
      </c>
      <c r="B90" s="4">
        <v>43127</v>
      </c>
      <c r="C90" s="5">
        <v>8</v>
      </c>
      <c r="D90" s="5" t="s">
        <v>26</v>
      </c>
      <c r="E90" s="5" t="s">
        <v>41</v>
      </c>
      <c r="F90" s="5" t="s">
        <v>15</v>
      </c>
      <c r="G90" s="5" t="s">
        <v>11</v>
      </c>
      <c r="H90" s="5">
        <v>19900</v>
      </c>
      <c r="I90" s="5">
        <v>5</v>
      </c>
      <c r="J90" s="9">
        <v>99500</v>
      </c>
    </row>
    <row r="91" spans="1:10" x14ac:dyDescent="0.3">
      <c r="A91" s="3" t="s">
        <v>156</v>
      </c>
      <c r="B91" s="4">
        <v>43127</v>
      </c>
      <c r="C91" s="5">
        <v>12</v>
      </c>
      <c r="D91" s="5" t="s">
        <v>30</v>
      </c>
      <c r="E91" s="5" t="s">
        <v>45</v>
      </c>
      <c r="F91" s="5" t="s">
        <v>16</v>
      </c>
      <c r="G91" s="5" t="s">
        <v>12</v>
      </c>
      <c r="H91" s="5">
        <v>6900</v>
      </c>
      <c r="I91" s="5">
        <v>2</v>
      </c>
      <c r="J91" s="9">
        <v>13800</v>
      </c>
    </row>
    <row r="92" spans="1:10" x14ac:dyDescent="0.3">
      <c r="A92" s="3" t="s">
        <v>157</v>
      </c>
      <c r="B92" s="4">
        <v>43127</v>
      </c>
      <c r="C92" s="5">
        <v>19</v>
      </c>
      <c r="D92" s="5" t="s">
        <v>37</v>
      </c>
      <c r="E92" s="5" t="s">
        <v>43</v>
      </c>
      <c r="F92" s="5" t="s">
        <v>17</v>
      </c>
      <c r="G92" s="5" t="s">
        <v>13</v>
      </c>
      <c r="H92" s="5">
        <v>28900</v>
      </c>
      <c r="I92" s="5">
        <v>4</v>
      </c>
      <c r="J92" s="9">
        <v>115600</v>
      </c>
    </row>
    <row r="93" spans="1:10" x14ac:dyDescent="0.3">
      <c r="A93" s="3" t="s">
        <v>158</v>
      </c>
      <c r="B93" s="4">
        <v>43128</v>
      </c>
      <c r="C93" s="5">
        <v>20</v>
      </c>
      <c r="D93" s="5" t="s">
        <v>38</v>
      </c>
      <c r="E93" s="5" t="s">
        <v>42</v>
      </c>
      <c r="F93" s="5" t="s">
        <v>17</v>
      </c>
      <c r="G93" s="5" t="s">
        <v>10</v>
      </c>
      <c r="H93" s="5">
        <v>39900</v>
      </c>
      <c r="I93" s="5">
        <v>6</v>
      </c>
      <c r="J93" s="9">
        <v>239400</v>
      </c>
    </row>
    <row r="94" spans="1:10" x14ac:dyDescent="0.3">
      <c r="A94" s="3" t="s">
        <v>159</v>
      </c>
      <c r="B94" s="4">
        <v>43129</v>
      </c>
      <c r="C94" s="5">
        <v>7</v>
      </c>
      <c r="D94" s="5" t="s">
        <v>25</v>
      </c>
      <c r="E94" s="5" t="s">
        <v>41</v>
      </c>
      <c r="F94" s="5" t="s">
        <v>15</v>
      </c>
      <c r="G94" s="5" t="s">
        <v>10</v>
      </c>
      <c r="H94" s="5">
        <v>39900</v>
      </c>
      <c r="I94" s="5">
        <v>1</v>
      </c>
      <c r="J94" s="9">
        <v>39900</v>
      </c>
    </row>
    <row r="95" spans="1:10" x14ac:dyDescent="0.3">
      <c r="A95" s="3" t="s">
        <v>160</v>
      </c>
      <c r="B95" s="4">
        <v>43129</v>
      </c>
      <c r="C95" s="5">
        <v>8</v>
      </c>
      <c r="D95" s="5" t="s">
        <v>26</v>
      </c>
      <c r="E95" s="5" t="s">
        <v>41</v>
      </c>
      <c r="F95" s="5" t="s">
        <v>15</v>
      </c>
      <c r="G95" s="5" t="s">
        <v>11</v>
      </c>
      <c r="H95" s="5">
        <v>19900</v>
      </c>
      <c r="I95" s="5">
        <v>2</v>
      </c>
      <c r="J95" s="9">
        <v>39800</v>
      </c>
    </row>
    <row r="96" spans="1:10" x14ac:dyDescent="0.3">
      <c r="A96" s="3" t="s">
        <v>161</v>
      </c>
      <c r="B96" s="4">
        <v>43129</v>
      </c>
      <c r="C96" s="5">
        <v>7</v>
      </c>
      <c r="D96" s="5" t="s">
        <v>25</v>
      </c>
      <c r="E96" s="5" t="s">
        <v>44</v>
      </c>
      <c r="F96" s="5" t="s">
        <v>15</v>
      </c>
      <c r="G96" s="5" t="s">
        <v>12</v>
      </c>
      <c r="H96" s="5">
        <v>6900</v>
      </c>
      <c r="I96" s="5">
        <v>8</v>
      </c>
      <c r="J96" s="9">
        <v>55200</v>
      </c>
    </row>
    <row r="97" spans="1:10" x14ac:dyDescent="0.3">
      <c r="A97" s="3" t="s">
        <v>162</v>
      </c>
      <c r="B97" s="4">
        <v>43130</v>
      </c>
      <c r="C97" s="5">
        <v>15</v>
      </c>
      <c r="D97" s="5" t="s">
        <v>33</v>
      </c>
      <c r="E97" s="5" t="s">
        <v>39</v>
      </c>
      <c r="F97" s="5" t="s">
        <v>16</v>
      </c>
      <c r="G97" s="5" t="s">
        <v>12</v>
      </c>
      <c r="H97" s="5">
        <v>6900</v>
      </c>
      <c r="I97" s="5">
        <v>9</v>
      </c>
      <c r="J97" s="9">
        <v>62100</v>
      </c>
    </row>
    <row r="98" spans="1:10" x14ac:dyDescent="0.3">
      <c r="A98" s="3" t="s">
        <v>163</v>
      </c>
      <c r="B98" s="4">
        <v>43130</v>
      </c>
      <c r="C98" s="5">
        <v>11</v>
      </c>
      <c r="D98" s="5" t="s">
        <v>29</v>
      </c>
      <c r="E98" s="5" t="s">
        <v>45</v>
      </c>
      <c r="F98" s="5" t="s">
        <v>16</v>
      </c>
      <c r="G98" s="5" t="s">
        <v>12</v>
      </c>
      <c r="H98" s="5">
        <v>6900</v>
      </c>
      <c r="I98" s="5">
        <v>7</v>
      </c>
      <c r="J98" s="9">
        <v>48300</v>
      </c>
    </row>
    <row r="99" spans="1:10" x14ac:dyDescent="0.3">
      <c r="A99" s="3" t="s">
        <v>164</v>
      </c>
      <c r="B99" s="4">
        <v>43130</v>
      </c>
      <c r="C99" s="5">
        <v>19</v>
      </c>
      <c r="D99" s="5" t="s">
        <v>37</v>
      </c>
      <c r="E99" s="5" t="s">
        <v>42</v>
      </c>
      <c r="F99" s="5" t="s">
        <v>17</v>
      </c>
      <c r="G99" s="5" t="s">
        <v>14</v>
      </c>
      <c r="H99" s="5">
        <v>15900</v>
      </c>
      <c r="I99" s="5">
        <v>8</v>
      </c>
      <c r="J99" s="9">
        <v>127200</v>
      </c>
    </row>
    <row r="100" spans="1:10" x14ac:dyDescent="0.3">
      <c r="A100" s="3" t="s">
        <v>165</v>
      </c>
      <c r="B100" s="4">
        <v>43130</v>
      </c>
      <c r="C100" s="5">
        <v>8</v>
      </c>
      <c r="D100" s="5" t="s">
        <v>26</v>
      </c>
      <c r="E100" s="5" t="s">
        <v>44</v>
      </c>
      <c r="F100" s="5" t="s">
        <v>15</v>
      </c>
      <c r="G100" s="5" t="s">
        <v>11</v>
      </c>
      <c r="H100" s="5">
        <v>19900</v>
      </c>
      <c r="I100" s="5">
        <v>9</v>
      </c>
      <c r="J100" s="9">
        <v>179100</v>
      </c>
    </row>
    <row r="101" spans="1:10" x14ac:dyDescent="0.3">
      <c r="A101" s="3" t="s">
        <v>166</v>
      </c>
      <c r="B101" s="4">
        <v>43130</v>
      </c>
      <c r="C101" s="5">
        <v>12</v>
      </c>
      <c r="D101" s="5" t="s">
        <v>30</v>
      </c>
      <c r="E101" s="5" t="s">
        <v>39</v>
      </c>
      <c r="F101" s="5" t="s">
        <v>16</v>
      </c>
      <c r="G101" s="5" t="s">
        <v>11</v>
      </c>
      <c r="H101" s="5">
        <v>19900</v>
      </c>
      <c r="I101" s="5">
        <v>5</v>
      </c>
      <c r="J101" s="9">
        <v>99500</v>
      </c>
    </row>
    <row r="102" spans="1:10" x14ac:dyDescent="0.3">
      <c r="A102" s="3" t="s">
        <v>167</v>
      </c>
      <c r="B102" s="4">
        <v>43131</v>
      </c>
      <c r="C102" s="5">
        <v>18</v>
      </c>
      <c r="D102" s="5" t="s">
        <v>36</v>
      </c>
      <c r="E102" s="5" t="s">
        <v>42</v>
      </c>
      <c r="F102" s="5" t="s">
        <v>17</v>
      </c>
      <c r="G102" s="5" t="s">
        <v>12</v>
      </c>
      <c r="H102" s="5">
        <v>6900</v>
      </c>
      <c r="I102" s="5">
        <v>4</v>
      </c>
      <c r="J102" s="9">
        <v>27600</v>
      </c>
    </row>
    <row r="103" spans="1:10" x14ac:dyDescent="0.3">
      <c r="A103" s="3" t="s">
        <v>168</v>
      </c>
      <c r="B103" s="4">
        <v>43132</v>
      </c>
      <c r="C103" s="5">
        <v>10</v>
      </c>
      <c r="D103" s="5" t="s">
        <v>28</v>
      </c>
      <c r="E103" s="5" t="s">
        <v>41</v>
      </c>
      <c r="F103" s="5" t="s">
        <v>15</v>
      </c>
      <c r="G103" s="5" t="s">
        <v>12</v>
      </c>
      <c r="H103" s="5">
        <v>6900</v>
      </c>
      <c r="I103" s="5">
        <v>4</v>
      </c>
      <c r="J103" s="9">
        <v>27600</v>
      </c>
    </row>
    <row r="104" spans="1:10" x14ac:dyDescent="0.3">
      <c r="A104" s="3" t="s">
        <v>169</v>
      </c>
      <c r="B104" s="4">
        <v>43132</v>
      </c>
      <c r="C104" s="5">
        <v>20</v>
      </c>
      <c r="D104" s="5" t="s">
        <v>38</v>
      </c>
      <c r="E104" s="5" t="s">
        <v>43</v>
      </c>
      <c r="F104" s="5" t="s">
        <v>17</v>
      </c>
      <c r="G104" s="5" t="s">
        <v>12</v>
      </c>
      <c r="H104" s="5">
        <v>6900</v>
      </c>
      <c r="I104" s="5">
        <v>6</v>
      </c>
      <c r="J104" s="9">
        <v>41400</v>
      </c>
    </row>
    <row r="105" spans="1:10" x14ac:dyDescent="0.3">
      <c r="A105" s="3" t="s">
        <v>170</v>
      </c>
      <c r="B105" s="4">
        <v>43133</v>
      </c>
      <c r="C105" s="5">
        <v>4</v>
      </c>
      <c r="D105" s="5" t="s">
        <v>22</v>
      </c>
      <c r="E105" s="5" t="s">
        <v>46</v>
      </c>
      <c r="F105" s="5" t="s">
        <v>18</v>
      </c>
      <c r="G105" s="5" t="s">
        <v>10</v>
      </c>
      <c r="H105" s="5">
        <v>39900</v>
      </c>
      <c r="I105" s="5">
        <v>1</v>
      </c>
      <c r="J105" s="9">
        <v>39900</v>
      </c>
    </row>
    <row r="106" spans="1:10" x14ac:dyDescent="0.3">
      <c r="A106" s="3" t="s">
        <v>171</v>
      </c>
      <c r="B106" s="4">
        <v>43133</v>
      </c>
      <c r="C106" s="5">
        <v>11</v>
      </c>
      <c r="D106" s="5" t="s">
        <v>29</v>
      </c>
      <c r="E106" s="5" t="s">
        <v>39</v>
      </c>
      <c r="F106" s="5" t="s">
        <v>16</v>
      </c>
      <c r="G106" s="5" t="s">
        <v>14</v>
      </c>
      <c r="H106" s="5">
        <v>15900</v>
      </c>
      <c r="I106" s="5">
        <v>0</v>
      </c>
      <c r="J106" s="9">
        <v>0</v>
      </c>
    </row>
    <row r="107" spans="1:10" x14ac:dyDescent="0.3">
      <c r="A107" s="3" t="s">
        <v>172</v>
      </c>
      <c r="B107" s="4">
        <v>43133</v>
      </c>
      <c r="C107" s="5">
        <v>2</v>
      </c>
      <c r="D107" s="5" t="s">
        <v>20</v>
      </c>
      <c r="E107" s="5" t="s">
        <v>46</v>
      </c>
      <c r="F107" s="5" t="s">
        <v>18</v>
      </c>
      <c r="G107" s="5" t="s">
        <v>14</v>
      </c>
      <c r="H107" s="5">
        <v>15900</v>
      </c>
      <c r="I107" s="5">
        <v>5</v>
      </c>
      <c r="J107" s="9">
        <v>79500</v>
      </c>
    </row>
    <row r="108" spans="1:10" x14ac:dyDescent="0.3">
      <c r="A108" s="3" t="s">
        <v>173</v>
      </c>
      <c r="B108" s="4">
        <v>43133</v>
      </c>
      <c r="C108" s="5">
        <v>7</v>
      </c>
      <c r="D108" s="5" t="s">
        <v>25</v>
      </c>
      <c r="E108" s="5" t="s">
        <v>41</v>
      </c>
      <c r="F108" s="5" t="s">
        <v>15</v>
      </c>
      <c r="G108" s="5" t="s">
        <v>14</v>
      </c>
      <c r="H108" s="5">
        <v>15900</v>
      </c>
      <c r="I108" s="5">
        <v>5</v>
      </c>
      <c r="J108" s="9">
        <v>79500</v>
      </c>
    </row>
    <row r="109" spans="1:10" x14ac:dyDescent="0.3">
      <c r="A109" s="3" t="s">
        <v>174</v>
      </c>
      <c r="B109" s="4">
        <v>43133</v>
      </c>
      <c r="C109" s="5">
        <v>15</v>
      </c>
      <c r="D109" s="5" t="s">
        <v>33</v>
      </c>
      <c r="E109" s="5" t="s">
        <v>45</v>
      </c>
      <c r="F109" s="5" t="s">
        <v>16</v>
      </c>
      <c r="G109" s="5" t="s">
        <v>10</v>
      </c>
      <c r="H109" s="5">
        <v>39900</v>
      </c>
      <c r="I109" s="5">
        <v>2</v>
      </c>
      <c r="J109" s="9">
        <v>79800</v>
      </c>
    </row>
    <row r="110" spans="1:10" x14ac:dyDescent="0.3">
      <c r="A110" s="3" t="s">
        <v>175</v>
      </c>
      <c r="B110" s="4">
        <v>43133</v>
      </c>
      <c r="C110" s="5">
        <v>20</v>
      </c>
      <c r="D110" s="5" t="s">
        <v>38</v>
      </c>
      <c r="E110" s="5" t="s">
        <v>42</v>
      </c>
      <c r="F110" s="5" t="s">
        <v>17</v>
      </c>
      <c r="G110" s="5" t="s">
        <v>14</v>
      </c>
      <c r="H110" s="5">
        <v>15900</v>
      </c>
      <c r="I110" s="5">
        <v>7</v>
      </c>
      <c r="J110" s="9">
        <v>111300</v>
      </c>
    </row>
    <row r="111" spans="1:10" x14ac:dyDescent="0.3">
      <c r="A111" s="3" t="s">
        <v>176</v>
      </c>
      <c r="B111" s="4">
        <v>43134</v>
      </c>
      <c r="C111" s="5">
        <v>16</v>
      </c>
      <c r="D111" s="5" t="s">
        <v>34</v>
      </c>
      <c r="E111" s="5" t="s">
        <v>42</v>
      </c>
      <c r="F111" s="5" t="s">
        <v>17</v>
      </c>
      <c r="G111" s="5" t="s">
        <v>11</v>
      </c>
      <c r="H111" s="5">
        <v>19900</v>
      </c>
      <c r="I111" s="5">
        <v>6</v>
      </c>
      <c r="J111" s="9">
        <v>119400</v>
      </c>
    </row>
    <row r="112" spans="1:10" x14ac:dyDescent="0.3">
      <c r="A112" s="3" t="s">
        <v>177</v>
      </c>
      <c r="B112" s="4">
        <v>43134</v>
      </c>
      <c r="C112" s="5">
        <v>19</v>
      </c>
      <c r="D112" s="5" t="s">
        <v>37</v>
      </c>
      <c r="E112" s="5" t="s">
        <v>43</v>
      </c>
      <c r="F112" s="5" t="s">
        <v>17</v>
      </c>
      <c r="G112" s="5" t="s">
        <v>10</v>
      </c>
      <c r="H112" s="5">
        <v>39900</v>
      </c>
      <c r="I112" s="5">
        <v>6</v>
      </c>
      <c r="J112" s="9">
        <v>239400</v>
      </c>
    </row>
    <row r="113" spans="1:10" x14ac:dyDescent="0.3">
      <c r="A113" s="3" t="s">
        <v>178</v>
      </c>
      <c r="B113" s="4">
        <v>43135</v>
      </c>
      <c r="C113" s="5">
        <v>1</v>
      </c>
      <c r="D113" s="5" t="s">
        <v>19</v>
      </c>
      <c r="E113" s="5" t="s">
        <v>40</v>
      </c>
      <c r="F113" s="5" t="s">
        <v>18</v>
      </c>
      <c r="G113" s="5" t="s">
        <v>10</v>
      </c>
      <c r="H113" s="5">
        <v>39900</v>
      </c>
      <c r="I113" s="5">
        <v>2</v>
      </c>
      <c r="J113" s="9">
        <v>79800</v>
      </c>
    </row>
    <row r="114" spans="1:10" x14ac:dyDescent="0.3">
      <c r="A114" s="3" t="s">
        <v>179</v>
      </c>
      <c r="B114" s="4">
        <v>43136</v>
      </c>
      <c r="C114" s="5">
        <v>17</v>
      </c>
      <c r="D114" s="5" t="s">
        <v>35</v>
      </c>
      <c r="E114" s="5" t="s">
        <v>42</v>
      </c>
      <c r="F114" s="5" t="s">
        <v>17</v>
      </c>
      <c r="G114" s="5" t="s">
        <v>10</v>
      </c>
      <c r="H114" s="5">
        <v>39900</v>
      </c>
      <c r="I114" s="5">
        <v>5</v>
      </c>
      <c r="J114" s="9">
        <v>199500</v>
      </c>
    </row>
    <row r="115" spans="1:10" x14ac:dyDescent="0.3">
      <c r="A115" s="3" t="s">
        <v>180</v>
      </c>
      <c r="B115" s="4">
        <v>43136</v>
      </c>
      <c r="C115" s="5">
        <v>9</v>
      </c>
      <c r="D115" s="5" t="s">
        <v>27</v>
      </c>
      <c r="E115" s="5" t="s">
        <v>41</v>
      </c>
      <c r="F115" s="5" t="s">
        <v>15</v>
      </c>
      <c r="G115" s="5" t="s">
        <v>14</v>
      </c>
      <c r="H115" s="5">
        <v>15900</v>
      </c>
      <c r="I115" s="5">
        <v>4</v>
      </c>
      <c r="J115" s="9">
        <v>63600</v>
      </c>
    </row>
    <row r="116" spans="1:10" x14ac:dyDescent="0.3">
      <c r="A116" s="3" t="s">
        <v>181</v>
      </c>
      <c r="B116" s="4">
        <v>43136</v>
      </c>
      <c r="C116" s="5">
        <v>2</v>
      </c>
      <c r="D116" s="5" t="s">
        <v>20</v>
      </c>
      <c r="E116" s="5" t="s">
        <v>46</v>
      </c>
      <c r="F116" s="5" t="s">
        <v>18</v>
      </c>
      <c r="G116" s="5" t="s">
        <v>12</v>
      </c>
      <c r="H116" s="5">
        <v>6900</v>
      </c>
      <c r="I116" s="5">
        <v>7</v>
      </c>
      <c r="J116" s="9">
        <v>48300</v>
      </c>
    </row>
    <row r="117" spans="1:10" x14ac:dyDescent="0.3">
      <c r="A117" s="3" t="s">
        <v>182</v>
      </c>
      <c r="B117" s="4">
        <v>43136</v>
      </c>
      <c r="C117" s="5">
        <v>14</v>
      </c>
      <c r="D117" s="5" t="s">
        <v>32</v>
      </c>
      <c r="E117" s="5" t="s">
        <v>39</v>
      </c>
      <c r="F117" s="5" t="s">
        <v>16</v>
      </c>
      <c r="G117" s="5" t="s">
        <v>12</v>
      </c>
      <c r="H117" s="5">
        <v>6900</v>
      </c>
      <c r="I117" s="5">
        <v>7</v>
      </c>
      <c r="J117" s="9">
        <v>48300</v>
      </c>
    </row>
    <row r="118" spans="1:10" x14ac:dyDescent="0.3">
      <c r="A118" s="3" t="s">
        <v>183</v>
      </c>
      <c r="B118" s="4">
        <v>43136</v>
      </c>
      <c r="C118" s="5">
        <v>14</v>
      </c>
      <c r="D118" s="5" t="s">
        <v>32</v>
      </c>
      <c r="E118" s="5" t="s">
        <v>39</v>
      </c>
      <c r="F118" s="5" t="s">
        <v>16</v>
      </c>
      <c r="G118" s="5" t="s">
        <v>10</v>
      </c>
      <c r="H118" s="5">
        <v>39900</v>
      </c>
      <c r="I118" s="5">
        <v>7</v>
      </c>
      <c r="J118" s="9">
        <v>279300</v>
      </c>
    </row>
    <row r="119" spans="1:10" x14ac:dyDescent="0.3">
      <c r="A119" s="3" t="s">
        <v>184</v>
      </c>
      <c r="B119" s="4">
        <v>43137</v>
      </c>
      <c r="C119" s="5">
        <v>5</v>
      </c>
      <c r="D119" s="5" t="s">
        <v>23</v>
      </c>
      <c r="E119" s="5" t="s">
        <v>40</v>
      </c>
      <c r="F119" s="5" t="s">
        <v>18</v>
      </c>
      <c r="G119" s="5" t="s">
        <v>13</v>
      </c>
      <c r="H119" s="5">
        <v>28900</v>
      </c>
      <c r="I119" s="5">
        <v>2</v>
      </c>
      <c r="J119" s="9">
        <v>57800</v>
      </c>
    </row>
    <row r="120" spans="1:10" x14ac:dyDescent="0.3">
      <c r="A120" s="3" t="s">
        <v>185</v>
      </c>
      <c r="B120" s="4">
        <v>43137</v>
      </c>
      <c r="C120" s="5">
        <v>5</v>
      </c>
      <c r="D120" s="5" t="s">
        <v>23</v>
      </c>
      <c r="E120" s="5" t="s">
        <v>40</v>
      </c>
      <c r="F120" s="5" t="s">
        <v>18</v>
      </c>
      <c r="G120" s="5" t="s">
        <v>11</v>
      </c>
      <c r="H120" s="5">
        <v>19900</v>
      </c>
      <c r="I120" s="5">
        <v>2</v>
      </c>
      <c r="J120" s="9">
        <v>39800</v>
      </c>
    </row>
    <row r="121" spans="1:10" x14ac:dyDescent="0.3">
      <c r="A121" s="3" t="s">
        <v>186</v>
      </c>
      <c r="B121" s="4">
        <v>43137</v>
      </c>
      <c r="C121" s="5">
        <v>14</v>
      </c>
      <c r="D121" s="5" t="s">
        <v>32</v>
      </c>
      <c r="E121" s="5" t="s">
        <v>39</v>
      </c>
      <c r="F121" s="5" t="s">
        <v>16</v>
      </c>
      <c r="G121" s="5" t="s">
        <v>14</v>
      </c>
      <c r="H121" s="5">
        <v>15900</v>
      </c>
      <c r="I121" s="5">
        <v>3</v>
      </c>
      <c r="J121" s="9">
        <v>47700</v>
      </c>
    </row>
    <row r="122" spans="1:10" x14ac:dyDescent="0.3">
      <c r="A122" s="3" t="s">
        <v>187</v>
      </c>
      <c r="B122" s="4">
        <v>43138</v>
      </c>
      <c r="C122" s="5">
        <v>15</v>
      </c>
      <c r="D122" s="5" t="s">
        <v>33</v>
      </c>
      <c r="E122" s="5" t="s">
        <v>39</v>
      </c>
      <c r="F122" s="5" t="s">
        <v>16</v>
      </c>
      <c r="G122" s="5" t="s">
        <v>11</v>
      </c>
      <c r="H122" s="5">
        <v>19900</v>
      </c>
      <c r="I122" s="5">
        <v>3</v>
      </c>
      <c r="J122" s="9">
        <v>59700</v>
      </c>
    </row>
    <row r="123" spans="1:10" x14ac:dyDescent="0.3">
      <c r="A123" s="3" t="s">
        <v>188</v>
      </c>
      <c r="B123" s="4">
        <v>43139</v>
      </c>
      <c r="C123" s="5">
        <v>8</v>
      </c>
      <c r="D123" s="5" t="s">
        <v>26</v>
      </c>
      <c r="E123" s="5" t="s">
        <v>44</v>
      </c>
      <c r="F123" s="5" t="s">
        <v>15</v>
      </c>
      <c r="G123" s="5" t="s">
        <v>12</v>
      </c>
      <c r="H123" s="5">
        <v>6900</v>
      </c>
      <c r="I123" s="5">
        <v>6</v>
      </c>
      <c r="J123" s="9">
        <v>41400</v>
      </c>
    </row>
    <row r="124" spans="1:10" x14ac:dyDescent="0.3">
      <c r="A124" s="3" t="s">
        <v>189</v>
      </c>
      <c r="B124" s="4">
        <v>43139</v>
      </c>
      <c r="C124" s="5">
        <v>2</v>
      </c>
      <c r="D124" s="5" t="s">
        <v>20</v>
      </c>
      <c r="E124" s="5" t="s">
        <v>40</v>
      </c>
      <c r="F124" s="5" t="s">
        <v>18</v>
      </c>
      <c r="G124" s="5" t="s">
        <v>13</v>
      </c>
      <c r="H124" s="5">
        <v>28900</v>
      </c>
      <c r="I124" s="5">
        <v>6</v>
      </c>
      <c r="J124" s="9">
        <v>173400</v>
      </c>
    </row>
    <row r="125" spans="1:10" x14ac:dyDescent="0.3">
      <c r="A125" s="3" t="s">
        <v>190</v>
      </c>
      <c r="B125" s="4">
        <v>43139</v>
      </c>
      <c r="C125" s="5">
        <v>4</v>
      </c>
      <c r="D125" s="5" t="s">
        <v>22</v>
      </c>
      <c r="E125" s="5" t="s">
        <v>46</v>
      </c>
      <c r="F125" s="5" t="s">
        <v>18</v>
      </c>
      <c r="G125" s="5" t="s">
        <v>13</v>
      </c>
      <c r="H125" s="5">
        <v>28900</v>
      </c>
      <c r="I125" s="5">
        <v>7</v>
      </c>
      <c r="J125" s="9">
        <v>202300</v>
      </c>
    </row>
    <row r="126" spans="1:10" x14ac:dyDescent="0.3">
      <c r="A126" s="3" t="s">
        <v>191</v>
      </c>
      <c r="B126" s="4">
        <v>43139</v>
      </c>
      <c r="C126" s="5">
        <v>10</v>
      </c>
      <c r="D126" s="5" t="s">
        <v>28</v>
      </c>
      <c r="E126" s="5" t="s">
        <v>41</v>
      </c>
      <c r="F126" s="5" t="s">
        <v>15</v>
      </c>
      <c r="G126" s="5" t="s">
        <v>14</v>
      </c>
      <c r="H126" s="5">
        <v>15900</v>
      </c>
      <c r="I126" s="5">
        <v>0</v>
      </c>
      <c r="J126" s="9">
        <v>0</v>
      </c>
    </row>
    <row r="127" spans="1:10" x14ac:dyDescent="0.3">
      <c r="A127" s="3" t="s">
        <v>192</v>
      </c>
      <c r="B127" s="4">
        <v>43139</v>
      </c>
      <c r="C127" s="5">
        <v>18</v>
      </c>
      <c r="D127" s="5" t="s">
        <v>36</v>
      </c>
      <c r="E127" s="5" t="s">
        <v>42</v>
      </c>
      <c r="F127" s="5" t="s">
        <v>17</v>
      </c>
      <c r="G127" s="5" t="s">
        <v>10</v>
      </c>
      <c r="H127" s="5">
        <v>39900</v>
      </c>
      <c r="I127" s="5">
        <v>4</v>
      </c>
      <c r="J127" s="9">
        <v>159600</v>
      </c>
    </row>
    <row r="128" spans="1:10" x14ac:dyDescent="0.3">
      <c r="A128" s="3" t="s">
        <v>193</v>
      </c>
      <c r="B128" s="4">
        <v>43139</v>
      </c>
      <c r="C128" s="5">
        <v>8</v>
      </c>
      <c r="D128" s="5" t="s">
        <v>26</v>
      </c>
      <c r="E128" s="5" t="s">
        <v>44</v>
      </c>
      <c r="F128" s="5" t="s">
        <v>15</v>
      </c>
      <c r="G128" s="5" t="s">
        <v>14</v>
      </c>
      <c r="H128" s="5">
        <v>15900</v>
      </c>
      <c r="I128" s="5">
        <v>4</v>
      </c>
      <c r="J128" s="9">
        <v>63600</v>
      </c>
    </row>
    <row r="129" spans="1:10" x14ac:dyDescent="0.3">
      <c r="A129" s="3" t="s">
        <v>194</v>
      </c>
      <c r="B129" s="4">
        <v>43140</v>
      </c>
      <c r="C129" s="5">
        <v>11</v>
      </c>
      <c r="D129" s="5" t="s">
        <v>29</v>
      </c>
      <c r="E129" s="5" t="s">
        <v>45</v>
      </c>
      <c r="F129" s="5" t="s">
        <v>16</v>
      </c>
      <c r="G129" s="5" t="s">
        <v>11</v>
      </c>
      <c r="H129" s="5">
        <v>19900</v>
      </c>
      <c r="I129" s="5">
        <v>0</v>
      </c>
      <c r="J129" s="9">
        <v>0</v>
      </c>
    </row>
    <row r="130" spans="1:10" x14ac:dyDescent="0.3">
      <c r="A130" s="3" t="s">
        <v>195</v>
      </c>
      <c r="B130" s="4">
        <v>43141</v>
      </c>
      <c r="C130" s="5">
        <v>6</v>
      </c>
      <c r="D130" s="5" t="s">
        <v>24</v>
      </c>
      <c r="E130" s="5" t="s">
        <v>41</v>
      </c>
      <c r="F130" s="5" t="s">
        <v>15</v>
      </c>
      <c r="G130" s="5" t="s">
        <v>11</v>
      </c>
      <c r="H130" s="5">
        <v>19900</v>
      </c>
      <c r="I130" s="5">
        <v>8</v>
      </c>
      <c r="J130" s="9">
        <v>159200</v>
      </c>
    </row>
    <row r="131" spans="1:10" x14ac:dyDescent="0.3">
      <c r="A131" s="3" t="s">
        <v>196</v>
      </c>
      <c r="B131" s="4">
        <v>43142</v>
      </c>
      <c r="C131" s="5">
        <v>16</v>
      </c>
      <c r="D131" s="5" t="s">
        <v>34</v>
      </c>
      <c r="E131" s="5" t="s">
        <v>42</v>
      </c>
      <c r="F131" s="5" t="s">
        <v>17</v>
      </c>
      <c r="G131" s="5" t="s">
        <v>11</v>
      </c>
      <c r="H131" s="5">
        <v>19900</v>
      </c>
      <c r="I131" s="5">
        <v>0</v>
      </c>
      <c r="J131" s="9">
        <v>0</v>
      </c>
    </row>
    <row r="132" spans="1:10" x14ac:dyDescent="0.3">
      <c r="A132" s="3" t="s">
        <v>197</v>
      </c>
      <c r="B132" s="4">
        <v>43142</v>
      </c>
      <c r="C132" s="5">
        <v>10</v>
      </c>
      <c r="D132" s="5" t="s">
        <v>28</v>
      </c>
      <c r="E132" s="5" t="s">
        <v>41</v>
      </c>
      <c r="F132" s="5" t="s">
        <v>15</v>
      </c>
      <c r="G132" s="5" t="s">
        <v>10</v>
      </c>
      <c r="H132" s="5">
        <v>39900</v>
      </c>
      <c r="I132" s="5">
        <v>3</v>
      </c>
      <c r="J132" s="9">
        <v>119700</v>
      </c>
    </row>
    <row r="133" spans="1:10" x14ac:dyDescent="0.3">
      <c r="A133" s="3" t="s">
        <v>198</v>
      </c>
      <c r="B133" s="4">
        <v>43142</v>
      </c>
      <c r="C133" s="5">
        <v>7</v>
      </c>
      <c r="D133" s="5" t="s">
        <v>25</v>
      </c>
      <c r="E133" s="5" t="s">
        <v>41</v>
      </c>
      <c r="F133" s="5" t="s">
        <v>15</v>
      </c>
      <c r="G133" s="5" t="s">
        <v>14</v>
      </c>
      <c r="H133" s="5">
        <v>15900</v>
      </c>
      <c r="I133" s="5">
        <v>9</v>
      </c>
      <c r="J133" s="9">
        <v>143100</v>
      </c>
    </row>
    <row r="134" spans="1:10" x14ac:dyDescent="0.3">
      <c r="A134" s="3" t="s">
        <v>199</v>
      </c>
      <c r="B134" s="4">
        <v>43142</v>
      </c>
      <c r="C134" s="5">
        <v>12</v>
      </c>
      <c r="D134" s="5" t="s">
        <v>30</v>
      </c>
      <c r="E134" s="5" t="s">
        <v>39</v>
      </c>
      <c r="F134" s="5" t="s">
        <v>16</v>
      </c>
      <c r="G134" s="5" t="s">
        <v>10</v>
      </c>
      <c r="H134" s="5">
        <v>39900</v>
      </c>
      <c r="I134" s="5">
        <v>9</v>
      </c>
      <c r="J134" s="9">
        <v>359100</v>
      </c>
    </row>
    <row r="135" spans="1:10" x14ac:dyDescent="0.3">
      <c r="A135" s="3" t="s">
        <v>200</v>
      </c>
      <c r="B135" s="4">
        <v>43143</v>
      </c>
      <c r="C135" s="5">
        <v>13</v>
      </c>
      <c r="D135" s="5" t="s">
        <v>31</v>
      </c>
      <c r="E135" s="5" t="s">
        <v>39</v>
      </c>
      <c r="F135" s="5" t="s">
        <v>16</v>
      </c>
      <c r="G135" s="5" t="s">
        <v>14</v>
      </c>
      <c r="H135" s="5">
        <v>15900</v>
      </c>
      <c r="I135" s="5">
        <v>7</v>
      </c>
      <c r="J135" s="9">
        <v>111300</v>
      </c>
    </row>
    <row r="136" spans="1:10" x14ac:dyDescent="0.3">
      <c r="A136" s="3" t="s">
        <v>201</v>
      </c>
      <c r="B136" s="4">
        <v>43143</v>
      </c>
      <c r="C136" s="5">
        <v>16</v>
      </c>
      <c r="D136" s="5" t="s">
        <v>34</v>
      </c>
      <c r="E136" s="5" t="s">
        <v>42</v>
      </c>
      <c r="F136" s="5" t="s">
        <v>17</v>
      </c>
      <c r="G136" s="5" t="s">
        <v>12</v>
      </c>
      <c r="H136" s="5">
        <v>6900</v>
      </c>
      <c r="I136" s="5">
        <v>5</v>
      </c>
      <c r="J136" s="9">
        <v>34500</v>
      </c>
    </row>
    <row r="137" spans="1:10" x14ac:dyDescent="0.3">
      <c r="A137" s="3" t="s">
        <v>202</v>
      </c>
      <c r="B137" s="4">
        <v>43144</v>
      </c>
      <c r="C137" s="5">
        <v>6</v>
      </c>
      <c r="D137" s="5" t="s">
        <v>24</v>
      </c>
      <c r="E137" s="5" t="s">
        <v>44</v>
      </c>
      <c r="F137" s="5" t="s">
        <v>15</v>
      </c>
      <c r="G137" s="5" t="s">
        <v>11</v>
      </c>
      <c r="H137" s="5">
        <v>19900</v>
      </c>
      <c r="I137" s="5">
        <v>9</v>
      </c>
      <c r="J137" s="9">
        <v>179100</v>
      </c>
    </row>
    <row r="138" spans="1:10" x14ac:dyDescent="0.3">
      <c r="A138" s="3" t="s">
        <v>203</v>
      </c>
      <c r="B138" s="4">
        <v>43144</v>
      </c>
      <c r="C138" s="5">
        <v>12</v>
      </c>
      <c r="D138" s="5" t="s">
        <v>30</v>
      </c>
      <c r="E138" s="5" t="s">
        <v>45</v>
      </c>
      <c r="F138" s="5" t="s">
        <v>16</v>
      </c>
      <c r="G138" s="5" t="s">
        <v>10</v>
      </c>
      <c r="H138" s="5">
        <v>39900</v>
      </c>
      <c r="I138" s="5">
        <v>3</v>
      </c>
      <c r="J138" s="9">
        <v>119700</v>
      </c>
    </row>
    <row r="139" spans="1:10" x14ac:dyDescent="0.3">
      <c r="A139" s="3" t="s">
        <v>204</v>
      </c>
      <c r="B139" s="4">
        <v>43144</v>
      </c>
      <c r="C139" s="5">
        <v>14</v>
      </c>
      <c r="D139" s="5" t="s">
        <v>32</v>
      </c>
      <c r="E139" s="5" t="s">
        <v>45</v>
      </c>
      <c r="F139" s="5" t="s">
        <v>16</v>
      </c>
      <c r="G139" s="5" t="s">
        <v>10</v>
      </c>
      <c r="H139" s="5">
        <v>39900</v>
      </c>
      <c r="I139" s="5">
        <v>3</v>
      </c>
      <c r="J139" s="9">
        <v>119700</v>
      </c>
    </row>
    <row r="140" spans="1:10" x14ac:dyDescent="0.3">
      <c r="A140" s="3" t="s">
        <v>205</v>
      </c>
      <c r="B140" s="4">
        <v>43144</v>
      </c>
      <c r="C140" s="5">
        <v>13</v>
      </c>
      <c r="D140" s="5" t="s">
        <v>31</v>
      </c>
      <c r="E140" s="5" t="s">
        <v>39</v>
      </c>
      <c r="F140" s="5" t="s">
        <v>16</v>
      </c>
      <c r="G140" s="5" t="s">
        <v>12</v>
      </c>
      <c r="H140" s="5">
        <v>6900</v>
      </c>
      <c r="I140" s="5">
        <v>4</v>
      </c>
      <c r="J140" s="9">
        <v>27600</v>
      </c>
    </row>
    <row r="141" spans="1:10" x14ac:dyDescent="0.3">
      <c r="A141" s="3" t="s">
        <v>206</v>
      </c>
      <c r="B141" s="4">
        <v>43144</v>
      </c>
      <c r="C141" s="5">
        <v>15</v>
      </c>
      <c r="D141" s="5" t="s">
        <v>33</v>
      </c>
      <c r="E141" s="5" t="s">
        <v>45</v>
      </c>
      <c r="F141" s="5" t="s">
        <v>16</v>
      </c>
      <c r="G141" s="5" t="s">
        <v>10</v>
      </c>
      <c r="H141" s="5">
        <v>39900</v>
      </c>
      <c r="I141" s="5">
        <v>8</v>
      </c>
      <c r="J141" s="9">
        <v>319200</v>
      </c>
    </row>
    <row r="142" spans="1:10" x14ac:dyDescent="0.3">
      <c r="A142" s="3" t="s">
        <v>207</v>
      </c>
      <c r="B142" s="4">
        <v>43144</v>
      </c>
      <c r="C142" s="5">
        <v>10</v>
      </c>
      <c r="D142" s="5" t="s">
        <v>28</v>
      </c>
      <c r="E142" s="5" t="s">
        <v>41</v>
      </c>
      <c r="F142" s="5" t="s">
        <v>15</v>
      </c>
      <c r="G142" s="5" t="s">
        <v>14</v>
      </c>
      <c r="H142" s="5">
        <v>15900</v>
      </c>
      <c r="I142" s="5">
        <v>8</v>
      </c>
      <c r="J142" s="9">
        <v>127200</v>
      </c>
    </row>
    <row r="143" spans="1:10" x14ac:dyDescent="0.3">
      <c r="A143" s="3" t="s">
        <v>208</v>
      </c>
      <c r="B143" s="4">
        <v>43144</v>
      </c>
      <c r="C143" s="5">
        <v>10</v>
      </c>
      <c r="D143" s="5" t="s">
        <v>28</v>
      </c>
      <c r="E143" s="5" t="s">
        <v>41</v>
      </c>
      <c r="F143" s="5" t="s">
        <v>15</v>
      </c>
      <c r="G143" s="5" t="s">
        <v>13</v>
      </c>
      <c r="H143" s="5">
        <v>28900</v>
      </c>
      <c r="I143" s="5">
        <v>4</v>
      </c>
      <c r="J143" s="9">
        <v>115600</v>
      </c>
    </row>
    <row r="144" spans="1:10" x14ac:dyDescent="0.3">
      <c r="A144" s="3" t="s">
        <v>209</v>
      </c>
      <c r="B144" s="4">
        <v>43144</v>
      </c>
      <c r="C144" s="5">
        <v>7</v>
      </c>
      <c r="D144" s="5" t="s">
        <v>25</v>
      </c>
      <c r="E144" s="5" t="s">
        <v>44</v>
      </c>
      <c r="F144" s="5" t="s">
        <v>15</v>
      </c>
      <c r="G144" s="5" t="s">
        <v>13</v>
      </c>
      <c r="H144" s="5">
        <v>28900</v>
      </c>
      <c r="I144" s="5">
        <v>5</v>
      </c>
      <c r="J144" s="9">
        <v>144500</v>
      </c>
    </row>
    <row r="145" spans="1:10" x14ac:dyDescent="0.3">
      <c r="A145" s="3" t="s">
        <v>210</v>
      </c>
      <c r="B145" s="4">
        <v>43144</v>
      </c>
      <c r="C145" s="5">
        <v>13</v>
      </c>
      <c r="D145" s="5" t="s">
        <v>31</v>
      </c>
      <c r="E145" s="5" t="s">
        <v>45</v>
      </c>
      <c r="F145" s="5" t="s">
        <v>16</v>
      </c>
      <c r="G145" s="5" t="s">
        <v>14</v>
      </c>
      <c r="H145" s="5">
        <v>15900</v>
      </c>
      <c r="I145" s="5">
        <v>2</v>
      </c>
      <c r="J145" s="9">
        <v>31800</v>
      </c>
    </row>
    <row r="146" spans="1:10" x14ac:dyDescent="0.3">
      <c r="A146" s="3" t="s">
        <v>211</v>
      </c>
      <c r="B146" s="4">
        <v>43144</v>
      </c>
      <c r="C146" s="5">
        <v>6</v>
      </c>
      <c r="D146" s="5" t="s">
        <v>24</v>
      </c>
      <c r="E146" s="5" t="s">
        <v>41</v>
      </c>
      <c r="F146" s="5" t="s">
        <v>15</v>
      </c>
      <c r="G146" s="5" t="s">
        <v>11</v>
      </c>
      <c r="H146" s="5">
        <v>19900</v>
      </c>
      <c r="I146" s="5">
        <v>6</v>
      </c>
      <c r="J146" s="9">
        <v>119400</v>
      </c>
    </row>
    <row r="147" spans="1:10" x14ac:dyDescent="0.3">
      <c r="A147" s="3" t="s">
        <v>212</v>
      </c>
      <c r="B147" s="4">
        <v>43144</v>
      </c>
      <c r="C147" s="5">
        <v>8</v>
      </c>
      <c r="D147" s="5" t="s">
        <v>26</v>
      </c>
      <c r="E147" s="5" t="s">
        <v>44</v>
      </c>
      <c r="F147" s="5" t="s">
        <v>15</v>
      </c>
      <c r="G147" s="5" t="s">
        <v>11</v>
      </c>
      <c r="H147" s="5">
        <v>19900</v>
      </c>
      <c r="I147" s="5">
        <v>2</v>
      </c>
      <c r="J147" s="9">
        <v>39800</v>
      </c>
    </row>
    <row r="148" spans="1:10" x14ac:dyDescent="0.3">
      <c r="A148" s="3" t="s">
        <v>213</v>
      </c>
      <c r="B148" s="4">
        <v>43144</v>
      </c>
      <c r="C148" s="5">
        <v>13</v>
      </c>
      <c r="D148" s="5" t="s">
        <v>31</v>
      </c>
      <c r="E148" s="5" t="s">
        <v>45</v>
      </c>
      <c r="F148" s="5" t="s">
        <v>16</v>
      </c>
      <c r="G148" s="5" t="s">
        <v>14</v>
      </c>
      <c r="H148" s="5">
        <v>15900</v>
      </c>
      <c r="I148" s="5">
        <v>5</v>
      </c>
      <c r="J148" s="9">
        <v>79500</v>
      </c>
    </row>
    <row r="149" spans="1:10" x14ac:dyDescent="0.3">
      <c r="A149" s="3" t="s">
        <v>214</v>
      </c>
      <c r="B149" s="4">
        <v>43144</v>
      </c>
      <c r="C149" s="5">
        <v>2</v>
      </c>
      <c r="D149" s="5" t="s">
        <v>20</v>
      </c>
      <c r="E149" s="5" t="s">
        <v>46</v>
      </c>
      <c r="F149" s="5" t="s">
        <v>18</v>
      </c>
      <c r="G149" s="5" t="s">
        <v>10</v>
      </c>
      <c r="H149" s="5">
        <v>39900</v>
      </c>
      <c r="I149" s="5">
        <v>2</v>
      </c>
      <c r="J149" s="9">
        <v>79800</v>
      </c>
    </row>
    <row r="150" spans="1:10" x14ac:dyDescent="0.3">
      <c r="A150" s="3" t="s">
        <v>215</v>
      </c>
      <c r="B150" s="4">
        <v>43144</v>
      </c>
      <c r="C150" s="5">
        <v>12</v>
      </c>
      <c r="D150" s="5" t="s">
        <v>30</v>
      </c>
      <c r="E150" s="5" t="s">
        <v>45</v>
      </c>
      <c r="F150" s="5" t="s">
        <v>16</v>
      </c>
      <c r="G150" s="5" t="s">
        <v>13</v>
      </c>
      <c r="H150" s="5">
        <v>28900</v>
      </c>
      <c r="I150" s="5">
        <v>8</v>
      </c>
      <c r="J150" s="9">
        <v>231200</v>
      </c>
    </row>
    <row r="151" spans="1:10" x14ac:dyDescent="0.3">
      <c r="A151" s="3" t="s">
        <v>216</v>
      </c>
      <c r="B151" s="4">
        <v>43144</v>
      </c>
      <c r="C151" s="5">
        <v>8</v>
      </c>
      <c r="D151" s="5" t="s">
        <v>26</v>
      </c>
      <c r="E151" s="5" t="s">
        <v>44</v>
      </c>
      <c r="F151" s="5" t="s">
        <v>15</v>
      </c>
      <c r="G151" s="5" t="s">
        <v>11</v>
      </c>
      <c r="H151" s="5">
        <v>19900</v>
      </c>
      <c r="I151" s="5">
        <v>1</v>
      </c>
      <c r="J151" s="9">
        <v>19900</v>
      </c>
    </row>
    <row r="152" spans="1:10" x14ac:dyDescent="0.3">
      <c r="A152" s="3" t="s">
        <v>217</v>
      </c>
      <c r="B152" s="4">
        <v>43144</v>
      </c>
      <c r="C152" s="5">
        <v>20</v>
      </c>
      <c r="D152" s="5" t="s">
        <v>38</v>
      </c>
      <c r="E152" s="5" t="s">
        <v>42</v>
      </c>
      <c r="F152" s="5" t="s">
        <v>17</v>
      </c>
      <c r="G152" s="5" t="s">
        <v>11</v>
      </c>
      <c r="H152" s="5">
        <v>19900</v>
      </c>
      <c r="I152" s="5">
        <v>8</v>
      </c>
      <c r="J152" s="9">
        <v>159200</v>
      </c>
    </row>
    <row r="153" spans="1:10" x14ac:dyDescent="0.3">
      <c r="A153" s="3" t="s">
        <v>218</v>
      </c>
      <c r="B153" s="4">
        <v>43144</v>
      </c>
      <c r="C153" s="5">
        <v>12</v>
      </c>
      <c r="D153" s="5" t="s">
        <v>30</v>
      </c>
      <c r="E153" s="5" t="s">
        <v>39</v>
      </c>
      <c r="F153" s="5" t="s">
        <v>16</v>
      </c>
      <c r="G153" s="5" t="s">
        <v>14</v>
      </c>
      <c r="H153" s="5">
        <v>15900</v>
      </c>
      <c r="I153" s="5">
        <v>6</v>
      </c>
      <c r="J153" s="9">
        <v>95400</v>
      </c>
    </row>
    <row r="154" spans="1:10" x14ac:dyDescent="0.3">
      <c r="A154" s="3" t="s">
        <v>219</v>
      </c>
      <c r="B154" s="4">
        <v>43144</v>
      </c>
      <c r="C154" s="5">
        <v>2</v>
      </c>
      <c r="D154" s="5" t="s">
        <v>20</v>
      </c>
      <c r="E154" s="5" t="s">
        <v>46</v>
      </c>
      <c r="F154" s="5" t="s">
        <v>18</v>
      </c>
      <c r="G154" s="5" t="s">
        <v>13</v>
      </c>
      <c r="H154" s="5">
        <v>28900</v>
      </c>
      <c r="I154" s="5">
        <v>2</v>
      </c>
      <c r="J154" s="9">
        <v>57800</v>
      </c>
    </row>
    <row r="155" spans="1:10" x14ac:dyDescent="0.3">
      <c r="A155" s="3" t="s">
        <v>220</v>
      </c>
      <c r="B155" s="4">
        <v>43145</v>
      </c>
      <c r="C155" s="5">
        <v>8</v>
      </c>
      <c r="D155" s="5" t="s">
        <v>26</v>
      </c>
      <c r="E155" s="5" t="s">
        <v>41</v>
      </c>
      <c r="F155" s="5" t="s">
        <v>15</v>
      </c>
      <c r="G155" s="5" t="s">
        <v>12</v>
      </c>
      <c r="H155" s="5">
        <v>6900</v>
      </c>
      <c r="I155" s="5">
        <v>8</v>
      </c>
      <c r="J155" s="9">
        <v>55200</v>
      </c>
    </row>
    <row r="156" spans="1:10" x14ac:dyDescent="0.3">
      <c r="A156" s="3" t="s">
        <v>221</v>
      </c>
      <c r="B156" s="4">
        <v>43146</v>
      </c>
      <c r="C156" s="5">
        <v>15</v>
      </c>
      <c r="D156" s="5" t="s">
        <v>33</v>
      </c>
      <c r="E156" s="5" t="s">
        <v>39</v>
      </c>
      <c r="F156" s="5" t="s">
        <v>16</v>
      </c>
      <c r="G156" s="5" t="s">
        <v>11</v>
      </c>
      <c r="H156" s="5">
        <v>19900</v>
      </c>
      <c r="I156" s="5">
        <v>9</v>
      </c>
      <c r="J156" s="9">
        <v>179100</v>
      </c>
    </row>
    <row r="157" spans="1:10" x14ac:dyDescent="0.3">
      <c r="A157" s="3" t="s">
        <v>222</v>
      </c>
      <c r="B157" s="4">
        <v>43146</v>
      </c>
      <c r="C157" s="5">
        <v>18</v>
      </c>
      <c r="D157" s="5" t="s">
        <v>36</v>
      </c>
      <c r="E157" s="5" t="s">
        <v>43</v>
      </c>
      <c r="F157" s="5" t="s">
        <v>17</v>
      </c>
      <c r="G157" s="5" t="s">
        <v>14</v>
      </c>
      <c r="H157" s="5">
        <v>15900</v>
      </c>
      <c r="I157" s="5">
        <v>4</v>
      </c>
      <c r="J157" s="9">
        <v>63600</v>
      </c>
    </row>
    <row r="158" spans="1:10" x14ac:dyDescent="0.3">
      <c r="A158" s="3" t="s">
        <v>223</v>
      </c>
      <c r="B158" s="4">
        <v>43147</v>
      </c>
      <c r="C158" s="5">
        <v>13</v>
      </c>
      <c r="D158" s="5" t="s">
        <v>31</v>
      </c>
      <c r="E158" s="5" t="s">
        <v>39</v>
      </c>
      <c r="F158" s="5" t="s">
        <v>16</v>
      </c>
      <c r="G158" s="5" t="s">
        <v>13</v>
      </c>
      <c r="H158" s="5">
        <v>28900</v>
      </c>
      <c r="I158" s="5">
        <v>3</v>
      </c>
      <c r="J158" s="9">
        <v>86700</v>
      </c>
    </row>
    <row r="159" spans="1:10" x14ac:dyDescent="0.3">
      <c r="A159" s="3" t="s">
        <v>224</v>
      </c>
      <c r="B159" s="4">
        <v>43147</v>
      </c>
      <c r="C159" s="5">
        <v>11</v>
      </c>
      <c r="D159" s="5" t="s">
        <v>29</v>
      </c>
      <c r="E159" s="5" t="s">
        <v>45</v>
      </c>
      <c r="F159" s="5" t="s">
        <v>16</v>
      </c>
      <c r="G159" s="5" t="s">
        <v>11</v>
      </c>
      <c r="H159" s="5">
        <v>19900</v>
      </c>
      <c r="I159" s="5">
        <v>4</v>
      </c>
      <c r="J159" s="9">
        <v>79600</v>
      </c>
    </row>
    <row r="160" spans="1:10" x14ac:dyDescent="0.3">
      <c r="A160" s="3" t="s">
        <v>225</v>
      </c>
      <c r="B160" s="4">
        <v>43147</v>
      </c>
      <c r="C160" s="5">
        <v>20</v>
      </c>
      <c r="D160" s="5" t="s">
        <v>38</v>
      </c>
      <c r="E160" s="5" t="s">
        <v>42</v>
      </c>
      <c r="F160" s="5" t="s">
        <v>17</v>
      </c>
      <c r="G160" s="5" t="s">
        <v>14</v>
      </c>
      <c r="H160" s="5">
        <v>15900</v>
      </c>
      <c r="I160" s="5">
        <v>6</v>
      </c>
      <c r="J160" s="9">
        <v>95400</v>
      </c>
    </row>
    <row r="161" spans="1:10" x14ac:dyDescent="0.3">
      <c r="A161" s="3" t="s">
        <v>226</v>
      </c>
      <c r="B161" s="4">
        <v>43147</v>
      </c>
      <c r="C161" s="5">
        <v>1</v>
      </c>
      <c r="D161" s="5" t="s">
        <v>19</v>
      </c>
      <c r="E161" s="5" t="s">
        <v>40</v>
      </c>
      <c r="F161" s="5" t="s">
        <v>18</v>
      </c>
      <c r="G161" s="5" t="s">
        <v>11</v>
      </c>
      <c r="H161" s="5">
        <v>19900</v>
      </c>
      <c r="I161" s="5">
        <v>9</v>
      </c>
      <c r="J161" s="9">
        <v>179100</v>
      </c>
    </row>
    <row r="162" spans="1:10" x14ac:dyDescent="0.3">
      <c r="A162" s="3" t="s">
        <v>227</v>
      </c>
      <c r="B162" s="4">
        <v>43147</v>
      </c>
      <c r="C162" s="5">
        <v>8</v>
      </c>
      <c r="D162" s="5" t="s">
        <v>26</v>
      </c>
      <c r="E162" s="5" t="s">
        <v>44</v>
      </c>
      <c r="F162" s="5" t="s">
        <v>15</v>
      </c>
      <c r="G162" s="5" t="s">
        <v>11</v>
      </c>
      <c r="H162" s="5">
        <v>19900</v>
      </c>
      <c r="I162" s="5">
        <v>2</v>
      </c>
      <c r="J162" s="9">
        <v>39800</v>
      </c>
    </row>
    <row r="163" spans="1:10" x14ac:dyDescent="0.3">
      <c r="A163" s="3" t="s">
        <v>228</v>
      </c>
      <c r="B163" s="4">
        <v>43147</v>
      </c>
      <c r="C163" s="5">
        <v>15</v>
      </c>
      <c r="D163" s="5" t="s">
        <v>33</v>
      </c>
      <c r="E163" s="5" t="s">
        <v>45</v>
      </c>
      <c r="F163" s="5" t="s">
        <v>16</v>
      </c>
      <c r="G163" s="5" t="s">
        <v>12</v>
      </c>
      <c r="H163" s="5">
        <v>6900</v>
      </c>
      <c r="I163" s="5">
        <v>5</v>
      </c>
      <c r="J163" s="9">
        <v>34500</v>
      </c>
    </row>
    <row r="164" spans="1:10" x14ac:dyDescent="0.3">
      <c r="A164" s="3" t="s">
        <v>229</v>
      </c>
      <c r="B164" s="4">
        <v>43147</v>
      </c>
      <c r="C164" s="5">
        <v>19</v>
      </c>
      <c r="D164" s="5" t="s">
        <v>37</v>
      </c>
      <c r="E164" s="5" t="s">
        <v>42</v>
      </c>
      <c r="F164" s="5" t="s">
        <v>17</v>
      </c>
      <c r="G164" s="5" t="s">
        <v>13</v>
      </c>
      <c r="H164" s="5">
        <v>28900</v>
      </c>
      <c r="I164" s="5">
        <v>7</v>
      </c>
      <c r="J164" s="9">
        <v>202300</v>
      </c>
    </row>
    <row r="165" spans="1:10" x14ac:dyDescent="0.3">
      <c r="A165" s="3" t="s">
        <v>230</v>
      </c>
      <c r="B165" s="4">
        <v>43148</v>
      </c>
      <c r="C165" s="5">
        <v>13</v>
      </c>
      <c r="D165" s="5" t="s">
        <v>31</v>
      </c>
      <c r="E165" s="5" t="s">
        <v>45</v>
      </c>
      <c r="F165" s="5" t="s">
        <v>16</v>
      </c>
      <c r="G165" s="5" t="s">
        <v>12</v>
      </c>
      <c r="H165" s="5">
        <v>6900</v>
      </c>
      <c r="I165" s="5">
        <v>1</v>
      </c>
      <c r="J165" s="9">
        <v>6900</v>
      </c>
    </row>
    <row r="166" spans="1:10" x14ac:dyDescent="0.3">
      <c r="A166" s="3" t="s">
        <v>231</v>
      </c>
      <c r="B166" s="4">
        <v>43148</v>
      </c>
      <c r="C166" s="5">
        <v>4</v>
      </c>
      <c r="D166" s="5" t="s">
        <v>22</v>
      </c>
      <c r="E166" s="5" t="s">
        <v>40</v>
      </c>
      <c r="F166" s="5" t="s">
        <v>18</v>
      </c>
      <c r="G166" s="5" t="s">
        <v>14</v>
      </c>
      <c r="H166" s="5">
        <v>15900</v>
      </c>
      <c r="I166" s="5">
        <v>1</v>
      </c>
      <c r="J166" s="9">
        <v>15900</v>
      </c>
    </row>
    <row r="167" spans="1:10" x14ac:dyDescent="0.3">
      <c r="A167" s="3" t="s">
        <v>232</v>
      </c>
      <c r="B167" s="4">
        <v>43149</v>
      </c>
      <c r="C167" s="5">
        <v>15</v>
      </c>
      <c r="D167" s="5" t="s">
        <v>33</v>
      </c>
      <c r="E167" s="5" t="s">
        <v>39</v>
      </c>
      <c r="F167" s="5" t="s">
        <v>16</v>
      </c>
      <c r="G167" s="5" t="s">
        <v>12</v>
      </c>
      <c r="H167" s="5">
        <v>6900</v>
      </c>
      <c r="I167" s="5">
        <v>0</v>
      </c>
      <c r="J167" s="9">
        <v>0</v>
      </c>
    </row>
    <row r="168" spans="1:10" x14ac:dyDescent="0.3">
      <c r="A168" s="3" t="s">
        <v>233</v>
      </c>
      <c r="B168" s="4">
        <v>43149</v>
      </c>
      <c r="C168" s="5">
        <v>12</v>
      </c>
      <c r="D168" s="5" t="s">
        <v>30</v>
      </c>
      <c r="E168" s="5" t="s">
        <v>45</v>
      </c>
      <c r="F168" s="5" t="s">
        <v>16</v>
      </c>
      <c r="G168" s="5" t="s">
        <v>12</v>
      </c>
      <c r="H168" s="5">
        <v>6900</v>
      </c>
      <c r="I168" s="5">
        <v>1</v>
      </c>
      <c r="J168" s="9">
        <v>6900</v>
      </c>
    </row>
    <row r="169" spans="1:10" x14ac:dyDescent="0.3">
      <c r="A169" s="3" t="s">
        <v>234</v>
      </c>
      <c r="B169" s="4">
        <v>43149</v>
      </c>
      <c r="C169" s="5">
        <v>7</v>
      </c>
      <c r="D169" s="5" t="s">
        <v>25</v>
      </c>
      <c r="E169" s="5" t="s">
        <v>41</v>
      </c>
      <c r="F169" s="5" t="s">
        <v>15</v>
      </c>
      <c r="G169" s="5" t="s">
        <v>14</v>
      </c>
      <c r="H169" s="5">
        <v>15900</v>
      </c>
      <c r="I169" s="5">
        <v>2</v>
      </c>
      <c r="J169" s="9">
        <v>31800</v>
      </c>
    </row>
    <row r="170" spans="1:10" x14ac:dyDescent="0.3">
      <c r="A170" s="3" t="s">
        <v>235</v>
      </c>
      <c r="B170" s="4">
        <v>43149</v>
      </c>
      <c r="C170" s="5">
        <v>10</v>
      </c>
      <c r="D170" s="5" t="s">
        <v>28</v>
      </c>
      <c r="E170" s="5" t="s">
        <v>44</v>
      </c>
      <c r="F170" s="5" t="s">
        <v>15</v>
      </c>
      <c r="G170" s="5" t="s">
        <v>12</v>
      </c>
      <c r="H170" s="5">
        <v>6900</v>
      </c>
      <c r="I170" s="5">
        <v>4</v>
      </c>
      <c r="J170" s="9">
        <v>27600</v>
      </c>
    </row>
    <row r="171" spans="1:10" x14ac:dyDescent="0.3">
      <c r="A171" s="3" t="s">
        <v>236</v>
      </c>
      <c r="B171" s="4">
        <v>43149</v>
      </c>
      <c r="C171" s="5">
        <v>6</v>
      </c>
      <c r="D171" s="5" t="s">
        <v>24</v>
      </c>
      <c r="E171" s="5" t="s">
        <v>44</v>
      </c>
      <c r="F171" s="5" t="s">
        <v>15</v>
      </c>
      <c r="G171" s="5" t="s">
        <v>12</v>
      </c>
      <c r="H171" s="5">
        <v>6900</v>
      </c>
      <c r="I171" s="5">
        <v>3</v>
      </c>
      <c r="J171" s="9">
        <v>20700</v>
      </c>
    </row>
    <row r="172" spans="1:10" x14ac:dyDescent="0.3">
      <c r="A172" s="3" t="s">
        <v>237</v>
      </c>
      <c r="B172" s="4">
        <v>43150</v>
      </c>
      <c r="C172" s="5">
        <v>8</v>
      </c>
      <c r="D172" s="5" t="s">
        <v>26</v>
      </c>
      <c r="E172" s="5" t="s">
        <v>44</v>
      </c>
      <c r="F172" s="5" t="s">
        <v>15</v>
      </c>
      <c r="G172" s="5" t="s">
        <v>10</v>
      </c>
      <c r="H172" s="5">
        <v>39900</v>
      </c>
      <c r="I172" s="5">
        <v>6</v>
      </c>
      <c r="J172" s="9">
        <v>239400</v>
      </c>
    </row>
    <row r="173" spans="1:10" x14ac:dyDescent="0.3">
      <c r="A173" s="3" t="s">
        <v>238</v>
      </c>
      <c r="B173" s="4">
        <v>43150</v>
      </c>
      <c r="C173" s="5">
        <v>11</v>
      </c>
      <c r="D173" s="5" t="s">
        <v>29</v>
      </c>
      <c r="E173" s="5" t="s">
        <v>39</v>
      </c>
      <c r="F173" s="5" t="s">
        <v>16</v>
      </c>
      <c r="G173" s="5" t="s">
        <v>12</v>
      </c>
      <c r="H173" s="5">
        <v>6900</v>
      </c>
      <c r="I173" s="5">
        <v>5</v>
      </c>
      <c r="J173" s="9">
        <v>34500</v>
      </c>
    </row>
    <row r="174" spans="1:10" x14ac:dyDescent="0.3">
      <c r="A174" s="3" t="s">
        <v>239</v>
      </c>
      <c r="B174" s="4">
        <v>43150</v>
      </c>
      <c r="C174" s="5">
        <v>2</v>
      </c>
      <c r="D174" s="5" t="s">
        <v>20</v>
      </c>
      <c r="E174" s="5" t="s">
        <v>46</v>
      </c>
      <c r="F174" s="5" t="s">
        <v>18</v>
      </c>
      <c r="G174" s="5" t="s">
        <v>10</v>
      </c>
      <c r="H174" s="5">
        <v>39900</v>
      </c>
      <c r="I174" s="5">
        <v>1</v>
      </c>
      <c r="J174" s="9">
        <v>39900</v>
      </c>
    </row>
    <row r="175" spans="1:10" x14ac:dyDescent="0.3">
      <c r="A175" s="3" t="s">
        <v>240</v>
      </c>
      <c r="B175" s="4">
        <v>43150</v>
      </c>
      <c r="C175" s="5">
        <v>6</v>
      </c>
      <c r="D175" s="5" t="s">
        <v>24</v>
      </c>
      <c r="E175" s="5" t="s">
        <v>44</v>
      </c>
      <c r="F175" s="5" t="s">
        <v>15</v>
      </c>
      <c r="G175" s="5" t="s">
        <v>10</v>
      </c>
      <c r="H175" s="5">
        <v>39900</v>
      </c>
      <c r="I175" s="5">
        <v>6</v>
      </c>
      <c r="J175" s="9">
        <v>239400</v>
      </c>
    </row>
    <row r="176" spans="1:10" x14ac:dyDescent="0.3">
      <c r="A176" s="3" t="s">
        <v>241</v>
      </c>
      <c r="B176" s="4">
        <v>43151</v>
      </c>
      <c r="C176" s="5">
        <v>11</v>
      </c>
      <c r="D176" s="5" t="s">
        <v>29</v>
      </c>
      <c r="E176" s="5" t="s">
        <v>39</v>
      </c>
      <c r="F176" s="5" t="s">
        <v>16</v>
      </c>
      <c r="G176" s="5" t="s">
        <v>13</v>
      </c>
      <c r="H176" s="5">
        <v>28900</v>
      </c>
      <c r="I176" s="5">
        <v>5</v>
      </c>
      <c r="J176" s="9">
        <v>144500</v>
      </c>
    </row>
    <row r="177" spans="1:10" x14ac:dyDescent="0.3">
      <c r="A177" s="3" t="s">
        <v>242</v>
      </c>
      <c r="B177" s="4">
        <v>43152</v>
      </c>
      <c r="C177" s="5">
        <v>13</v>
      </c>
      <c r="D177" s="5" t="s">
        <v>31</v>
      </c>
      <c r="E177" s="5" t="s">
        <v>45</v>
      </c>
      <c r="F177" s="5" t="s">
        <v>16</v>
      </c>
      <c r="G177" s="5" t="s">
        <v>11</v>
      </c>
      <c r="H177" s="5">
        <v>19900</v>
      </c>
      <c r="I177" s="5">
        <v>6</v>
      </c>
      <c r="J177" s="9">
        <v>119400</v>
      </c>
    </row>
    <row r="178" spans="1:10" x14ac:dyDescent="0.3">
      <c r="A178" s="3" t="s">
        <v>243</v>
      </c>
      <c r="B178" s="4">
        <v>43152</v>
      </c>
      <c r="C178" s="5">
        <v>8</v>
      </c>
      <c r="D178" s="5" t="s">
        <v>26</v>
      </c>
      <c r="E178" s="5" t="s">
        <v>44</v>
      </c>
      <c r="F178" s="5" t="s">
        <v>15</v>
      </c>
      <c r="G178" s="5" t="s">
        <v>13</v>
      </c>
      <c r="H178" s="5">
        <v>28900</v>
      </c>
      <c r="I178" s="5">
        <v>1</v>
      </c>
      <c r="J178" s="9">
        <v>28900</v>
      </c>
    </row>
    <row r="179" spans="1:10" x14ac:dyDescent="0.3">
      <c r="A179" s="3" t="s">
        <v>244</v>
      </c>
      <c r="B179" s="4">
        <v>43152</v>
      </c>
      <c r="C179" s="5">
        <v>13</v>
      </c>
      <c r="D179" s="5" t="s">
        <v>31</v>
      </c>
      <c r="E179" s="5" t="s">
        <v>39</v>
      </c>
      <c r="F179" s="5" t="s">
        <v>16</v>
      </c>
      <c r="G179" s="5" t="s">
        <v>14</v>
      </c>
      <c r="H179" s="5">
        <v>15900</v>
      </c>
      <c r="I179" s="5">
        <v>1</v>
      </c>
      <c r="J179" s="9">
        <v>15900</v>
      </c>
    </row>
    <row r="180" spans="1:10" x14ac:dyDescent="0.3">
      <c r="A180" s="3" t="s">
        <v>245</v>
      </c>
      <c r="B180" s="4">
        <v>43152</v>
      </c>
      <c r="C180" s="5">
        <v>1</v>
      </c>
      <c r="D180" s="5" t="s">
        <v>19</v>
      </c>
      <c r="E180" s="5" t="s">
        <v>40</v>
      </c>
      <c r="F180" s="5" t="s">
        <v>18</v>
      </c>
      <c r="G180" s="5" t="s">
        <v>13</v>
      </c>
      <c r="H180" s="5">
        <v>28900</v>
      </c>
      <c r="I180" s="5">
        <v>2</v>
      </c>
      <c r="J180" s="9">
        <v>57800</v>
      </c>
    </row>
    <row r="181" spans="1:10" x14ac:dyDescent="0.3">
      <c r="A181" s="3" t="s">
        <v>246</v>
      </c>
      <c r="B181" s="4">
        <v>43152</v>
      </c>
      <c r="C181" s="5">
        <v>20</v>
      </c>
      <c r="D181" s="5" t="s">
        <v>38</v>
      </c>
      <c r="E181" s="5" t="s">
        <v>42</v>
      </c>
      <c r="F181" s="5" t="s">
        <v>17</v>
      </c>
      <c r="G181" s="5" t="s">
        <v>12</v>
      </c>
      <c r="H181" s="5">
        <v>6900</v>
      </c>
      <c r="I181" s="5">
        <v>3</v>
      </c>
      <c r="J181" s="9">
        <v>20700</v>
      </c>
    </row>
    <row r="182" spans="1:10" x14ac:dyDescent="0.3">
      <c r="A182" s="3" t="s">
        <v>247</v>
      </c>
      <c r="B182" s="4">
        <v>43152</v>
      </c>
      <c r="C182" s="5">
        <v>20</v>
      </c>
      <c r="D182" s="5" t="s">
        <v>38</v>
      </c>
      <c r="E182" s="5" t="s">
        <v>43</v>
      </c>
      <c r="F182" s="5" t="s">
        <v>17</v>
      </c>
      <c r="G182" s="5" t="s">
        <v>12</v>
      </c>
      <c r="H182" s="5">
        <v>6900</v>
      </c>
      <c r="I182" s="5">
        <v>1</v>
      </c>
      <c r="J182" s="9">
        <v>6900</v>
      </c>
    </row>
    <row r="183" spans="1:10" x14ac:dyDescent="0.3">
      <c r="A183" s="3" t="s">
        <v>248</v>
      </c>
      <c r="B183" s="4">
        <v>43152</v>
      </c>
      <c r="C183" s="5">
        <v>1</v>
      </c>
      <c r="D183" s="5" t="s">
        <v>19</v>
      </c>
      <c r="E183" s="5" t="s">
        <v>40</v>
      </c>
      <c r="F183" s="5" t="s">
        <v>18</v>
      </c>
      <c r="G183" s="5" t="s">
        <v>14</v>
      </c>
      <c r="H183" s="5">
        <v>15900</v>
      </c>
      <c r="I183" s="5">
        <v>2</v>
      </c>
      <c r="J183" s="9">
        <v>31800</v>
      </c>
    </row>
    <row r="184" spans="1:10" x14ac:dyDescent="0.3">
      <c r="A184" s="3" t="s">
        <v>249</v>
      </c>
      <c r="B184" s="4">
        <v>43153</v>
      </c>
      <c r="C184" s="5">
        <v>10</v>
      </c>
      <c r="D184" s="5" t="s">
        <v>28</v>
      </c>
      <c r="E184" s="5" t="s">
        <v>41</v>
      </c>
      <c r="F184" s="5" t="s">
        <v>15</v>
      </c>
      <c r="G184" s="5" t="s">
        <v>11</v>
      </c>
      <c r="H184" s="5">
        <v>19900</v>
      </c>
      <c r="I184" s="5">
        <v>2</v>
      </c>
      <c r="J184" s="9">
        <v>39800</v>
      </c>
    </row>
    <row r="185" spans="1:10" x14ac:dyDescent="0.3">
      <c r="A185" s="3" t="s">
        <v>250</v>
      </c>
      <c r="B185" s="4">
        <v>43154</v>
      </c>
      <c r="C185" s="5">
        <v>12</v>
      </c>
      <c r="D185" s="5" t="s">
        <v>30</v>
      </c>
      <c r="E185" s="5" t="s">
        <v>45</v>
      </c>
      <c r="F185" s="5" t="s">
        <v>16</v>
      </c>
      <c r="G185" s="5" t="s">
        <v>14</v>
      </c>
      <c r="H185" s="5">
        <v>15900</v>
      </c>
      <c r="I185" s="5">
        <v>7</v>
      </c>
      <c r="J185" s="9">
        <v>111300</v>
      </c>
    </row>
    <row r="186" spans="1:10" x14ac:dyDescent="0.3">
      <c r="A186" s="3" t="s">
        <v>251</v>
      </c>
      <c r="B186" s="4">
        <v>43154</v>
      </c>
      <c r="C186" s="5">
        <v>4</v>
      </c>
      <c r="D186" s="5" t="s">
        <v>22</v>
      </c>
      <c r="E186" s="5" t="s">
        <v>46</v>
      </c>
      <c r="F186" s="5" t="s">
        <v>18</v>
      </c>
      <c r="G186" s="5" t="s">
        <v>10</v>
      </c>
      <c r="H186" s="5">
        <v>39900</v>
      </c>
      <c r="I186" s="5">
        <v>5</v>
      </c>
      <c r="J186" s="9">
        <v>199500</v>
      </c>
    </row>
    <row r="187" spans="1:10" x14ac:dyDescent="0.3">
      <c r="A187" s="3" t="s">
        <v>252</v>
      </c>
      <c r="B187" s="4">
        <v>43154</v>
      </c>
      <c r="C187" s="5">
        <v>5</v>
      </c>
      <c r="D187" s="5" t="s">
        <v>23</v>
      </c>
      <c r="E187" s="5" t="s">
        <v>46</v>
      </c>
      <c r="F187" s="5" t="s">
        <v>18</v>
      </c>
      <c r="G187" s="5" t="s">
        <v>13</v>
      </c>
      <c r="H187" s="5">
        <v>28900</v>
      </c>
      <c r="I187" s="5">
        <v>4</v>
      </c>
      <c r="J187" s="9">
        <v>115600</v>
      </c>
    </row>
    <row r="188" spans="1:10" x14ac:dyDescent="0.3">
      <c r="A188" s="3" t="s">
        <v>253</v>
      </c>
      <c r="B188" s="4">
        <v>43155</v>
      </c>
      <c r="C188" s="5">
        <v>17</v>
      </c>
      <c r="D188" s="5" t="s">
        <v>35</v>
      </c>
      <c r="E188" s="5" t="s">
        <v>42</v>
      </c>
      <c r="F188" s="5" t="s">
        <v>17</v>
      </c>
      <c r="G188" s="5" t="s">
        <v>10</v>
      </c>
      <c r="H188" s="5">
        <v>39900</v>
      </c>
      <c r="I188" s="5">
        <v>9</v>
      </c>
      <c r="J188" s="9">
        <v>359100</v>
      </c>
    </row>
    <row r="189" spans="1:10" x14ac:dyDescent="0.3">
      <c r="A189" s="3" t="s">
        <v>254</v>
      </c>
      <c r="B189" s="4">
        <v>43155</v>
      </c>
      <c r="C189" s="5">
        <v>17</v>
      </c>
      <c r="D189" s="5" t="s">
        <v>35</v>
      </c>
      <c r="E189" s="5" t="s">
        <v>43</v>
      </c>
      <c r="F189" s="5" t="s">
        <v>17</v>
      </c>
      <c r="G189" s="5" t="s">
        <v>11</v>
      </c>
      <c r="H189" s="5">
        <v>19900</v>
      </c>
      <c r="I189" s="5">
        <v>6</v>
      </c>
      <c r="J189" s="9">
        <v>119400</v>
      </c>
    </row>
    <row r="190" spans="1:10" x14ac:dyDescent="0.3">
      <c r="A190" s="3" t="s">
        <v>255</v>
      </c>
      <c r="B190" s="4">
        <v>43156</v>
      </c>
      <c r="C190" s="5">
        <v>20</v>
      </c>
      <c r="D190" s="5" t="s">
        <v>38</v>
      </c>
      <c r="E190" s="5" t="s">
        <v>42</v>
      </c>
      <c r="F190" s="5" t="s">
        <v>17</v>
      </c>
      <c r="G190" s="5" t="s">
        <v>10</v>
      </c>
      <c r="H190" s="5">
        <v>39900</v>
      </c>
      <c r="I190" s="5">
        <v>8</v>
      </c>
      <c r="J190" s="9">
        <v>319200</v>
      </c>
    </row>
    <row r="191" spans="1:10" x14ac:dyDescent="0.3">
      <c r="A191" s="3" t="s">
        <v>256</v>
      </c>
      <c r="B191" s="4">
        <v>43156</v>
      </c>
      <c r="C191" s="5">
        <v>5</v>
      </c>
      <c r="D191" s="5" t="s">
        <v>23</v>
      </c>
      <c r="E191" s="5" t="s">
        <v>40</v>
      </c>
      <c r="F191" s="5" t="s">
        <v>18</v>
      </c>
      <c r="G191" s="5" t="s">
        <v>11</v>
      </c>
      <c r="H191" s="5">
        <v>19900</v>
      </c>
      <c r="I191" s="5">
        <v>5</v>
      </c>
      <c r="J191" s="9">
        <v>99500</v>
      </c>
    </row>
    <row r="192" spans="1:10" x14ac:dyDescent="0.3">
      <c r="A192" s="3" t="s">
        <v>257</v>
      </c>
      <c r="B192" s="4">
        <v>43156</v>
      </c>
      <c r="C192" s="5">
        <v>11</v>
      </c>
      <c r="D192" s="5" t="s">
        <v>29</v>
      </c>
      <c r="E192" s="5" t="s">
        <v>39</v>
      </c>
      <c r="F192" s="5" t="s">
        <v>16</v>
      </c>
      <c r="G192" s="5" t="s">
        <v>14</v>
      </c>
      <c r="H192" s="5">
        <v>15900</v>
      </c>
      <c r="I192" s="5">
        <v>4</v>
      </c>
      <c r="J192" s="9">
        <v>63600</v>
      </c>
    </row>
    <row r="193" spans="1:10" x14ac:dyDescent="0.3">
      <c r="A193" s="3" t="s">
        <v>258</v>
      </c>
      <c r="B193" s="4">
        <v>43157</v>
      </c>
      <c r="C193" s="5">
        <v>12</v>
      </c>
      <c r="D193" s="5" t="s">
        <v>30</v>
      </c>
      <c r="E193" s="5" t="s">
        <v>45</v>
      </c>
      <c r="F193" s="5" t="s">
        <v>16</v>
      </c>
      <c r="G193" s="5" t="s">
        <v>10</v>
      </c>
      <c r="H193" s="5">
        <v>39900</v>
      </c>
      <c r="I193" s="5">
        <v>0</v>
      </c>
      <c r="J193" s="9">
        <v>0</v>
      </c>
    </row>
    <row r="194" spans="1:10" x14ac:dyDescent="0.3">
      <c r="A194" s="3" t="s">
        <v>259</v>
      </c>
      <c r="B194" s="4">
        <v>43158</v>
      </c>
      <c r="C194" s="5">
        <v>9</v>
      </c>
      <c r="D194" s="5" t="s">
        <v>27</v>
      </c>
      <c r="E194" s="5" t="s">
        <v>44</v>
      </c>
      <c r="F194" s="5" t="s">
        <v>15</v>
      </c>
      <c r="G194" s="5" t="s">
        <v>14</v>
      </c>
      <c r="H194" s="5">
        <v>15900</v>
      </c>
      <c r="I194" s="5">
        <v>1</v>
      </c>
      <c r="J194" s="9">
        <v>15900</v>
      </c>
    </row>
    <row r="195" spans="1:10" x14ac:dyDescent="0.3">
      <c r="A195" s="3" t="s">
        <v>260</v>
      </c>
      <c r="B195" s="4">
        <v>43158</v>
      </c>
      <c r="C195" s="5">
        <v>4</v>
      </c>
      <c r="D195" s="5" t="s">
        <v>22</v>
      </c>
      <c r="E195" s="5" t="s">
        <v>40</v>
      </c>
      <c r="F195" s="5" t="s">
        <v>18</v>
      </c>
      <c r="G195" s="5" t="s">
        <v>11</v>
      </c>
      <c r="H195" s="5">
        <v>19900</v>
      </c>
      <c r="I195" s="5">
        <v>0</v>
      </c>
      <c r="J195" s="9">
        <v>0</v>
      </c>
    </row>
    <row r="196" spans="1:10" x14ac:dyDescent="0.3">
      <c r="A196" s="3" t="s">
        <v>261</v>
      </c>
      <c r="B196" s="4">
        <v>43158</v>
      </c>
      <c r="C196" s="5">
        <v>15</v>
      </c>
      <c r="D196" s="5" t="s">
        <v>33</v>
      </c>
      <c r="E196" s="5" t="s">
        <v>45</v>
      </c>
      <c r="F196" s="5" t="s">
        <v>16</v>
      </c>
      <c r="G196" s="5" t="s">
        <v>14</v>
      </c>
      <c r="H196" s="5">
        <v>15900</v>
      </c>
      <c r="I196" s="5">
        <v>8</v>
      </c>
      <c r="J196" s="9">
        <v>127200</v>
      </c>
    </row>
    <row r="197" spans="1:10" x14ac:dyDescent="0.3">
      <c r="A197" s="3" t="s">
        <v>262</v>
      </c>
      <c r="B197" s="4">
        <v>43159</v>
      </c>
      <c r="C197" s="5">
        <v>6</v>
      </c>
      <c r="D197" s="5" t="s">
        <v>24</v>
      </c>
      <c r="E197" s="5" t="s">
        <v>44</v>
      </c>
      <c r="F197" s="5" t="s">
        <v>15</v>
      </c>
      <c r="G197" s="5" t="s">
        <v>13</v>
      </c>
      <c r="H197" s="5">
        <v>28900</v>
      </c>
      <c r="I197" s="5">
        <v>9</v>
      </c>
      <c r="J197" s="9">
        <v>260100</v>
      </c>
    </row>
    <row r="198" spans="1:10" x14ac:dyDescent="0.3">
      <c r="A198" s="3" t="s">
        <v>263</v>
      </c>
      <c r="B198" s="4">
        <v>43160</v>
      </c>
      <c r="C198" s="5">
        <v>18</v>
      </c>
      <c r="D198" s="5" t="s">
        <v>36</v>
      </c>
      <c r="E198" s="5" t="s">
        <v>43</v>
      </c>
      <c r="F198" s="5" t="s">
        <v>17</v>
      </c>
      <c r="G198" s="5" t="s">
        <v>12</v>
      </c>
      <c r="H198" s="5">
        <v>6900</v>
      </c>
      <c r="I198" s="5">
        <v>8</v>
      </c>
      <c r="J198" s="9">
        <v>55200</v>
      </c>
    </row>
    <row r="199" spans="1:10" x14ac:dyDescent="0.3">
      <c r="A199" s="3" t="s">
        <v>264</v>
      </c>
      <c r="B199" s="4">
        <v>43160</v>
      </c>
      <c r="C199" s="5">
        <v>18</v>
      </c>
      <c r="D199" s="5" t="s">
        <v>36</v>
      </c>
      <c r="E199" s="5" t="s">
        <v>42</v>
      </c>
      <c r="F199" s="5" t="s">
        <v>17</v>
      </c>
      <c r="G199" s="5" t="s">
        <v>14</v>
      </c>
      <c r="H199" s="5">
        <v>15900</v>
      </c>
      <c r="I199" s="5">
        <v>6</v>
      </c>
      <c r="J199" s="9">
        <v>95400</v>
      </c>
    </row>
    <row r="200" spans="1:10" x14ac:dyDescent="0.3">
      <c r="A200" s="3" t="s">
        <v>265</v>
      </c>
      <c r="B200" s="4">
        <v>43161</v>
      </c>
      <c r="C200" s="5">
        <v>17</v>
      </c>
      <c r="D200" s="5" t="s">
        <v>35</v>
      </c>
      <c r="E200" s="5" t="s">
        <v>43</v>
      </c>
      <c r="F200" s="5" t="s">
        <v>17</v>
      </c>
      <c r="G200" s="5" t="s">
        <v>14</v>
      </c>
      <c r="H200" s="5">
        <v>15900</v>
      </c>
      <c r="I200" s="5">
        <v>4</v>
      </c>
      <c r="J200" s="9">
        <v>63600</v>
      </c>
    </row>
    <row r="201" spans="1:10" x14ac:dyDescent="0.3">
      <c r="A201" s="3" t="s">
        <v>266</v>
      </c>
      <c r="B201" s="4">
        <v>43162</v>
      </c>
      <c r="C201" s="5">
        <v>12</v>
      </c>
      <c r="D201" s="5" t="s">
        <v>30</v>
      </c>
      <c r="E201" s="5" t="s">
        <v>45</v>
      </c>
      <c r="F201" s="5" t="s">
        <v>16</v>
      </c>
      <c r="G201" s="5" t="s">
        <v>11</v>
      </c>
      <c r="H201" s="5">
        <v>19900</v>
      </c>
      <c r="I201" s="5">
        <v>4</v>
      </c>
      <c r="J201" s="9">
        <v>79600</v>
      </c>
    </row>
    <row r="202" spans="1:10" x14ac:dyDescent="0.3">
      <c r="A202" s="3" t="s">
        <v>267</v>
      </c>
      <c r="B202" s="4">
        <v>43163</v>
      </c>
      <c r="C202" s="5">
        <v>18</v>
      </c>
      <c r="D202" s="5" t="s">
        <v>36</v>
      </c>
      <c r="E202" s="5" t="s">
        <v>42</v>
      </c>
      <c r="F202" s="5" t="s">
        <v>17</v>
      </c>
      <c r="G202" s="5" t="s">
        <v>13</v>
      </c>
      <c r="H202" s="5">
        <v>28900</v>
      </c>
      <c r="I202" s="5">
        <v>5</v>
      </c>
      <c r="J202" s="9">
        <v>144500</v>
      </c>
    </row>
    <row r="203" spans="1:10" x14ac:dyDescent="0.3">
      <c r="A203" s="3" t="s">
        <v>268</v>
      </c>
      <c r="B203" s="4">
        <v>43164</v>
      </c>
      <c r="C203" s="5">
        <v>9</v>
      </c>
      <c r="D203" s="5" t="s">
        <v>27</v>
      </c>
      <c r="E203" s="5" t="s">
        <v>41</v>
      </c>
      <c r="F203" s="5" t="s">
        <v>15</v>
      </c>
      <c r="G203" s="5" t="s">
        <v>11</v>
      </c>
      <c r="H203" s="5">
        <v>19900</v>
      </c>
      <c r="I203" s="5">
        <v>0</v>
      </c>
      <c r="J203" s="9">
        <v>0</v>
      </c>
    </row>
    <row r="204" spans="1:10" x14ac:dyDescent="0.3">
      <c r="A204" s="3" t="s">
        <v>269</v>
      </c>
      <c r="B204" s="4">
        <v>43165</v>
      </c>
      <c r="C204" s="5">
        <v>12</v>
      </c>
      <c r="D204" s="5" t="s">
        <v>30</v>
      </c>
      <c r="E204" s="5" t="s">
        <v>39</v>
      </c>
      <c r="F204" s="5" t="s">
        <v>16</v>
      </c>
      <c r="G204" s="5" t="s">
        <v>13</v>
      </c>
      <c r="H204" s="5">
        <v>28900</v>
      </c>
      <c r="I204" s="5">
        <v>7</v>
      </c>
      <c r="J204" s="9">
        <v>202300</v>
      </c>
    </row>
    <row r="205" spans="1:10" x14ac:dyDescent="0.3">
      <c r="A205" s="3" t="s">
        <v>270</v>
      </c>
      <c r="B205" s="4">
        <v>43166</v>
      </c>
      <c r="C205" s="5">
        <v>2</v>
      </c>
      <c r="D205" s="5" t="s">
        <v>20</v>
      </c>
      <c r="E205" s="5" t="s">
        <v>40</v>
      </c>
      <c r="F205" s="5" t="s">
        <v>18</v>
      </c>
      <c r="G205" s="5" t="s">
        <v>11</v>
      </c>
      <c r="H205" s="5">
        <v>19900</v>
      </c>
      <c r="I205" s="5">
        <v>2</v>
      </c>
      <c r="J205" s="9">
        <v>39800</v>
      </c>
    </row>
    <row r="206" spans="1:10" x14ac:dyDescent="0.3">
      <c r="A206" s="3" t="s">
        <v>271</v>
      </c>
      <c r="B206" s="4">
        <v>43167</v>
      </c>
      <c r="C206" s="5">
        <v>19</v>
      </c>
      <c r="D206" s="5" t="s">
        <v>37</v>
      </c>
      <c r="E206" s="5" t="s">
        <v>43</v>
      </c>
      <c r="F206" s="5" t="s">
        <v>17</v>
      </c>
      <c r="G206" s="5" t="s">
        <v>11</v>
      </c>
      <c r="H206" s="5">
        <v>19900</v>
      </c>
      <c r="I206" s="5">
        <v>5</v>
      </c>
      <c r="J206" s="9">
        <v>99500</v>
      </c>
    </row>
    <row r="207" spans="1:10" x14ac:dyDescent="0.3">
      <c r="A207" s="3" t="s">
        <v>272</v>
      </c>
      <c r="B207" s="4">
        <v>43167</v>
      </c>
      <c r="C207" s="5">
        <v>5</v>
      </c>
      <c r="D207" s="5" t="s">
        <v>23</v>
      </c>
      <c r="E207" s="5" t="s">
        <v>46</v>
      </c>
      <c r="F207" s="5" t="s">
        <v>18</v>
      </c>
      <c r="G207" s="5" t="s">
        <v>10</v>
      </c>
      <c r="H207" s="5">
        <v>39900</v>
      </c>
      <c r="I207" s="5">
        <v>6</v>
      </c>
      <c r="J207" s="9">
        <v>239400</v>
      </c>
    </row>
    <row r="208" spans="1:10" x14ac:dyDescent="0.3">
      <c r="A208" s="3" t="s">
        <v>273</v>
      </c>
      <c r="B208" s="4">
        <v>43167</v>
      </c>
      <c r="C208" s="5">
        <v>18</v>
      </c>
      <c r="D208" s="5" t="s">
        <v>36</v>
      </c>
      <c r="E208" s="5" t="s">
        <v>42</v>
      </c>
      <c r="F208" s="5" t="s">
        <v>17</v>
      </c>
      <c r="G208" s="5" t="s">
        <v>11</v>
      </c>
      <c r="H208" s="5">
        <v>19900</v>
      </c>
      <c r="I208" s="5">
        <v>6</v>
      </c>
      <c r="J208" s="9">
        <v>119400</v>
      </c>
    </row>
    <row r="209" spans="1:10" x14ac:dyDescent="0.3">
      <c r="A209" s="3" t="s">
        <v>274</v>
      </c>
      <c r="B209" s="4">
        <v>43167</v>
      </c>
      <c r="C209" s="5">
        <v>6</v>
      </c>
      <c r="D209" s="5" t="s">
        <v>24</v>
      </c>
      <c r="E209" s="5" t="s">
        <v>41</v>
      </c>
      <c r="F209" s="5" t="s">
        <v>15</v>
      </c>
      <c r="G209" s="5" t="s">
        <v>11</v>
      </c>
      <c r="H209" s="5">
        <v>19900</v>
      </c>
      <c r="I209" s="5">
        <v>9</v>
      </c>
      <c r="J209" s="9">
        <v>179100</v>
      </c>
    </row>
    <row r="210" spans="1:10" x14ac:dyDescent="0.3">
      <c r="A210" s="3" t="s">
        <v>275</v>
      </c>
      <c r="B210" s="4">
        <v>43167</v>
      </c>
      <c r="C210" s="5">
        <v>16</v>
      </c>
      <c r="D210" s="5" t="s">
        <v>34</v>
      </c>
      <c r="E210" s="5" t="s">
        <v>43</v>
      </c>
      <c r="F210" s="5" t="s">
        <v>17</v>
      </c>
      <c r="G210" s="5" t="s">
        <v>14</v>
      </c>
      <c r="H210" s="5">
        <v>15900</v>
      </c>
      <c r="I210" s="5">
        <v>3</v>
      </c>
      <c r="J210" s="9">
        <v>47700</v>
      </c>
    </row>
    <row r="211" spans="1:10" x14ac:dyDescent="0.3">
      <c r="A211" s="3" t="s">
        <v>276</v>
      </c>
      <c r="B211" s="4">
        <v>43167</v>
      </c>
      <c r="C211" s="5">
        <v>14</v>
      </c>
      <c r="D211" s="5" t="s">
        <v>32</v>
      </c>
      <c r="E211" s="5" t="s">
        <v>39</v>
      </c>
      <c r="F211" s="5" t="s">
        <v>16</v>
      </c>
      <c r="G211" s="5" t="s">
        <v>10</v>
      </c>
      <c r="H211" s="5">
        <v>39900</v>
      </c>
      <c r="I211" s="5">
        <v>8</v>
      </c>
      <c r="J211" s="9">
        <v>319200</v>
      </c>
    </row>
    <row r="212" spans="1:10" x14ac:dyDescent="0.3">
      <c r="A212" s="3" t="s">
        <v>277</v>
      </c>
      <c r="B212" s="4">
        <v>43167</v>
      </c>
      <c r="C212" s="5">
        <v>4</v>
      </c>
      <c r="D212" s="5" t="s">
        <v>22</v>
      </c>
      <c r="E212" s="5" t="s">
        <v>46</v>
      </c>
      <c r="F212" s="5" t="s">
        <v>18</v>
      </c>
      <c r="G212" s="5" t="s">
        <v>12</v>
      </c>
      <c r="H212" s="5">
        <v>6900</v>
      </c>
      <c r="I212" s="5">
        <v>4</v>
      </c>
      <c r="J212" s="9">
        <v>27600</v>
      </c>
    </row>
    <row r="213" spans="1:10" x14ac:dyDescent="0.3">
      <c r="A213" s="3" t="s">
        <v>278</v>
      </c>
      <c r="B213" s="4">
        <v>43167</v>
      </c>
      <c r="C213" s="5">
        <v>2</v>
      </c>
      <c r="D213" s="5" t="s">
        <v>20</v>
      </c>
      <c r="E213" s="5" t="s">
        <v>40</v>
      </c>
      <c r="F213" s="5" t="s">
        <v>18</v>
      </c>
      <c r="G213" s="5" t="s">
        <v>11</v>
      </c>
      <c r="H213" s="5">
        <v>19900</v>
      </c>
      <c r="I213" s="5">
        <v>0</v>
      </c>
      <c r="J213" s="9">
        <v>0</v>
      </c>
    </row>
    <row r="214" spans="1:10" x14ac:dyDescent="0.3">
      <c r="A214" s="3" t="s">
        <v>279</v>
      </c>
      <c r="B214" s="4">
        <v>43168</v>
      </c>
      <c r="C214" s="5">
        <v>1</v>
      </c>
      <c r="D214" s="5" t="s">
        <v>19</v>
      </c>
      <c r="E214" s="5" t="s">
        <v>46</v>
      </c>
      <c r="F214" s="5" t="s">
        <v>18</v>
      </c>
      <c r="G214" s="5" t="s">
        <v>14</v>
      </c>
      <c r="H214" s="5">
        <v>15900</v>
      </c>
      <c r="I214" s="5">
        <v>2</v>
      </c>
      <c r="J214" s="9">
        <v>31800</v>
      </c>
    </row>
    <row r="215" spans="1:10" x14ac:dyDescent="0.3">
      <c r="A215" s="3" t="s">
        <v>280</v>
      </c>
      <c r="B215" s="4">
        <v>43169</v>
      </c>
      <c r="C215" s="5">
        <v>5</v>
      </c>
      <c r="D215" s="5" t="s">
        <v>23</v>
      </c>
      <c r="E215" s="5" t="s">
        <v>46</v>
      </c>
      <c r="F215" s="5" t="s">
        <v>18</v>
      </c>
      <c r="G215" s="5" t="s">
        <v>12</v>
      </c>
      <c r="H215" s="5">
        <v>6900</v>
      </c>
      <c r="I215" s="5">
        <v>6</v>
      </c>
      <c r="J215" s="9">
        <v>41400</v>
      </c>
    </row>
    <row r="216" spans="1:10" x14ac:dyDescent="0.3">
      <c r="A216" s="3" t="s">
        <v>281</v>
      </c>
      <c r="B216" s="4">
        <v>43170</v>
      </c>
      <c r="C216" s="5">
        <v>3</v>
      </c>
      <c r="D216" s="5" t="s">
        <v>21</v>
      </c>
      <c r="E216" s="5" t="s">
        <v>40</v>
      </c>
      <c r="F216" s="5" t="s">
        <v>18</v>
      </c>
      <c r="G216" s="5" t="s">
        <v>11</v>
      </c>
      <c r="H216" s="5">
        <v>19900</v>
      </c>
      <c r="I216" s="5">
        <v>3</v>
      </c>
      <c r="J216" s="9">
        <v>59700</v>
      </c>
    </row>
    <row r="217" spans="1:10" x14ac:dyDescent="0.3">
      <c r="A217" s="3" t="s">
        <v>282</v>
      </c>
      <c r="B217" s="4">
        <v>43170</v>
      </c>
      <c r="C217" s="5">
        <v>18</v>
      </c>
      <c r="D217" s="5" t="s">
        <v>36</v>
      </c>
      <c r="E217" s="5" t="s">
        <v>42</v>
      </c>
      <c r="F217" s="5" t="s">
        <v>17</v>
      </c>
      <c r="G217" s="5" t="s">
        <v>12</v>
      </c>
      <c r="H217" s="5">
        <v>6900</v>
      </c>
      <c r="I217" s="5">
        <v>9</v>
      </c>
      <c r="J217" s="9">
        <v>62100</v>
      </c>
    </row>
    <row r="218" spans="1:10" x14ac:dyDescent="0.3">
      <c r="A218" s="3" t="s">
        <v>283</v>
      </c>
      <c r="B218" s="4">
        <v>43170</v>
      </c>
      <c r="C218" s="5">
        <v>12</v>
      </c>
      <c r="D218" s="5" t="s">
        <v>30</v>
      </c>
      <c r="E218" s="5" t="s">
        <v>45</v>
      </c>
      <c r="F218" s="5" t="s">
        <v>16</v>
      </c>
      <c r="G218" s="5" t="s">
        <v>13</v>
      </c>
      <c r="H218" s="5">
        <v>28900</v>
      </c>
      <c r="I218" s="5">
        <v>4</v>
      </c>
      <c r="J218" s="9">
        <v>115600</v>
      </c>
    </row>
    <row r="219" spans="1:10" x14ac:dyDescent="0.3">
      <c r="A219" s="3" t="s">
        <v>284</v>
      </c>
      <c r="B219" s="4">
        <v>43170</v>
      </c>
      <c r="C219" s="5">
        <v>8</v>
      </c>
      <c r="D219" s="5" t="s">
        <v>26</v>
      </c>
      <c r="E219" s="5" t="s">
        <v>44</v>
      </c>
      <c r="F219" s="5" t="s">
        <v>15</v>
      </c>
      <c r="G219" s="5" t="s">
        <v>14</v>
      </c>
      <c r="H219" s="5">
        <v>15900</v>
      </c>
      <c r="I219" s="5">
        <v>2</v>
      </c>
      <c r="J219" s="9">
        <v>31800</v>
      </c>
    </row>
    <row r="220" spans="1:10" x14ac:dyDescent="0.3">
      <c r="A220" s="3" t="s">
        <v>285</v>
      </c>
      <c r="B220" s="4">
        <v>43170</v>
      </c>
      <c r="C220" s="5">
        <v>7</v>
      </c>
      <c r="D220" s="5" t="s">
        <v>25</v>
      </c>
      <c r="E220" s="5" t="s">
        <v>44</v>
      </c>
      <c r="F220" s="5" t="s">
        <v>15</v>
      </c>
      <c r="G220" s="5" t="s">
        <v>14</v>
      </c>
      <c r="H220" s="5">
        <v>15900</v>
      </c>
      <c r="I220" s="5">
        <v>1</v>
      </c>
      <c r="J220" s="9">
        <v>15900</v>
      </c>
    </row>
    <row r="221" spans="1:10" x14ac:dyDescent="0.3">
      <c r="A221" s="3" t="s">
        <v>286</v>
      </c>
      <c r="B221" s="4">
        <v>43170</v>
      </c>
      <c r="C221" s="5">
        <v>17</v>
      </c>
      <c r="D221" s="5" t="s">
        <v>35</v>
      </c>
      <c r="E221" s="5" t="s">
        <v>43</v>
      </c>
      <c r="F221" s="5" t="s">
        <v>17</v>
      </c>
      <c r="G221" s="5" t="s">
        <v>14</v>
      </c>
      <c r="H221" s="5">
        <v>15900</v>
      </c>
      <c r="I221" s="5">
        <v>2</v>
      </c>
      <c r="J221" s="9">
        <v>31800</v>
      </c>
    </row>
    <row r="222" spans="1:10" x14ac:dyDescent="0.3">
      <c r="A222" s="3" t="s">
        <v>287</v>
      </c>
      <c r="B222" s="4">
        <v>43170</v>
      </c>
      <c r="C222" s="5">
        <v>13</v>
      </c>
      <c r="D222" s="5" t="s">
        <v>31</v>
      </c>
      <c r="E222" s="5" t="s">
        <v>39</v>
      </c>
      <c r="F222" s="5" t="s">
        <v>16</v>
      </c>
      <c r="G222" s="5" t="s">
        <v>14</v>
      </c>
      <c r="H222" s="5">
        <v>15900</v>
      </c>
      <c r="I222" s="5">
        <v>3</v>
      </c>
      <c r="J222" s="9">
        <v>47700</v>
      </c>
    </row>
    <row r="223" spans="1:10" x14ac:dyDescent="0.3">
      <c r="A223" s="3" t="s">
        <v>288</v>
      </c>
      <c r="B223" s="4">
        <v>43170</v>
      </c>
      <c r="C223" s="5">
        <v>4</v>
      </c>
      <c r="D223" s="5" t="s">
        <v>22</v>
      </c>
      <c r="E223" s="5" t="s">
        <v>40</v>
      </c>
      <c r="F223" s="5" t="s">
        <v>18</v>
      </c>
      <c r="G223" s="5" t="s">
        <v>11</v>
      </c>
      <c r="H223" s="5">
        <v>19900</v>
      </c>
      <c r="I223" s="5">
        <v>8</v>
      </c>
      <c r="J223" s="9">
        <v>159200</v>
      </c>
    </row>
    <row r="224" spans="1:10" x14ac:dyDescent="0.3">
      <c r="A224" s="3" t="s">
        <v>289</v>
      </c>
      <c r="B224" s="4">
        <v>43170</v>
      </c>
      <c r="C224" s="5">
        <v>10</v>
      </c>
      <c r="D224" s="5" t="s">
        <v>28</v>
      </c>
      <c r="E224" s="5" t="s">
        <v>44</v>
      </c>
      <c r="F224" s="5" t="s">
        <v>15</v>
      </c>
      <c r="G224" s="5" t="s">
        <v>14</v>
      </c>
      <c r="H224" s="5">
        <v>15900</v>
      </c>
      <c r="I224" s="5">
        <v>8</v>
      </c>
      <c r="J224" s="9">
        <v>127200</v>
      </c>
    </row>
    <row r="225" spans="1:10" x14ac:dyDescent="0.3">
      <c r="A225" s="3" t="s">
        <v>290</v>
      </c>
      <c r="B225" s="4">
        <v>43170</v>
      </c>
      <c r="C225" s="5">
        <v>9</v>
      </c>
      <c r="D225" s="5" t="s">
        <v>27</v>
      </c>
      <c r="E225" s="5" t="s">
        <v>41</v>
      </c>
      <c r="F225" s="5" t="s">
        <v>15</v>
      </c>
      <c r="G225" s="5" t="s">
        <v>10</v>
      </c>
      <c r="H225" s="5">
        <v>39900</v>
      </c>
      <c r="I225" s="5">
        <v>6</v>
      </c>
      <c r="J225" s="9">
        <v>239400</v>
      </c>
    </row>
    <row r="226" spans="1:10" x14ac:dyDescent="0.3">
      <c r="A226" s="3" t="s">
        <v>291</v>
      </c>
      <c r="B226" s="4">
        <v>43170</v>
      </c>
      <c r="C226" s="5">
        <v>2</v>
      </c>
      <c r="D226" s="5" t="s">
        <v>20</v>
      </c>
      <c r="E226" s="5" t="s">
        <v>40</v>
      </c>
      <c r="F226" s="5" t="s">
        <v>18</v>
      </c>
      <c r="G226" s="5" t="s">
        <v>10</v>
      </c>
      <c r="H226" s="5">
        <v>39900</v>
      </c>
      <c r="I226" s="5">
        <v>9</v>
      </c>
      <c r="J226" s="9">
        <v>359100</v>
      </c>
    </row>
    <row r="227" spans="1:10" x14ac:dyDescent="0.3">
      <c r="A227" s="3" t="s">
        <v>292</v>
      </c>
      <c r="B227" s="4">
        <v>43171</v>
      </c>
      <c r="C227" s="5">
        <v>14</v>
      </c>
      <c r="D227" s="5" t="s">
        <v>32</v>
      </c>
      <c r="E227" s="5" t="s">
        <v>39</v>
      </c>
      <c r="F227" s="5" t="s">
        <v>16</v>
      </c>
      <c r="G227" s="5" t="s">
        <v>10</v>
      </c>
      <c r="H227" s="5">
        <v>39900</v>
      </c>
      <c r="I227" s="5">
        <v>1</v>
      </c>
      <c r="J227" s="9">
        <v>39900</v>
      </c>
    </row>
    <row r="228" spans="1:10" x14ac:dyDescent="0.3">
      <c r="A228" s="3" t="s">
        <v>293</v>
      </c>
      <c r="B228" s="4">
        <v>43172</v>
      </c>
      <c r="C228" s="5">
        <v>14</v>
      </c>
      <c r="D228" s="5" t="s">
        <v>32</v>
      </c>
      <c r="E228" s="5" t="s">
        <v>39</v>
      </c>
      <c r="F228" s="5" t="s">
        <v>16</v>
      </c>
      <c r="G228" s="5" t="s">
        <v>10</v>
      </c>
      <c r="H228" s="5">
        <v>39900</v>
      </c>
      <c r="I228" s="5">
        <v>1</v>
      </c>
      <c r="J228" s="9">
        <v>39900</v>
      </c>
    </row>
    <row r="229" spans="1:10" x14ac:dyDescent="0.3">
      <c r="A229" s="3" t="s">
        <v>294</v>
      </c>
      <c r="B229" s="4">
        <v>43173</v>
      </c>
      <c r="C229" s="5">
        <v>1</v>
      </c>
      <c r="D229" s="5" t="s">
        <v>19</v>
      </c>
      <c r="E229" s="5" t="s">
        <v>46</v>
      </c>
      <c r="F229" s="5" t="s">
        <v>18</v>
      </c>
      <c r="G229" s="5" t="s">
        <v>13</v>
      </c>
      <c r="H229" s="5">
        <v>28900</v>
      </c>
      <c r="I229" s="5">
        <v>2</v>
      </c>
      <c r="J229" s="9">
        <v>57800</v>
      </c>
    </row>
    <row r="230" spans="1:10" x14ac:dyDescent="0.3">
      <c r="A230" s="3" t="s">
        <v>295</v>
      </c>
      <c r="B230" s="4">
        <v>43173</v>
      </c>
      <c r="C230" s="5">
        <v>17</v>
      </c>
      <c r="D230" s="5" t="s">
        <v>35</v>
      </c>
      <c r="E230" s="5" t="s">
        <v>42</v>
      </c>
      <c r="F230" s="5" t="s">
        <v>17</v>
      </c>
      <c r="G230" s="5" t="s">
        <v>13</v>
      </c>
      <c r="H230" s="5">
        <v>28900</v>
      </c>
      <c r="I230" s="5">
        <v>8</v>
      </c>
      <c r="J230" s="9">
        <v>231200</v>
      </c>
    </row>
    <row r="231" spans="1:10" x14ac:dyDescent="0.3">
      <c r="A231" s="3" t="s">
        <v>296</v>
      </c>
      <c r="B231" s="4">
        <v>43174</v>
      </c>
      <c r="C231" s="5">
        <v>3</v>
      </c>
      <c r="D231" s="5" t="s">
        <v>21</v>
      </c>
      <c r="E231" s="5" t="s">
        <v>40</v>
      </c>
      <c r="F231" s="5" t="s">
        <v>18</v>
      </c>
      <c r="G231" s="5" t="s">
        <v>10</v>
      </c>
      <c r="H231" s="5">
        <v>39900</v>
      </c>
      <c r="I231" s="5">
        <v>6</v>
      </c>
      <c r="J231" s="9">
        <v>239400</v>
      </c>
    </row>
    <row r="232" spans="1:10" x14ac:dyDescent="0.3">
      <c r="A232" s="3" t="s">
        <v>297</v>
      </c>
      <c r="B232" s="4">
        <v>43174</v>
      </c>
      <c r="C232" s="5">
        <v>19</v>
      </c>
      <c r="D232" s="5" t="s">
        <v>37</v>
      </c>
      <c r="E232" s="5" t="s">
        <v>42</v>
      </c>
      <c r="F232" s="5" t="s">
        <v>17</v>
      </c>
      <c r="G232" s="5" t="s">
        <v>11</v>
      </c>
      <c r="H232" s="5">
        <v>19900</v>
      </c>
      <c r="I232" s="5">
        <v>6</v>
      </c>
      <c r="J232" s="9">
        <v>119400</v>
      </c>
    </row>
    <row r="233" spans="1:10" x14ac:dyDescent="0.3">
      <c r="A233" s="3" t="s">
        <v>298</v>
      </c>
      <c r="B233" s="4">
        <v>43174</v>
      </c>
      <c r="C233" s="5">
        <v>7</v>
      </c>
      <c r="D233" s="5" t="s">
        <v>25</v>
      </c>
      <c r="E233" s="5" t="s">
        <v>44</v>
      </c>
      <c r="F233" s="5" t="s">
        <v>15</v>
      </c>
      <c r="G233" s="5" t="s">
        <v>10</v>
      </c>
      <c r="H233" s="5">
        <v>39900</v>
      </c>
      <c r="I233" s="5">
        <v>9</v>
      </c>
      <c r="J233" s="9">
        <v>359100</v>
      </c>
    </row>
    <row r="234" spans="1:10" x14ac:dyDescent="0.3">
      <c r="A234" s="3" t="s">
        <v>299</v>
      </c>
      <c r="B234" s="4">
        <v>43174</v>
      </c>
      <c r="C234" s="5">
        <v>9</v>
      </c>
      <c r="D234" s="5" t="s">
        <v>27</v>
      </c>
      <c r="E234" s="5" t="s">
        <v>44</v>
      </c>
      <c r="F234" s="5" t="s">
        <v>15</v>
      </c>
      <c r="G234" s="5" t="s">
        <v>12</v>
      </c>
      <c r="H234" s="5">
        <v>6900</v>
      </c>
      <c r="I234" s="5">
        <v>8</v>
      </c>
      <c r="J234" s="9">
        <v>55200</v>
      </c>
    </row>
    <row r="235" spans="1:10" x14ac:dyDescent="0.3">
      <c r="A235" s="3" t="s">
        <v>300</v>
      </c>
      <c r="B235" s="4">
        <v>43175</v>
      </c>
      <c r="C235" s="5">
        <v>15</v>
      </c>
      <c r="D235" s="5" t="s">
        <v>33</v>
      </c>
      <c r="E235" s="5" t="s">
        <v>45</v>
      </c>
      <c r="F235" s="5" t="s">
        <v>16</v>
      </c>
      <c r="G235" s="5" t="s">
        <v>11</v>
      </c>
      <c r="H235" s="5">
        <v>19900</v>
      </c>
      <c r="I235" s="5">
        <v>2</v>
      </c>
      <c r="J235" s="9">
        <v>39800</v>
      </c>
    </row>
    <row r="236" spans="1:10" x14ac:dyDescent="0.3">
      <c r="A236" s="3" t="s">
        <v>301</v>
      </c>
      <c r="B236" s="4">
        <v>43175</v>
      </c>
      <c r="C236" s="5">
        <v>2</v>
      </c>
      <c r="D236" s="5" t="s">
        <v>20</v>
      </c>
      <c r="E236" s="5" t="s">
        <v>40</v>
      </c>
      <c r="F236" s="5" t="s">
        <v>18</v>
      </c>
      <c r="G236" s="5" t="s">
        <v>13</v>
      </c>
      <c r="H236" s="5">
        <v>28900</v>
      </c>
      <c r="I236" s="5">
        <v>3</v>
      </c>
      <c r="J236" s="9">
        <v>86700</v>
      </c>
    </row>
    <row r="237" spans="1:10" x14ac:dyDescent="0.3">
      <c r="A237" s="3" t="s">
        <v>302</v>
      </c>
      <c r="B237" s="4">
        <v>43175</v>
      </c>
      <c r="C237" s="5">
        <v>20</v>
      </c>
      <c r="D237" s="5" t="s">
        <v>38</v>
      </c>
      <c r="E237" s="5" t="s">
        <v>43</v>
      </c>
      <c r="F237" s="5" t="s">
        <v>17</v>
      </c>
      <c r="G237" s="5" t="s">
        <v>12</v>
      </c>
      <c r="H237" s="5">
        <v>6900</v>
      </c>
      <c r="I237" s="5">
        <v>8</v>
      </c>
      <c r="J237" s="9">
        <v>55200</v>
      </c>
    </row>
    <row r="238" spans="1:10" x14ac:dyDescent="0.3">
      <c r="A238" s="3" t="s">
        <v>303</v>
      </c>
      <c r="B238" s="4">
        <v>43175</v>
      </c>
      <c r="C238" s="5">
        <v>4</v>
      </c>
      <c r="D238" s="5" t="s">
        <v>22</v>
      </c>
      <c r="E238" s="5" t="s">
        <v>40</v>
      </c>
      <c r="F238" s="5" t="s">
        <v>18</v>
      </c>
      <c r="G238" s="5" t="s">
        <v>12</v>
      </c>
      <c r="H238" s="5">
        <v>6900</v>
      </c>
      <c r="I238" s="5">
        <v>7</v>
      </c>
      <c r="J238" s="9">
        <v>48300</v>
      </c>
    </row>
    <row r="239" spans="1:10" x14ac:dyDescent="0.3">
      <c r="A239" s="3" t="s">
        <v>304</v>
      </c>
      <c r="B239" s="4">
        <v>43175</v>
      </c>
      <c r="C239" s="5">
        <v>7</v>
      </c>
      <c r="D239" s="5" t="s">
        <v>25</v>
      </c>
      <c r="E239" s="5" t="s">
        <v>41</v>
      </c>
      <c r="F239" s="5" t="s">
        <v>15</v>
      </c>
      <c r="G239" s="5" t="s">
        <v>11</v>
      </c>
      <c r="H239" s="5">
        <v>19900</v>
      </c>
      <c r="I239" s="5">
        <v>3</v>
      </c>
      <c r="J239" s="9">
        <v>59700</v>
      </c>
    </row>
    <row r="240" spans="1:10" x14ac:dyDescent="0.3">
      <c r="A240" s="3" t="s">
        <v>305</v>
      </c>
      <c r="B240" s="4">
        <v>43175</v>
      </c>
      <c r="C240" s="5">
        <v>16</v>
      </c>
      <c r="D240" s="5" t="s">
        <v>34</v>
      </c>
      <c r="E240" s="5" t="s">
        <v>43</v>
      </c>
      <c r="F240" s="5" t="s">
        <v>17</v>
      </c>
      <c r="G240" s="5" t="s">
        <v>10</v>
      </c>
      <c r="H240" s="5">
        <v>39900</v>
      </c>
      <c r="I240" s="5">
        <v>9</v>
      </c>
      <c r="J240" s="9">
        <v>359100</v>
      </c>
    </row>
    <row r="241" spans="1:10" x14ac:dyDescent="0.3">
      <c r="A241" s="3" t="s">
        <v>306</v>
      </c>
      <c r="B241" s="4">
        <v>43175</v>
      </c>
      <c r="C241" s="5">
        <v>18</v>
      </c>
      <c r="D241" s="5" t="s">
        <v>36</v>
      </c>
      <c r="E241" s="5" t="s">
        <v>43</v>
      </c>
      <c r="F241" s="5" t="s">
        <v>17</v>
      </c>
      <c r="G241" s="5" t="s">
        <v>11</v>
      </c>
      <c r="H241" s="5">
        <v>19900</v>
      </c>
      <c r="I241" s="5">
        <v>5</v>
      </c>
      <c r="J241" s="9">
        <v>99500</v>
      </c>
    </row>
    <row r="242" spans="1:10" x14ac:dyDescent="0.3">
      <c r="A242" s="3" t="s">
        <v>307</v>
      </c>
      <c r="B242" s="4">
        <v>43175</v>
      </c>
      <c r="C242" s="5">
        <v>4</v>
      </c>
      <c r="D242" s="5" t="s">
        <v>22</v>
      </c>
      <c r="E242" s="5" t="s">
        <v>40</v>
      </c>
      <c r="F242" s="5" t="s">
        <v>18</v>
      </c>
      <c r="G242" s="5" t="s">
        <v>12</v>
      </c>
      <c r="H242" s="5">
        <v>6900</v>
      </c>
      <c r="I242" s="5">
        <v>5</v>
      </c>
      <c r="J242" s="9">
        <v>34500</v>
      </c>
    </row>
    <row r="243" spans="1:10" x14ac:dyDescent="0.3">
      <c r="A243" s="3" t="s">
        <v>308</v>
      </c>
      <c r="B243" s="4">
        <v>43176</v>
      </c>
      <c r="C243" s="5">
        <v>2</v>
      </c>
      <c r="D243" s="5" t="s">
        <v>20</v>
      </c>
      <c r="E243" s="5" t="s">
        <v>40</v>
      </c>
      <c r="F243" s="5" t="s">
        <v>18</v>
      </c>
      <c r="G243" s="5" t="s">
        <v>13</v>
      </c>
      <c r="H243" s="5">
        <v>28900</v>
      </c>
      <c r="I243" s="5">
        <v>0</v>
      </c>
      <c r="J243" s="9">
        <v>0</v>
      </c>
    </row>
    <row r="244" spans="1:10" x14ac:dyDescent="0.3">
      <c r="A244" s="3" t="s">
        <v>309</v>
      </c>
      <c r="B244" s="4">
        <v>43176</v>
      </c>
      <c r="C244" s="5">
        <v>20</v>
      </c>
      <c r="D244" s="5" t="s">
        <v>38</v>
      </c>
      <c r="E244" s="5" t="s">
        <v>42</v>
      </c>
      <c r="F244" s="5" t="s">
        <v>17</v>
      </c>
      <c r="G244" s="5" t="s">
        <v>11</v>
      </c>
      <c r="H244" s="5">
        <v>19900</v>
      </c>
      <c r="I244" s="5">
        <v>4</v>
      </c>
      <c r="J244" s="9">
        <v>79600</v>
      </c>
    </row>
    <row r="245" spans="1:10" x14ac:dyDescent="0.3">
      <c r="A245" s="3" t="s">
        <v>310</v>
      </c>
      <c r="B245" s="4">
        <v>43176</v>
      </c>
      <c r="C245" s="5">
        <v>4</v>
      </c>
      <c r="D245" s="5" t="s">
        <v>22</v>
      </c>
      <c r="E245" s="5" t="s">
        <v>40</v>
      </c>
      <c r="F245" s="5" t="s">
        <v>18</v>
      </c>
      <c r="G245" s="5" t="s">
        <v>14</v>
      </c>
      <c r="H245" s="5">
        <v>15900</v>
      </c>
      <c r="I245" s="5">
        <v>2</v>
      </c>
      <c r="J245" s="9">
        <v>31800</v>
      </c>
    </row>
    <row r="246" spans="1:10" x14ac:dyDescent="0.3">
      <c r="A246" s="3" t="s">
        <v>311</v>
      </c>
      <c r="B246" s="4">
        <v>43177</v>
      </c>
      <c r="C246" s="5">
        <v>19</v>
      </c>
      <c r="D246" s="5" t="s">
        <v>37</v>
      </c>
      <c r="E246" s="5" t="s">
        <v>42</v>
      </c>
      <c r="F246" s="5" t="s">
        <v>17</v>
      </c>
      <c r="G246" s="5" t="s">
        <v>14</v>
      </c>
      <c r="H246" s="5">
        <v>15900</v>
      </c>
      <c r="I246" s="5">
        <v>0</v>
      </c>
      <c r="J246" s="9">
        <v>0</v>
      </c>
    </row>
    <row r="247" spans="1:10" x14ac:dyDescent="0.3">
      <c r="A247" s="3" t="s">
        <v>312</v>
      </c>
      <c r="B247" s="4">
        <v>43177</v>
      </c>
      <c r="C247" s="5">
        <v>20</v>
      </c>
      <c r="D247" s="5" t="s">
        <v>38</v>
      </c>
      <c r="E247" s="5" t="s">
        <v>42</v>
      </c>
      <c r="F247" s="5" t="s">
        <v>17</v>
      </c>
      <c r="G247" s="5" t="s">
        <v>13</v>
      </c>
      <c r="H247" s="5">
        <v>28900</v>
      </c>
      <c r="I247" s="5">
        <v>4</v>
      </c>
      <c r="J247" s="9">
        <v>115600</v>
      </c>
    </row>
    <row r="248" spans="1:10" x14ac:dyDescent="0.3">
      <c r="A248" s="3" t="s">
        <v>313</v>
      </c>
      <c r="B248" s="4">
        <v>43177</v>
      </c>
      <c r="C248" s="5">
        <v>6</v>
      </c>
      <c r="D248" s="5" t="s">
        <v>24</v>
      </c>
      <c r="E248" s="5" t="s">
        <v>41</v>
      </c>
      <c r="F248" s="5" t="s">
        <v>15</v>
      </c>
      <c r="G248" s="5" t="s">
        <v>13</v>
      </c>
      <c r="H248" s="5">
        <v>28900</v>
      </c>
      <c r="I248" s="5">
        <v>2</v>
      </c>
      <c r="J248" s="9">
        <v>57800</v>
      </c>
    </row>
    <row r="249" spans="1:10" x14ac:dyDescent="0.3">
      <c r="A249" s="3" t="s">
        <v>314</v>
      </c>
      <c r="B249" s="4">
        <v>43177</v>
      </c>
      <c r="C249" s="5">
        <v>18</v>
      </c>
      <c r="D249" s="5" t="s">
        <v>36</v>
      </c>
      <c r="E249" s="5" t="s">
        <v>43</v>
      </c>
      <c r="F249" s="5" t="s">
        <v>17</v>
      </c>
      <c r="G249" s="5" t="s">
        <v>12</v>
      </c>
      <c r="H249" s="5">
        <v>6900</v>
      </c>
      <c r="I249" s="5">
        <v>5</v>
      </c>
      <c r="J249" s="9">
        <v>34500</v>
      </c>
    </row>
    <row r="250" spans="1:10" x14ac:dyDescent="0.3">
      <c r="A250" s="3" t="s">
        <v>315</v>
      </c>
      <c r="B250" s="4">
        <v>43177</v>
      </c>
      <c r="C250" s="5">
        <v>19</v>
      </c>
      <c r="D250" s="5" t="s">
        <v>37</v>
      </c>
      <c r="E250" s="5" t="s">
        <v>42</v>
      </c>
      <c r="F250" s="5" t="s">
        <v>17</v>
      </c>
      <c r="G250" s="5" t="s">
        <v>10</v>
      </c>
      <c r="H250" s="5">
        <v>39900</v>
      </c>
      <c r="I250" s="5">
        <v>3</v>
      </c>
      <c r="J250" s="9">
        <v>119700</v>
      </c>
    </row>
    <row r="251" spans="1:10" x14ac:dyDescent="0.3">
      <c r="A251" s="3" t="s">
        <v>316</v>
      </c>
      <c r="B251" s="4">
        <v>43177</v>
      </c>
      <c r="C251" s="5">
        <v>8</v>
      </c>
      <c r="D251" s="5" t="s">
        <v>26</v>
      </c>
      <c r="E251" s="5" t="s">
        <v>41</v>
      </c>
      <c r="F251" s="5" t="s">
        <v>15</v>
      </c>
      <c r="G251" s="5" t="s">
        <v>14</v>
      </c>
      <c r="H251" s="5">
        <v>15900</v>
      </c>
      <c r="I251" s="5">
        <v>7</v>
      </c>
      <c r="J251" s="9">
        <v>111300</v>
      </c>
    </row>
    <row r="252" spans="1:10" x14ac:dyDescent="0.3">
      <c r="A252" s="3" t="s">
        <v>317</v>
      </c>
      <c r="B252" s="4">
        <v>43177</v>
      </c>
      <c r="C252" s="5">
        <v>2</v>
      </c>
      <c r="D252" s="5" t="s">
        <v>20</v>
      </c>
      <c r="E252" s="5" t="s">
        <v>46</v>
      </c>
      <c r="F252" s="5" t="s">
        <v>18</v>
      </c>
      <c r="G252" s="5" t="s">
        <v>10</v>
      </c>
      <c r="H252" s="5">
        <v>39900</v>
      </c>
      <c r="I252" s="5">
        <v>9</v>
      </c>
      <c r="J252" s="9">
        <v>359100</v>
      </c>
    </row>
    <row r="253" spans="1:10" x14ac:dyDescent="0.3">
      <c r="A253" s="3" t="s">
        <v>318</v>
      </c>
      <c r="B253" s="4">
        <v>43177</v>
      </c>
      <c r="C253" s="5">
        <v>14</v>
      </c>
      <c r="D253" s="5" t="s">
        <v>32</v>
      </c>
      <c r="E253" s="5" t="s">
        <v>39</v>
      </c>
      <c r="F253" s="5" t="s">
        <v>16</v>
      </c>
      <c r="G253" s="5" t="s">
        <v>11</v>
      </c>
      <c r="H253" s="5">
        <v>19900</v>
      </c>
      <c r="I253" s="5">
        <v>2</v>
      </c>
      <c r="J253" s="9">
        <v>39800</v>
      </c>
    </row>
    <row r="254" spans="1:10" x14ac:dyDescent="0.3">
      <c r="A254" s="3" t="s">
        <v>319</v>
      </c>
      <c r="B254" s="4">
        <v>43177</v>
      </c>
      <c r="C254" s="5">
        <v>16</v>
      </c>
      <c r="D254" s="5" t="s">
        <v>34</v>
      </c>
      <c r="E254" s="5" t="s">
        <v>42</v>
      </c>
      <c r="F254" s="5" t="s">
        <v>17</v>
      </c>
      <c r="G254" s="5" t="s">
        <v>10</v>
      </c>
      <c r="H254" s="5">
        <v>39900</v>
      </c>
      <c r="I254" s="5">
        <v>5</v>
      </c>
      <c r="J254" s="9">
        <v>199500</v>
      </c>
    </row>
    <row r="255" spans="1:10" x14ac:dyDescent="0.3">
      <c r="A255" s="3" t="s">
        <v>320</v>
      </c>
      <c r="B255" s="4">
        <v>43178</v>
      </c>
      <c r="C255" s="5">
        <v>6</v>
      </c>
      <c r="D255" s="5" t="s">
        <v>24</v>
      </c>
      <c r="E255" s="5" t="s">
        <v>41</v>
      </c>
      <c r="F255" s="5" t="s">
        <v>15</v>
      </c>
      <c r="G255" s="5" t="s">
        <v>14</v>
      </c>
      <c r="H255" s="5">
        <v>15900</v>
      </c>
      <c r="I255" s="5">
        <v>4</v>
      </c>
      <c r="J255" s="9">
        <v>63600</v>
      </c>
    </row>
    <row r="256" spans="1:10" x14ac:dyDescent="0.3">
      <c r="A256" s="3" t="s">
        <v>321</v>
      </c>
      <c r="B256" s="4">
        <v>43178</v>
      </c>
      <c r="C256" s="5">
        <v>5</v>
      </c>
      <c r="D256" s="5" t="s">
        <v>23</v>
      </c>
      <c r="E256" s="5" t="s">
        <v>46</v>
      </c>
      <c r="F256" s="5" t="s">
        <v>18</v>
      </c>
      <c r="G256" s="5" t="s">
        <v>11</v>
      </c>
      <c r="H256" s="5">
        <v>19900</v>
      </c>
      <c r="I256" s="5">
        <v>9</v>
      </c>
      <c r="J256" s="9">
        <v>179100</v>
      </c>
    </row>
    <row r="257" spans="1:10" x14ac:dyDescent="0.3">
      <c r="A257" s="3" t="s">
        <v>322</v>
      </c>
      <c r="B257" s="4">
        <v>43178</v>
      </c>
      <c r="C257" s="5">
        <v>18</v>
      </c>
      <c r="D257" s="5" t="s">
        <v>36</v>
      </c>
      <c r="E257" s="5" t="s">
        <v>42</v>
      </c>
      <c r="F257" s="5" t="s">
        <v>17</v>
      </c>
      <c r="G257" s="5" t="s">
        <v>14</v>
      </c>
      <c r="H257" s="5">
        <v>15900</v>
      </c>
      <c r="I257" s="5">
        <v>2</v>
      </c>
      <c r="J257" s="9">
        <v>31800</v>
      </c>
    </row>
    <row r="258" spans="1:10" x14ac:dyDescent="0.3">
      <c r="A258" s="3" t="s">
        <v>323</v>
      </c>
      <c r="B258" s="4">
        <v>43178</v>
      </c>
      <c r="C258" s="5">
        <v>2</v>
      </c>
      <c r="D258" s="5" t="s">
        <v>20</v>
      </c>
      <c r="E258" s="5" t="s">
        <v>40</v>
      </c>
      <c r="F258" s="5" t="s">
        <v>18</v>
      </c>
      <c r="G258" s="5" t="s">
        <v>12</v>
      </c>
      <c r="H258" s="5">
        <v>6900</v>
      </c>
      <c r="I258" s="5">
        <v>8</v>
      </c>
      <c r="J258" s="9">
        <v>55200</v>
      </c>
    </row>
    <row r="259" spans="1:10" x14ac:dyDescent="0.3">
      <c r="A259" s="3" t="s">
        <v>324</v>
      </c>
      <c r="B259" s="4">
        <v>43179</v>
      </c>
      <c r="C259" s="5">
        <v>17</v>
      </c>
      <c r="D259" s="5" t="s">
        <v>35</v>
      </c>
      <c r="E259" s="5" t="s">
        <v>43</v>
      </c>
      <c r="F259" s="5" t="s">
        <v>17</v>
      </c>
      <c r="G259" s="5" t="s">
        <v>10</v>
      </c>
      <c r="H259" s="5">
        <v>39900</v>
      </c>
      <c r="I259" s="5">
        <v>5</v>
      </c>
      <c r="J259" s="9">
        <v>199500</v>
      </c>
    </row>
    <row r="260" spans="1:10" x14ac:dyDescent="0.3">
      <c r="A260" s="3" t="s">
        <v>325</v>
      </c>
      <c r="B260" s="4">
        <v>43179</v>
      </c>
      <c r="C260" s="5">
        <v>16</v>
      </c>
      <c r="D260" s="5" t="s">
        <v>34</v>
      </c>
      <c r="E260" s="5" t="s">
        <v>42</v>
      </c>
      <c r="F260" s="5" t="s">
        <v>17</v>
      </c>
      <c r="G260" s="5" t="s">
        <v>13</v>
      </c>
      <c r="H260" s="5">
        <v>28900</v>
      </c>
      <c r="I260" s="5">
        <v>1</v>
      </c>
      <c r="J260" s="9">
        <v>28900</v>
      </c>
    </row>
    <row r="261" spans="1:10" x14ac:dyDescent="0.3">
      <c r="A261" s="3" t="s">
        <v>326</v>
      </c>
      <c r="B261" s="4">
        <v>43179</v>
      </c>
      <c r="C261" s="5">
        <v>14</v>
      </c>
      <c r="D261" s="5" t="s">
        <v>32</v>
      </c>
      <c r="E261" s="5" t="s">
        <v>39</v>
      </c>
      <c r="F261" s="5" t="s">
        <v>16</v>
      </c>
      <c r="G261" s="5" t="s">
        <v>12</v>
      </c>
      <c r="H261" s="5">
        <v>6900</v>
      </c>
      <c r="I261" s="5">
        <v>9</v>
      </c>
      <c r="J261" s="9">
        <v>62100</v>
      </c>
    </row>
    <row r="262" spans="1:10" x14ac:dyDescent="0.3">
      <c r="A262" s="3" t="s">
        <v>327</v>
      </c>
      <c r="B262" s="4">
        <v>43180</v>
      </c>
      <c r="C262" s="5">
        <v>4</v>
      </c>
      <c r="D262" s="5" t="s">
        <v>22</v>
      </c>
      <c r="E262" s="5" t="s">
        <v>40</v>
      </c>
      <c r="F262" s="5" t="s">
        <v>18</v>
      </c>
      <c r="G262" s="5" t="s">
        <v>11</v>
      </c>
      <c r="H262" s="5">
        <v>19900</v>
      </c>
      <c r="I262" s="5">
        <v>8</v>
      </c>
      <c r="J262" s="9">
        <v>159200</v>
      </c>
    </row>
    <row r="263" spans="1:10" x14ac:dyDescent="0.3">
      <c r="A263" s="3" t="s">
        <v>328</v>
      </c>
      <c r="B263" s="4">
        <v>43181</v>
      </c>
      <c r="C263" s="5">
        <v>8</v>
      </c>
      <c r="D263" s="5" t="s">
        <v>26</v>
      </c>
      <c r="E263" s="5" t="s">
        <v>44</v>
      </c>
      <c r="F263" s="5" t="s">
        <v>15</v>
      </c>
      <c r="G263" s="5" t="s">
        <v>14</v>
      </c>
      <c r="H263" s="5">
        <v>15900</v>
      </c>
      <c r="I263" s="5">
        <v>1</v>
      </c>
      <c r="J263" s="9">
        <v>15900</v>
      </c>
    </row>
    <row r="264" spans="1:10" x14ac:dyDescent="0.3">
      <c r="A264" s="3" t="s">
        <v>329</v>
      </c>
      <c r="B264" s="4">
        <v>43182</v>
      </c>
      <c r="C264" s="5">
        <v>7</v>
      </c>
      <c r="D264" s="5" t="s">
        <v>25</v>
      </c>
      <c r="E264" s="5" t="s">
        <v>44</v>
      </c>
      <c r="F264" s="5" t="s">
        <v>15</v>
      </c>
      <c r="G264" s="5" t="s">
        <v>14</v>
      </c>
      <c r="H264" s="5">
        <v>15900</v>
      </c>
      <c r="I264" s="5">
        <v>5</v>
      </c>
      <c r="J264" s="9">
        <v>79500</v>
      </c>
    </row>
    <row r="265" spans="1:10" x14ac:dyDescent="0.3">
      <c r="A265" s="3" t="s">
        <v>330</v>
      </c>
      <c r="B265" s="4">
        <v>43183</v>
      </c>
      <c r="C265" s="5">
        <v>17</v>
      </c>
      <c r="D265" s="5" t="s">
        <v>35</v>
      </c>
      <c r="E265" s="5" t="s">
        <v>43</v>
      </c>
      <c r="F265" s="5" t="s">
        <v>17</v>
      </c>
      <c r="G265" s="5" t="s">
        <v>11</v>
      </c>
      <c r="H265" s="5">
        <v>19900</v>
      </c>
      <c r="I265" s="5">
        <v>1</v>
      </c>
      <c r="J265" s="9">
        <v>19900</v>
      </c>
    </row>
    <row r="266" spans="1:10" x14ac:dyDescent="0.3">
      <c r="A266" s="3" t="s">
        <v>331</v>
      </c>
      <c r="B266" s="4">
        <v>43183</v>
      </c>
      <c r="C266" s="5">
        <v>17</v>
      </c>
      <c r="D266" s="5" t="s">
        <v>35</v>
      </c>
      <c r="E266" s="5" t="s">
        <v>42</v>
      </c>
      <c r="F266" s="5" t="s">
        <v>17</v>
      </c>
      <c r="G266" s="5" t="s">
        <v>13</v>
      </c>
      <c r="H266" s="5">
        <v>28900</v>
      </c>
      <c r="I266" s="5">
        <v>7</v>
      </c>
      <c r="J266" s="9">
        <v>202300</v>
      </c>
    </row>
    <row r="267" spans="1:10" x14ac:dyDescent="0.3">
      <c r="A267" s="3" t="s">
        <v>332</v>
      </c>
      <c r="B267" s="4">
        <v>43184</v>
      </c>
      <c r="C267" s="5">
        <v>12</v>
      </c>
      <c r="D267" s="5" t="s">
        <v>30</v>
      </c>
      <c r="E267" s="5" t="s">
        <v>45</v>
      </c>
      <c r="F267" s="5" t="s">
        <v>16</v>
      </c>
      <c r="G267" s="5" t="s">
        <v>12</v>
      </c>
      <c r="H267" s="5">
        <v>6900</v>
      </c>
      <c r="I267" s="5">
        <v>4</v>
      </c>
      <c r="J267" s="9">
        <v>27600</v>
      </c>
    </row>
    <row r="268" spans="1:10" x14ac:dyDescent="0.3">
      <c r="A268" s="3" t="s">
        <v>333</v>
      </c>
      <c r="B268" s="4">
        <v>43184</v>
      </c>
      <c r="C268" s="5">
        <v>16</v>
      </c>
      <c r="D268" s="5" t="s">
        <v>34</v>
      </c>
      <c r="E268" s="5" t="s">
        <v>42</v>
      </c>
      <c r="F268" s="5" t="s">
        <v>17</v>
      </c>
      <c r="G268" s="5" t="s">
        <v>11</v>
      </c>
      <c r="H268" s="5">
        <v>19900</v>
      </c>
      <c r="I268" s="5">
        <v>8</v>
      </c>
      <c r="J268" s="9">
        <v>159200</v>
      </c>
    </row>
    <row r="269" spans="1:10" x14ac:dyDescent="0.3">
      <c r="A269" s="3" t="s">
        <v>334</v>
      </c>
      <c r="B269" s="4">
        <v>43184</v>
      </c>
      <c r="C269" s="5">
        <v>4</v>
      </c>
      <c r="D269" s="5" t="s">
        <v>22</v>
      </c>
      <c r="E269" s="5" t="s">
        <v>46</v>
      </c>
      <c r="F269" s="5" t="s">
        <v>18</v>
      </c>
      <c r="G269" s="5" t="s">
        <v>11</v>
      </c>
      <c r="H269" s="5">
        <v>19900</v>
      </c>
      <c r="I269" s="5">
        <v>1</v>
      </c>
      <c r="J269" s="9">
        <v>19900</v>
      </c>
    </row>
    <row r="270" spans="1:10" x14ac:dyDescent="0.3">
      <c r="A270" s="3" t="s">
        <v>335</v>
      </c>
      <c r="B270" s="4">
        <v>43184</v>
      </c>
      <c r="C270" s="5">
        <v>20</v>
      </c>
      <c r="D270" s="5" t="s">
        <v>38</v>
      </c>
      <c r="E270" s="5" t="s">
        <v>42</v>
      </c>
      <c r="F270" s="5" t="s">
        <v>17</v>
      </c>
      <c r="G270" s="5" t="s">
        <v>11</v>
      </c>
      <c r="H270" s="5">
        <v>19900</v>
      </c>
      <c r="I270" s="5">
        <v>6</v>
      </c>
      <c r="J270" s="9">
        <v>119400</v>
      </c>
    </row>
    <row r="271" spans="1:10" x14ac:dyDescent="0.3">
      <c r="A271" s="3" t="s">
        <v>336</v>
      </c>
      <c r="B271" s="4">
        <v>43184</v>
      </c>
      <c r="C271" s="5">
        <v>14</v>
      </c>
      <c r="D271" s="5" t="s">
        <v>32</v>
      </c>
      <c r="E271" s="5" t="s">
        <v>45</v>
      </c>
      <c r="F271" s="5" t="s">
        <v>16</v>
      </c>
      <c r="G271" s="5" t="s">
        <v>10</v>
      </c>
      <c r="H271" s="5">
        <v>39900</v>
      </c>
      <c r="I271" s="5">
        <v>9</v>
      </c>
      <c r="J271" s="9">
        <v>359100</v>
      </c>
    </row>
    <row r="272" spans="1:10" x14ac:dyDescent="0.3">
      <c r="A272" s="3" t="s">
        <v>337</v>
      </c>
      <c r="B272" s="4">
        <v>43184</v>
      </c>
      <c r="C272" s="5">
        <v>14</v>
      </c>
      <c r="D272" s="5" t="s">
        <v>32</v>
      </c>
      <c r="E272" s="5" t="s">
        <v>39</v>
      </c>
      <c r="F272" s="5" t="s">
        <v>16</v>
      </c>
      <c r="G272" s="5" t="s">
        <v>11</v>
      </c>
      <c r="H272" s="5">
        <v>19900</v>
      </c>
      <c r="I272" s="5">
        <v>3</v>
      </c>
      <c r="J272" s="9">
        <v>59700</v>
      </c>
    </row>
    <row r="273" spans="1:10" x14ac:dyDescent="0.3">
      <c r="A273" s="3" t="s">
        <v>338</v>
      </c>
      <c r="B273" s="4">
        <v>43184</v>
      </c>
      <c r="C273" s="5">
        <v>15</v>
      </c>
      <c r="D273" s="5" t="s">
        <v>33</v>
      </c>
      <c r="E273" s="5" t="s">
        <v>45</v>
      </c>
      <c r="F273" s="5" t="s">
        <v>16</v>
      </c>
      <c r="G273" s="5" t="s">
        <v>13</v>
      </c>
      <c r="H273" s="5">
        <v>28900</v>
      </c>
      <c r="I273" s="5">
        <v>7</v>
      </c>
      <c r="J273" s="9">
        <v>202300</v>
      </c>
    </row>
    <row r="274" spans="1:10" x14ac:dyDescent="0.3">
      <c r="A274" s="3" t="s">
        <v>339</v>
      </c>
      <c r="B274" s="4">
        <v>43184</v>
      </c>
      <c r="C274" s="5">
        <v>3</v>
      </c>
      <c r="D274" s="5" t="s">
        <v>21</v>
      </c>
      <c r="E274" s="5" t="s">
        <v>46</v>
      </c>
      <c r="F274" s="5" t="s">
        <v>18</v>
      </c>
      <c r="G274" s="5" t="s">
        <v>11</v>
      </c>
      <c r="H274" s="5">
        <v>19900</v>
      </c>
      <c r="I274" s="5">
        <v>9</v>
      </c>
      <c r="J274" s="9">
        <v>179100</v>
      </c>
    </row>
    <row r="275" spans="1:10" x14ac:dyDescent="0.3">
      <c r="A275" s="3" t="s">
        <v>340</v>
      </c>
      <c r="B275" s="4">
        <v>43184</v>
      </c>
      <c r="C275" s="5">
        <v>7</v>
      </c>
      <c r="D275" s="5" t="s">
        <v>25</v>
      </c>
      <c r="E275" s="5" t="s">
        <v>41</v>
      </c>
      <c r="F275" s="5" t="s">
        <v>15</v>
      </c>
      <c r="G275" s="5" t="s">
        <v>11</v>
      </c>
      <c r="H275" s="5">
        <v>19900</v>
      </c>
      <c r="I275" s="5">
        <v>3</v>
      </c>
      <c r="J275" s="9">
        <v>59700</v>
      </c>
    </row>
    <row r="276" spans="1:10" x14ac:dyDescent="0.3">
      <c r="A276" s="3" t="s">
        <v>341</v>
      </c>
      <c r="B276" s="4">
        <v>43184</v>
      </c>
      <c r="C276" s="5">
        <v>7</v>
      </c>
      <c r="D276" s="5" t="s">
        <v>25</v>
      </c>
      <c r="E276" s="5" t="s">
        <v>44</v>
      </c>
      <c r="F276" s="5" t="s">
        <v>15</v>
      </c>
      <c r="G276" s="5" t="s">
        <v>13</v>
      </c>
      <c r="H276" s="5">
        <v>28900</v>
      </c>
      <c r="I276" s="5">
        <v>0</v>
      </c>
      <c r="J276" s="9">
        <v>0</v>
      </c>
    </row>
    <row r="277" spans="1:10" x14ac:dyDescent="0.3">
      <c r="A277" s="3" t="s">
        <v>342</v>
      </c>
      <c r="B277" s="4">
        <v>43184</v>
      </c>
      <c r="C277" s="5">
        <v>2</v>
      </c>
      <c r="D277" s="5" t="s">
        <v>20</v>
      </c>
      <c r="E277" s="5" t="s">
        <v>40</v>
      </c>
      <c r="F277" s="5" t="s">
        <v>18</v>
      </c>
      <c r="G277" s="5" t="s">
        <v>14</v>
      </c>
      <c r="H277" s="5">
        <v>15900</v>
      </c>
      <c r="I277" s="5">
        <v>7</v>
      </c>
      <c r="J277" s="9">
        <v>111300</v>
      </c>
    </row>
    <row r="278" spans="1:10" x14ac:dyDescent="0.3">
      <c r="A278" s="3" t="s">
        <v>343</v>
      </c>
      <c r="B278" s="4">
        <v>43185</v>
      </c>
      <c r="C278" s="5">
        <v>16</v>
      </c>
      <c r="D278" s="5" t="s">
        <v>34</v>
      </c>
      <c r="E278" s="5" t="s">
        <v>42</v>
      </c>
      <c r="F278" s="5" t="s">
        <v>17</v>
      </c>
      <c r="G278" s="5" t="s">
        <v>13</v>
      </c>
      <c r="H278" s="5">
        <v>28900</v>
      </c>
      <c r="I278" s="5">
        <v>3</v>
      </c>
      <c r="J278" s="9">
        <v>86700</v>
      </c>
    </row>
    <row r="279" spans="1:10" x14ac:dyDescent="0.3">
      <c r="A279" s="3" t="s">
        <v>344</v>
      </c>
      <c r="B279" s="4">
        <v>43185</v>
      </c>
      <c r="C279" s="5">
        <v>6</v>
      </c>
      <c r="D279" s="5" t="s">
        <v>24</v>
      </c>
      <c r="E279" s="5" t="s">
        <v>41</v>
      </c>
      <c r="F279" s="5" t="s">
        <v>15</v>
      </c>
      <c r="G279" s="5" t="s">
        <v>10</v>
      </c>
      <c r="H279" s="5">
        <v>39900</v>
      </c>
      <c r="I279" s="5">
        <v>8</v>
      </c>
      <c r="J279" s="9">
        <v>319200</v>
      </c>
    </row>
    <row r="280" spans="1:10" x14ac:dyDescent="0.3">
      <c r="A280" s="3" t="s">
        <v>345</v>
      </c>
      <c r="B280" s="4">
        <v>43185</v>
      </c>
      <c r="C280" s="5">
        <v>9</v>
      </c>
      <c r="D280" s="5" t="s">
        <v>27</v>
      </c>
      <c r="E280" s="5" t="s">
        <v>41</v>
      </c>
      <c r="F280" s="5" t="s">
        <v>15</v>
      </c>
      <c r="G280" s="5" t="s">
        <v>12</v>
      </c>
      <c r="H280" s="5">
        <v>6900</v>
      </c>
      <c r="I280" s="5">
        <v>9</v>
      </c>
      <c r="J280" s="9">
        <v>62100</v>
      </c>
    </row>
    <row r="281" spans="1:10" x14ac:dyDescent="0.3">
      <c r="A281" s="3" t="s">
        <v>346</v>
      </c>
      <c r="B281" s="4">
        <v>43185</v>
      </c>
      <c r="C281" s="5">
        <v>16</v>
      </c>
      <c r="D281" s="5" t="s">
        <v>34</v>
      </c>
      <c r="E281" s="5" t="s">
        <v>43</v>
      </c>
      <c r="F281" s="5" t="s">
        <v>17</v>
      </c>
      <c r="G281" s="5" t="s">
        <v>11</v>
      </c>
      <c r="H281" s="5">
        <v>19900</v>
      </c>
      <c r="I281" s="5">
        <v>1</v>
      </c>
      <c r="J281" s="9">
        <v>19900</v>
      </c>
    </row>
    <row r="282" spans="1:10" x14ac:dyDescent="0.3">
      <c r="A282" s="3" t="s">
        <v>347</v>
      </c>
      <c r="B282" s="4">
        <v>43185</v>
      </c>
      <c r="C282" s="5">
        <v>20</v>
      </c>
      <c r="D282" s="5" t="s">
        <v>38</v>
      </c>
      <c r="E282" s="5" t="s">
        <v>43</v>
      </c>
      <c r="F282" s="5" t="s">
        <v>17</v>
      </c>
      <c r="G282" s="5" t="s">
        <v>12</v>
      </c>
      <c r="H282" s="5">
        <v>6900</v>
      </c>
      <c r="I282" s="5">
        <v>3</v>
      </c>
      <c r="J282" s="9">
        <v>20700</v>
      </c>
    </row>
    <row r="283" spans="1:10" x14ac:dyDescent="0.3">
      <c r="A283" s="3" t="s">
        <v>348</v>
      </c>
      <c r="B283" s="4">
        <v>43186</v>
      </c>
      <c r="C283" s="5">
        <v>16</v>
      </c>
      <c r="D283" s="5" t="s">
        <v>34</v>
      </c>
      <c r="E283" s="5" t="s">
        <v>42</v>
      </c>
      <c r="F283" s="5" t="s">
        <v>17</v>
      </c>
      <c r="G283" s="5" t="s">
        <v>14</v>
      </c>
      <c r="H283" s="5">
        <v>15900</v>
      </c>
      <c r="I283" s="5">
        <v>6</v>
      </c>
      <c r="J283" s="9">
        <v>95400</v>
      </c>
    </row>
    <row r="284" spans="1:10" x14ac:dyDescent="0.3">
      <c r="A284" s="3" t="s">
        <v>349</v>
      </c>
      <c r="B284" s="4">
        <v>43186</v>
      </c>
      <c r="C284" s="5">
        <v>20</v>
      </c>
      <c r="D284" s="5" t="s">
        <v>38</v>
      </c>
      <c r="E284" s="5" t="s">
        <v>43</v>
      </c>
      <c r="F284" s="5" t="s">
        <v>17</v>
      </c>
      <c r="G284" s="5" t="s">
        <v>14</v>
      </c>
      <c r="H284" s="5">
        <v>15900</v>
      </c>
      <c r="I284" s="5">
        <v>0</v>
      </c>
      <c r="J284" s="9">
        <v>0</v>
      </c>
    </row>
    <row r="285" spans="1:10" x14ac:dyDescent="0.3">
      <c r="A285" s="3" t="s">
        <v>350</v>
      </c>
      <c r="B285" s="4">
        <v>43186</v>
      </c>
      <c r="C285" s="5">
        <v>2</v>
      </c>
      <c r="D285" s="5" t="s">
        <v>20</v>
      </c>
      <c r="E285" s="5" t="s">
        <v>40</v>
      </c>
      <c r="F285" s="5" t="s">
        <v>18</v>
      </c>
      <c r="G285" s="5" t="s">
        <v>14</v>
      </c>
      <c r="H285" s="5">
        <v>15900</v>
      </c>
      <c r="I285" s="5">
        <v>4</v>
      </c>
      <c r="J285" s="9">
        <v>63600</v>
      </c>
    </row>
    <row r="286" spans="1:10" x14ac:dyDescent="0.3">
      <c r="A286" s="3" t="s">
        <v>351</v>
      </c>
      <c r="B286" s="4">
        <v>43186</v>
      </c>
      <c r="C286" s="5">
        <v>11</v>
      </c>
      <c r="D286" s="5" t="s">
        <v>29</v>
      </c>
      <c r="E286" s="5" t="s">
        <v>39</v>
      </c>
      <c r="F286" s="5" t="s">
        <v>16</v>
      </c>
      <c r="G286" s="5" t="s">
        <v>13</v>
      </c>
      <c r="H286" s="5">
        <v>28900</v>
      </c>
      <c r="I286" s="5">
        <v>3</v>
      </c>
      <c r="J286" s="9">
        <v>86700</v>
      </c>
    </row>
    <row r="287" spans="1:10" x14ac:dyDescent="0.3">
      <c r="A287" s="3" t="s">
        <v>352</v>
      </c>
      <c r="B287" s="4">
        <v>43186</v>
      </c>
      <c r="C287" s="5">
        <v>13</v>
      </c>
      <c r="D287" s="5" t="s">
        <v>31</v>
      </c>
      <c r="E287" s="5" t="s">
        <v>45</v>
      </c>
      <c r="F287" s="5" t="s">
        <v>16</v>
      </c>
      <c r="G287" s="5" t="s">
        <v>12</v>
      </c>
      <c r="H287" s="5">
        <v>6900</v>
      </c>
      <c r="I287" s="5">
        <v>6</v>
      </c>
      <c r="J287" s="9">
        <v>41400</v>
      </c>
    </row>
    <row r="288" spans="1:10" x14ac:dyDescent="0.3">
      <c r="A288" s="3" t="s">
        <v>353</v>
      </c>
      <c r="B288" s="4">
        <v>43186</v>
      </c>
      <c r="C288" s="5">
        <v>4</v>
      </c>
      <c r="D288" s="5" t="s">
        <v>22</v>
      </c>
      <c r="E288" s="5" t="s">
        <v>40</v>
      </c>
      <c r="F288" s="5" t="s">
        <v>18</v>
      </c>
      <c r="G288" s="5" t="s">
        <v>13</v>
      </c>
      <c r="H288" s="5">
        <v>28900</v>
      </c>
      <c r="I288" s="5">
        <v>7</v>
      </c>
      <c r="J288" s="9">
        <v>202300</v>
      </c>
    </row>
    <row r="289" spans="1:10" x14ac:dyDescent="0.3">
      <c r="A289" s="3" t="s">
        <v>354</v>
      </c>
      <c r="B289" s="4">
        <v>43186</v>
      </c>
      <c r="C289" s="5">
        <v>3</v>
      </c>
      <c r="D289" s="5" t="s">
        <v>21</v>
      </c>
      <c r="E289" s="5" t="s">
        <v>46</v>
      </c>
      <c r="F289" s="5" t="s">
        <v>18</v>
      </c>
      <c r="G289" s="5" t="s">
        <v>14</v>
      </c>
      <c r="H289" s="5">
        <v>15900</v>
      </c>
      <c r="I289" s="5">
        <v>2</v>
      </c>
      <c r="J289" s="9">
        <v>31800</v>
      </c>
    </row>
    <row r="290" spans="1:10" x14ac:dyDescent="0.3">
      <c r="A290" s="3" t="s">
        <v>355</v>
      </c>
      <c r="B290" s="4">
        <v>43187</v>
      </c>
      <c r="C290" s="5">
        <v>20</v>
      </c>
      <c r="D290" s="5" t="s">
        <v>38</v>
      </c>
      <c r="E290" s="5" t="s">
        <v>43</v>
      </c>
      <c r="F290" s="5" t="s">
        <v>17</v>
      </c>
      <c r="G290" s="5" t="s">
        <v>13</v>
      </c>
      <c r="H290" s="5">
        <v>28900</v>
      </c>
      <c r="I290" s="5">
        <v>1</v>
      </c>
      <c r="J290" s="9">
        <v>28900</v>
      </c>
    </row>
    <row r="291" spans="1:10" x14ac:dyDescent="0.3">
      <c r="A291" s="3" t="s">
        <v>356</v>
      </c>
      <c r="B291" s="4">
        <v>43188</v>
      </c>
      <c r="C291" s="5">
        <v>3</v>
      </c>
      <c r="D291" s="5" t="s">
        <v>21</v>
      </c>
      <c r="E291" s="5" t="s">
        <v>40</v>
      </c>
      <c r="F291" s="5" t="s">
        <v>18</v>
      </c>
      <c r="G291" s="5" t="s">
        <v>14</v>
      </c>
      <c r="H291" s="5">
        <v>15900</v>
      </c>
      <c r="I291" s="5">
        <v>9</v>
      </c>
      <c r="J291" s="9">
        <v>143100</v>
      </c>
    </row>
    <row r="292" spans="1:10" x14ac:dyDescent="0.3">
      <c r="A292" s="3" t="s">
        <v>357</v>
      </c>
      <c r="B292" s="4">
        <v>43189</v>
      </c>
      <c r="C292" s="5">
        <v>19</v>
      </c>
      <c r="D292" s="5" t="s">
        <v>37</v>
      </c>
      <c r="E292" s="5" t="s">
        <v>42</v>
      </c>
      <c r="F292" s="5" t="s">
        <v>17</v>
      </c>
      <c r="G292" s="5" t="s">
        <v>12</v>
      </c>
      <c r="H292" s="5">
        <v>6900</v>
      </c>
      <c r="I292" s="5">
        <v>3</v>
      </c>
      <c r="J292" s="9">
        <v>20700</v>
      </c>
    </row>
    <row r="293" spans="1:10" x14ac:dyDescent="0.3">
      <c r="A293" s="3" t="s">
        <v>358</v>
      </c>
      <c r="B293" s="4">
        <v>43189</v>
      </c>
      <c r="C293" s="5">
        <v>1</v>
      </c>
      <c r="D293" s="5" t="s">
        <v>19</v>
      </c>
      <c r="E293" s="5" t="s">
        <v>46</v>
      </c>
      <c r="F293" s="5" t="s">
        <v>18</v>
      </c>
      <c r="G293" s="5" t="s">
        <v>14</v>
      </c>
      <c r="H293" s="5">
        <v>15900</v>
      </c>
      <c r="I293" s="5">
        <v>0</v>
      </c>
      <c r="J293" s="9">
        <v>0</v>
      </c>
    </row>
    <row r="294" spans="1:10" x14ac:dyDescent="0.3">
      <c r="A294" s="3" t="s">
        <v>359</v>
      </c>
      <c r="B294" s="4">
        <v>43189</v>
      </c>
      <c r="C294" s="5">
        <v>2</v>
      </c>
      <c r="D294" s="5" t="s">
        <v>20</v>
      </c>
      <c r="E294" s="5" t="s">
        <v>40</v>
      </c>
      <c r="F294" s="5" t="s">
        <v>18</v>
      </c>
      <c r="G294" s="5" t="s">
        <v>11</v>
      </c>
      <c r="H294" s="5">
        <v>19900</v>
      </c>
      <c r="I294" s="5">
        <v>7</v>
      </c>
      <c r="J294" s="9">
        <v>139300</v>
      </c>
    </row>
    <row r="295" spans="1:10" x14ac:dyDescent="0.3">
      <c r="A295" s="3" t="s">
        <v>360</v>
      </c>
      <c r="B295" s="4">
        <v>43189</v>
      </c>
      <c r="C295" s="5">
        <v>16</v>
      </c>
      <c r="D295" s="5" t="s">
        <v>34</v>
      </c>
      <c r="E295" s="5" t="s">
        <v>42</v>
      </c>
      <c r="F295" s="5" t="s">
        <v>17</v>
      </c>
      <c r="G295" s="5" t="s">
        <v>14</v>
      </c>
      <c r="H295" s="5">
        <v>15900</v>
      </c>
      <c r="I295" s="5">
        <v>2</v>
      </c>
      <c r="J295" s="9">
        <v>31800</v>
      </c>
    </row>
    <row r="296" spans="1:10" x14ac:dyDescent="0.3">
      <c r="A296" s="3" t="s">
        <v>361</v>
      </c>
      <c r="B296" s="4">
        <v>43190</v>
      </c>
      <c r="C296" s="5">
        <v>7</v>
      </c>
      <c r="D296" s="5" t="s">
        <v>25</v>
      </c>
      <c r="E296" s="5" t="s">
        <v>44</v>
      </c>
      <c r="F296" s="5" t="s">
        <v>15</v>
      </c>
      <c r="G296" s="5" t="s">
        <v>12</v>
      </c>
      <c r="H296" s="5">
        <v>6900</v>
      </c>
      <c r="I296" s="5">
        <v>3</v>
      </c>
      <c r="J296" s="9">
        <v>20700</v>
      </c>
    </row>
    <row r="297" spans="1:10" x14ac:dyDescent="0.3">
      <c r="A297" s="3" t="s">
        <v>362</v>
      </c>
      <c r="B297" s="4">
        <v>43190</v>
      </c>
      <c r="C297" s="5">
        <v>9</v>
      </c>
      <c r="D297" s="5" t="s">
        <v>27</v>
      </c>
      <c r="E297" s="5" t="s">
        <v>41</v>
      </c>
      <c r="F297" s="5" t="s">
        <v>15</v>
      </c>
      <c r="G297" s="5" t="s">
        <v>12</v>
      </c>
      <c r="H297" s="5">
        <v>6900</v>
      </c>
      <c r="I297" s="5">
        <v>4</v>
      </c>
      <c r="J297" s="9">
        <v>27600</v>
      </c>
    </row>
    <row r="298" spans="1:10" x14ac:dyDescent="0.3">
      <c r="A298" s="3" t="s">
        <v>363</v>
      </c>
      <c r="B298" s="4">
        <v>43190</v>
      </c>
      <c r="C298" s="5">
        <v>14</v>
      </c>
      <c r="D298" s="5" t="s">
        <v>32</v>
      </c>
      <c r="E298" s="5" t="s">
        <v>39</v>
      </c>
      <c r="F298" s="5" t="s">
        <v>16</v>
      </c>
      <c r="G298" s="5" t="s">
        <v>10</v>
      </c>
      <c r="H298" s="5">
        <v>39900</v>
      </c>
      <c r="I298" s="5">
        <v>5</v>
      </c>
      <c r="J298" s="9">
        <v>199500</v>
      </c>
    </row>
    <row r="299" spans="1:10" x14ac:dyDescent="0.3">
      <c r="A299" s="3" t="s">
        <v>364</v>
      </c>
      <c r="B299" s="4">
        <v>43190</v>
      </c>
      <c r="C299" s="5">
        <v>13</v>
      </c>
      <c r="D299" s="5" t="s">
        <v>31</v>
      </c>
      <c r="E299" s="5" t="s">
        <v>45</v>
      </c>
      <c r="F299" s="5" t="s">
        <v>16</v>
      </c>
      <c r="G299" s="5" t="s">
        <v>12</v>
      </c>
      <c r="H299" s="5">
        <v>6900</v>
      </c>
      <c r="I299" s="5">
        <v>4</v>
      </c>
      <c r="J299" s="9">
        <v>27600</v>
      </c>
    </row>
    <row r="300" spans="1:10" x14ac:dyDescent="0.3">
      <c r="A300" s="3" t="s">
        <v>365</v>
      </c>
      <c r="B300" s="4">
        <v>43190</v>
      </c>
      <c r="C300" s="5">
        <v>12</v>
      </c>
      <c r="D300" s="5" t="s">
        <v>30</v>
      </c>
      <c r="E300" s="5" t="s">
        <v>39</v>
      </c>
      <c r="F300" s="5" t="s">
        <v>16</v>
      </c>
      <c r="G300" s="5" t="s">
        <v>11</v>
      </c>
      <c r="H300" s="5">
        <v>19900</v>
      </c>
      <c r="I300" s="5">
        <v>8</v>
      </c>
      <c r="J300" s="9">
        <v>159200</v>
      </c>
    </row>
    <row r="301" spans="1:10" x14ac:dyDescent="0.3">
      <c r="A301" s="3" t="s">
        <v>366</v>
      </c>
      <c r="B301" s="4">
        <v>43191</v>
      </c>
      <c r="C301" s="5">
        <v>7</v>
      </c>
      <c r="D301" s="5" t="s">
        <v>25</v>
      </c>
      <c r="E301" s="5" t="s">
        <v>41</v>
      </c>
      <c r="F301" s="5" t="s">
        <v>15</v>
      </c>
      <c r="G301" s="5" t="s">
        <v>12</v>
      </c>
      <c r="H301" s="5">
        <v>6900</v>
      </c>
      <c r="I301" s="5">
        <v>2</v>
      </c>
      <c r="J301" s="9">
        <v>13800</v>
      </c>
    </row>
    <row r="302" spans="1:10" x14ac:dyDescent="0.3">
      <c r="A302" s="3" t="s">
        <v>367</v>
      </c>
      <c r="B302" s="4">
        <v>43192</v>
      </c>
      <c r="C302" s="5">
        <v>10</v>
      </c>
      <c r="D302" s="5" t="s">
        <v>28</v>
      </c>
      <c r="E302" s="5" t="s">
        <v>41</v>
      </c>
      <c r="F302" s="5" t="s">
        <v>15</v>
      </c>
      <c r="G302" s="5" t="s">
        <v>10</v>
      </c>
      <c r="H302" s="5">
        <v>39900</v>
      </c>
      <c r="I302" s="5">
        <v>9</v>
      </c>
      <c r="J302" s="9">
        <v>359100</v>
      </c>
    </row>
    <row r="303" spans="1:10" x14ac:dyDescent="0.3">
      <c r="A303" s="3" t="s">
        <v>368</v>
      </c>
      <c r="B303" s="4">
        <v>43193</v>
      </c>
      <c r="C303" s="5">
        <v>6</v>
      </c>
      <c r="D303" s="5" t="s">
        <v>24</v>
      </c>
      <c r="E303" s="5" t="s">
        <v>44</v>
      </c>
      <c r="F303" s="5" t="s">
        <v>15</v>
      </c>
      <c r="G303" s="5" t="s">
        <v>12</v>
      </c>
      <c r="H303" s="5">
        <v>6900</v>
      </c>
      <c r="I303" s="5">
        <v>6</v>
      </c>
      <c r="J303" s="9">
        <v>41400</v>
      </c>
    </row>
    <row r="304" spans="1:10" x14ac:dyDescent="0.3">
      <c r="A304" s="3" t="s">
        <v>369</v>
      </c>
      <c r="B304" s="4">
        <v>43194</v>
      </c>
      <c r="C304" s="5">
        <v>20</v>
      </c>
      <c r="D304" s="5" t="s">
        <v>38</v>
      </c>
      <c r="E304" s="5" t="s">
        <v>42</v>
      </c>
      <c r="F304" s="5" t="s">
        <v>17</v>
      </c>
      <c r="G304" s="5" t="s">
        <v>14</v>
      </c>
      <c r="H304" s="5">
        <v>15900</v>
      </c>
      <c r="I304" s="5">
        <v>0</v>
      </c>
      <c r="J304" s="9">
        <v>0</v>
      </c>
    </row>
    <row r="305" spans="1:10" x14ac:dyDescent="0.3">
      <c r="A305" s="3" t="s">
        <v>370</v>
      </c>
      <c r="B305" s="4">
        <v>43194</v>
      </c>
      <c r="C305" s="5">
        <v>2</v>
      </c>
      <c r="D305" s="5" t="s">
        <v>20</v>
      </c>
      <c r="E305" s="5" t="s">
        <v>46</v>
      </c>
      <c r="F305" s="5" t="s">
        <v>18</v>
      </c>
      <c r="G305" s="5" t="s">
        <v>12</v>
      </c>
      <c r="H305" s="5">
        <v>6900</v>
      </c>
      <c r="I305" s="5">
        <v>1</v>
      </c>
      <c r="J305" s="9">
        <v>6900</v>
      </c>
    </row>
    <row r="306" spans="1:10" x14ac:dyDescent="0.3">
      <c r="A306" s="3" t="s">
        <v>371</v>
      </c>
      <c r="B306" s="4">
        <v>43195</v>
      </c>
      <c r="C306" s="5">
        <v>8</v>
      </c>
      <c r="D306" s="5" t="s">
        <v>26</v>
      </c>
      <c r="E306" s="5" t="s">
        <v>44</v>
      </c>
      <c r="F306" s="5" t="s">
        <v>15</v>
      </c>
      <c r="G306" s="5" t="s">
        <v>13</v>
      </c>
      <c r="H306" s="5">
        <v>28900</v>
      </c>
      <c r="I306" s="5">
        <v>9</v>
      </c>
      <c r="J306" s="9">
        <v>260100</v>
      </c>
    </row>
    <row r="307" spans="1:10" x14ac:dyDescent="0.3">
      <c r="A307" s="3" t="s">
        <v>372</v>
      </c>
      <c r="B307" s="4">
        <v>43195</v>
      </c>
      <c r="C307" s="5">
        <v>1</v>
      </c>
      <c r="D307" s="5" t="s">
        <v>19</v>
      </c>
      <c r="E307" s="5" t="s">
        <v>40</v>
      </c>
      <c r="F307" s="5" t="s">
        <v>18</v>
      </c>
      <c r="G307" s="5" t="s">
        <v>14</v>
      </c>
      <c r="H307" s="5">
        <v>15900</v>
      </c>
      <c r="I307" s="5">
        <v>3</v>
      </c>
      <c r="J307" s="9">
        <v>47700</v>
      </c>
    </row>
    <row r="308" spans="1:10" x14ac:dyDescent="0.3">
      <c r="A308" s="3" t="s">
        <v>373</v>
      </c>
      <c r="B308" s="4">
        <v>43195</v>
      </c>
      <c r="C308" s="5">
        <v>4</v>
      </c>
      <c r="D308" s="5" t="s">
        <v>22</v>
      </c>
      <c r="E308" s="5" t="s">
        <v>40</v>
      </c>
      <c r="F308" s="5" t="s">
        <v>18</v>
      </c>
      <c r="G308" s="5" t="s">
        <v>11</v>
      </c>
      <c r="H308" s="5">
        <v>19900</v>
      </c>
      <c r="I308" s="5">
        <v>5</v>
      </c>
      <c r="J308" s="9">
        <v>99500</v>
      </c>
    </row>
    <row r="309" spans="1:10" x14ac:dyDescent="0.3">
      <c r="A309" s="3" t="s">
        <v>374</v>
      </c>
      <c r="B309" s="4">
        <v>43195</v>
      </c>
      <c r="C309" s="5">
        <v>12</v>
      </c>
      <c r="D309" s="5" t="s">
        <v>30</v>
      </c>
      <c r="E309" s="5" t="s">
        <v>39</v>
      </c>
      <c r="F309" s="5" t="s">
        <v>16</v>
      </c>
      <c r="G309" s="5" t="s">
        <v>11</v>
      </c>
      <c r="H309" s="5">
        <v>19900</v>
      </c>
      <c r="I309" s="5">
        <v>6</v>
      </c>
      <c r="J309" s="9">
        <v>119400</v>
      </c>
    </row>
    <row r="310" spans="1:10" x14ac:dyDescent="0.3">
      <c r="A310" s="3" t="s">
        <v>375</v>
      </c>
      <c r="B310" s="4">
        <v>43196</v>
      </c>
      <c r="C310" s="5">
        <v>15</v>
      </c>
      <c r="D310" s="5" t="s">
        <v>33</v>
      </c>
      <c r="E310" s="5" t="s">
        <v>39</v>
      </c>
      <c r="F310" s="5" t="s">
        <v>16</v>
      </c>
      <c r="G310" s="5" t="s">
        <v>13</v>
      </c>
      <c r="H310" s="5">
        <v>28900</v>
      </c>
      <c r="I310" s="5">
        <v>8</v>
      </c>
      <c r="J310" s="9">
        <v>231200</v>
      </c>
    </row>
    <row r="311" spans="1:10" x14ac:dyDescent="0.3">
      <c r="A311" s="3" t="s">
        <v>376</v>
      </c>
      <c r="B311" s="4">
        <v>43196</v>
      </c>
      <c r="C311" s="5">
        <v>6</v>
      </c>
      <c r="D311" s="5" t="s">
        <v>24</v>
      </c>
      <c r="E311" s="5" t="s">
        <v>44</v>
      </c>
      <c r="F311" s="5" t="s">
        <v>15</v>
      </c>
      <c r="G311" s="5" t="s">
        <v>12</v>
      </c>
      <c r="H311" s="5">
        <v>6900</v>
      </c>
      <c r="I311" s="5">
        <v>0</v>
      </c>
      <c r="J311" s="9">
        <v>0</v>
      </c>
    </row>
    <row r="312" spans="1:10" x14ac:dyDescent="0.3">
      <c r="A312" s="3" t="s">
        <v>377</v>
      </c>
      <c r="B312" s="4">
        <v>43197</v>
      </c>
      <c r="C312" s="5">
        <v>19</v>
      </c>
      <c r="D312" s="5" t="s">
        <v>37</v>
      </c>
      <c r="E312" s="5" t="s">
        <v>42</v>
      </c>
      <c r="F312" s="5" t="s">
        <v>17</v>
      </c>
      <c r="G312" s="5" t="s">
        <v>13</v>
      </c>
      <c r="H312" s="5">
        <v>28900</v>
      </c>
      <c r="I312" s="5">
        <v>5</v>
      </c>
      <c r="J312" s="9">
        <v>144500</v>
      </c>
    </row>
    <row r="313" spans="1:10" x14ac:dyDescent="0.3">
      <c r="A313" s="3" t="s">
        <v>378</v>
      </c>
      <c r="B313" s="4">
        <v>43197</v>
      </c>
      <c r="C313" s="5">
        <v>18</v>
      </c>
      <c r="D313" s="5" t="s">
        <v>36</v>
      </c>
      <c r="E313" s="5" t="s">
        <v>42</v>
      </c>
      <c r="F313" s="5" t="s">
        <v>17</v>
      </c>
      <c r="G313" s="5" t="s">
        <v>11</v>
      </c>
      <c r="H313" s="5">
        <v>19900</v>
      </c>
      <c r="I313" s="5">
        <v>0</v>
      </c>
      <c r="J313" s="9">
        <v>0</v>
      </c>
    </row>
    <row r="314" spans="1:10" x14ac:dyDescent="0.3">
      <c r="A314" s="3" t="s">
        <v>379</v>
      </c>
      <c r="B314" s="4">
        <v>43197</v>
      </c>
      <c r="C314" s="5">
        <v>7</v>
      </c>
      <c r="D314" s="5" t="s">
        <v>25</v>
      </c>
      <c r="E314" s="5" t="s">
        <v>41</v>
      </c>
      <c r="F314" s="5" t="s">
        <v>15</v>
      </c>
      <c r="G314" s="5" t="s">
        <v>11</v>
      </c>
      <c r="H314" s="5">
        <v>19900</v>
      </c>
      <c r="I314" s="5">
        <v>9</v>
      </c>
      <c r="J314" s="9">
        <v>179100</v>
      </c>
    </row>
    <row r="315" spans="1:10" x14ac:dyDescent="0.3">
      <c r="A315" s="3" t="s">
        <v>380</v>
      </c>
      <c r="B315" s="4">
        <v>43197</v>
      </c>
      <c r="C315" s="5">
        <v>2</v>
      </c>
      <c r="D315" s="5" t="s">
        <v>20</v>
      </c>
      <c r="E315" s="5" t="s">
        <v>46</v>
      </c>
      <c r="F315" s="5" t="s">
        <v>18</v>
      </c>
      <c r="G315" s="5" t="s">
        <v>11</v>
      </c>
      <c r="H315" s="5">
        <v>19900</v>
      </c>
      <c r="I315" s="5">
        <v>5</v>
      </c>
      <c r="J315" s="9">
        <v>99500</v>
      </c>
    </row>
    <row r="316" spans="1:10" x14ac:dyDescent="0.3">
      <c r="A316" s="3" t="s">
        <v>381</v>
      </c>
      <c r="B316" s="4">
        <v>43198</v>
      </c>
      <c r="C316" s="5">
        <v>19</v>
      </c>
      <c r="D316" s="5" t="s">
        <v>37</v>
      </c>
      <c r="E316" s="5" t="s">
        <v>42</v>
      </c>
      <c r="F316" s="5" t="s">
        <v>17</v>
      </c>
      <c r="G316" s="5" t="s">
        <v>11</v>
      </c>
      <c r="H316" s="5">
        <v>19900</v>
      </c>
      <c r="I316" s="5">
        <v>9</v>
      </c>
      <c r="J316" s="9">
        <v>179100</v>
      </c>
    </row>
    <row r="317" spans="1:10" x14ac:dyDescent="0.3">
      <c r="A317" s="3" t="s">
        <v>382</v>
      </c>
      <c r="B317" s="4">
        <v>43198</v>
      </c>
      <c r="C317" s="5">
        <v>19</v>
      </c>
      <c r="D317" s="5" t="s">
        <v>37</v>
      </c>
      <c r="E317" s="5" t="s">
        <v>42</v>
      </c>
      <c r="F317" s="5" t="s">
        <v>17</v>
      </c>
      <c r="G317" s="5" t="s">
        <v>11</v>
      </c>
      <c r="H317" s="5">
        <v>19900</v>
      </c>
      <c r="I317" s="5">
        <v>8</v>
      </c>
      <c r="J317" s="9">
        <v>159200</v>
      </c>
    </row>
    <row r="318" spans="1:10" x14ac:dyDescent="0.3">
      <c r="A318" s="3" t="s">
        <v>383</v>
      </c>
      <c r="B318" s="4">
        <v>43199</v>
      </c>
      <c r="C318" s="5">
        <v>2</v>
      </c>
      <c r="D318" s="5" t="s">
        <v>20</v>
      </c>
      <c r="E318" s="5" t="s">
        <v>40</v>
      </c>
      <c r="F318" s="5" t="s">
        <v>18</v>
      </c>
      <c r="G318" s="5" t="s">
        <v>11</v>
      </c>
      <c r="H318" s="5">
        <v>19900</v>
      </c>
      <c r="I318" s="5">
        <v>3</v>
      </c>
      <c r="J318" s="9">
        <v>59700</v>
      </c>
    </row>
    <row r="319" spans="1:10" x14ac:dyDescent="0.3">
      <c r="A319" s="3" t="s">
        <v>384</v>
      </c>
      <c r="B319" s="4">
        <v>43199</v>
      </c>
      <c r="C319" s="5">
        <v>5</v>
      </c>
      <c r="D319" s="5" t="s">
        <v>23</v>
      </c>
      <c r="E319" s="5" t="s">
        <v>46</v>
      </c>
      <c r="F319" s="5" t="s">
        <v>18</v>
      </c>
      <c r="G319" s="5" t="s">
        <v>11</v>
      </c>
      <c r="H319" s="5">
        <v>19900</v>
      </c>
      <c r="I319" s="5">
        <v>4</v>
      </c>
      <c r="J319" s="9">
        <v>79600</v>
      </c>
    </row>
    <row r="320" spans="1:10" x14ac:dyDescent="0.3">
      <c r="A320" s="3" t="s">
        <v>385</v>
      </c>
      <c r="B320" s="4">
        <v>43200</v>
      </c>
      <c r="C320" s="5">
        <v>14</v>
      </c>
      <c r="D320" s="5" t="s">
        <v>32</v>
      </c>
      <c r="E320" s="5" t="s">
        <v>39</v>
      </c>
      <c r="F320" s="5" t="s">
        <v>16</v>
      </c>
      <c r="G320" s="5" t="s">
        <v>12</v>
      </c>
      <c r="H320" s="5">
        <v>6900</v>
      </c>
      <c r="I320" s="5">
        <v>3</v>
      </c>
      <c r="J320" s="9">
        <v>20700</v>
      </c>
    </row>
    <row r="321" spans="1:10" x14ac:dyDescent="0.3">
      <c r="A321" s="3" t="s">
        <v>386</v>
      </c>
      <c r="B321" s="4">
        <v>43201</v>
      </c>
      <c r="C321" s="5">
        <v>12</v>
      </c>
      <c r="D321" s="5" t="s">
        <v>30</v>
      </c>
      <c r="E321" s="5" t="s">
        <v>45</v>
      </c>
      <c r="F321" s="5" t="s">
        <v>16</v>
      </c>
      <c r="G321" s="5" t="s">
        <v>12</v>
      </c>
      <c r="H321" s="5">
        <v>6900</v>
      </c>
      <c r="I321" s="5">
        <v>0</v>
      </c>
      <c r="J321" s="9">
        <v>0</v>
      </c>
    </row>
    <row r="322" spans="1:10" x14ac:dyDescent="0.3">
      <c r="A322" s="3" t="s">
        <v>387</v>
      </c>
      <c r="B322" s="4">
        <v>43202</v>
      </c>
      <c r="C322" s="5">
        <v>9</v>
      </c>
      <c r="D322" s="5" t="s">
        <v>27</v>
      </c>
      <c r="E322" s="5" t="s">
        <v>41</v>
      </c>
      <c r="F322" s="5" t="s">
        <v>15</v>
      </c>
      <c r="G322" s="5" t="s">
        <v>10</v>
      </c>
      <c r="H322" s="5">
        <v>39900</v>
      </c>
      <c r="I322" s="5">
        <v>1</v>
      </c>
      <c r="J322" s="9">
        <v>39900</v>
      </c>
    </row>
    <row r="323" spans="1:10" x14ac:dyDescent="0.3">
      <c r="A323" s="3" t="s">
        <v>388</v>
      </c>
      <c r="B323" s="4">
        <v>43203</v>
      </c>
      <c r="C323" s="5">
        <v>2</v>
      </c>
      <c r="D323" s="5" t="s">
        <v>20</v>
      </c>
      <c r="E323" s="5" t="s">
        <v>40</v>
      </c>
      <c r="F323" s="5" t="s">
        <v>18</v>
      </c>
      <c r="G323" s="5" t="s">
        <v>13</v>
      </c>
      <c r="H323" s="5">
        <v>28900</v>
      </c>
      <c r="I323" s="5">
        <v>8</v>
      </c>
      <c r="J323" s="9">
        <v>231200</v>
      </c>
    </row>
    <row r="324" spans="1:10" x14ac:dyDescent="0.3">
      <c r="A324" s="3" t="s">
        <v>389</v>
      </c>
      <c r="B324" s="4">
        <v>43203</v>
      </c>
      <c r="C324" s="5">
        <v>19</v>
      </c>
      <c r="D324" s="5" t="s">
        <v>37</v>
      </c>
      <c r="E324" s="5" t="s">
        <v>42</v>
      </c>
      <c r="F324" s="5" t="s">
        <v>17</v>
      </c>
      <c r="G324" s="5" t="s">
        <v>13</v>
      </c>
      <c r="H324" s="5">
        <v>28900</v>
      </c>
      <c r="I324" s="5">
        <v>3</v>
      </c>
      <c r="J324" s="9">
        <v>86700</v>
      </c>
    </row>
    <row r="325" spans="1:10" x14ac:dyDescent="0.3">
      <c r="A325" s="3" t="s">
        <v>390</v>
      </c>
      <c r="B325" s="4">
        <v>43204</v>
      </c>
      <c r="C325" s="5">
        <v>17</v>
      </c>
      <c r="D325" s="5" t="s">
        <v>35</v>
      </c>
      <c r="E325" s="5" t="s">
        <v>43</v>
      </c>
      <c r="F325" s="5" t="s">
        <v>17</v>
      </c>
      <c r="G325" s="5" t="s">
        <v>14</v>
      </c>
      <c r="H325" s="5">
        <v>15900</v>
      </c>
      <c r="I325" s="5">
        <v>4</v>
      </c>
      <c r="J325" s="9">
        <v>63600</v>
      </c>
    </row>
    <row r="326" spans="1:10" x14ac:dyDescent="0.3">
      <c r="A326" s="3" t="s">
        <v>391</v>
      </c>
      <c r="B326" s="4">
        <v>43204</v>
      </c>
      <c r="C326" s="5">
        <v>14</v>
      </c>
      <c r="D326" s="5" t="s">
        <v>32</v>
      </c>
      <c r="E326" s="5" t="s">
        <v>45</v>
      </c>
      <c r="F326" s="5" t="s">
        <v>16</v>
      </c>
      <c r="G326" s="5" t="s">
        <v>10</v>
      </c>
      <c r="H326" s="5">
        <v>39900</v>
      </c>
      <c r="I326" s="5">
        <v>3</v>
      </c>
      <c r="J326" s="9">
        <v>119700</v>
      </c>
    </row>
    <row r="327" spans="1:10" x14ac:dyDescent="0.3">
      <c r="A327" s="3" t="s">
        <v>392</v>
      </c>
      <c r="B327" s="4">
        <v>43204</v>
      </c>
      <c r="C327" s="5">
        <v>7</v>
      </c>
      <c r="D327" s="5" t="s">
        <v>25</v>
      </c>
      <c r="E327" s="5" t="s">
        <v>41</v>
      </c>
      <c r="F327" s="5" t="s">
        <v>15</v>
      </c>
      <c r="G327" s="5" t="s">
        <v>12</v>
      </c>
      <c r="H327" s="5">
        <v>6900</v>
      </c>
      <c r="I327" s="5">
        <v>2</v>
      </c>
      <c r="J327" s="9">
        <v>13800</v>
      </c>
    </row>
    <row r="328" spans="1:10" x14ac:dyDescent="0.3">
      <c r="A328" s="3" t="s">
        <v>393</v>
      </c>
      <c r="B328" s="4">
        <v>43204</v>
      </c>
      <c r="C328" s="5">
        <v>9</v>
      </c>
      <c r="D328" s="5" t="s">
        <v>27</v>
      </c>
      <c r="E328" s="5" t="s">
        <v>44</v>
      </c>
      <c r="F328" s="5" t="s">
        <v>15</v>
      </c>
      <c r="G328" s="5" t="s">
        <v>11</v>
      </c>
      <c r="H328" s="5">
        <v>19900</v>
      </c>
      <c r="I328" s="5">
        <v>9</v>
      </c>
      <c r="J328" s="9">
        <v>179100</v>
      </c>
    </row>
    <row r="329" spans="1:10" x14ac:dyDescent="0.3">
      <c r="A329" s="3" t="s">
        <v>394</v>
      </c>
      <c r="B329" s="4">
        <v>43204</v>
      </c>
      <c r="C329" s="5">
        <v>8</v>
      </c>
      <c r="D329" s="5" t="s">
        <v>26</v>
      </c>
      <c r="E329" s="5" t="s">
        <v>41</v>
      </c>
      <c r="F329" s="5" t="s">
        <v>15</v>
      </c>
      <c r="G329" s="5" t="s">
        <v>11</v>
      </c>
      <c r="H329" s="5">
        <v>19900</v>
      </c>
      <c r="I329" s="5">
        <v>2</v>
      </c>
      <c r="J329" s="9">
        <v>39800</v>
      </c>
    </row>
    <row r="330" spans="1:10" x14ac:dyDescent="0.3">
      <c r="A330" s="3" t="s">
        <v>395</v>
      </c>
      <c r="B330" s="4">
        <v>43204</v>
      </c>
      <c r="C330" s="5">
        <v>14</v>
      </c>
      <c r="D330" s="5" t="s">
        <v>32</v>
      </c>
      <c r="E330" s="5" t="s">
        <v>39</v>
      </c>
      <c r="F330" s="5" t="s">
        <v>16</v>
      </c>
      <c r="G330" s="5" t="s">
        <v>13</v>
      </c>
      <c r="H330" s="5">
        <v>28900</v>
      </c>
      <c r="I330" s="5">
        <v>4</v>
      </c>
      <c r="J330" s="9">
        <v>115600</v>
      </c>
    </row>
    <row r="331" spans="1:10" x14ac:dyDescent="0.3">
      <c r="A331" s="3" t="s">
        <v>396</v>
      </c>
      <c r="B331" s="4">
        <v>43204</v>
      </c>
      <c r="C331" s="5">
        <v>7</v>
      </c>
      <c r="D331" s="5" t="s">
        <v>25</v>
      </c>
      <c r="E331" s="5" t="s">
        <v>44</v>
      </c>
      <c r="F331" s="5" t="s">
        <v>15</v>
      </c>
      <c r="G331" s="5" t="s">
        <v>10</v>
      </c>
      <c r="H331" s="5">
        <v>39900</v>
      </c>
      <c r="I331" s="5">
        <v>8</v>
      </c>
      <c r="J331" s="9">
        <v>319200</v>
      </c>
    </row>
    <row r="332" spans="1:10" x14ac:dyDescent="0.3">
      <c r="A332" s="3" t="s">
        <v>397</v>
      </c>
      <c r="B332" s="4">
        <v>43204</v>
      </c>
      <c r="C332" s="5">
        <v>10</v>
      </c>
      <c r="D332" s="5" t="s">
        <v>28</v>
      </c>
      <c r="E332" s="5" t="s">
        <v>44</v>
      </c>
      <c r="F332" s="5" t="s">
        <v>15</v>
      </c>
      <c r="G332" s="5" t="s">
        <v>10</v>
      </c>
      <c r="H332" s="5">
        <v>39900</v>
      </c>
      <c r="I332" s="5">
        <v>9</v>
      </c>
      <c r="J332" s="9">
        <v>359100</v>
      </c>
    </row>
    <row r="333" spans="1:10" x14ac:dyDescent="0.3">
      <c r="A333" s="3" t="s">
        <v>398</v>
      </c>
      <c r="B333" s="4">
        <v>43204</v>
      </c>
      <c r="C333" s="5">
        <v>6</v>
      </c>
      <c r="D333" s="5" t="s">
        <v>24</v>
      </c>
      <c r="E333" s="5" t="s">
        <v>44</v>
      </c>
      <c r="F333" s="5" t="s">
        <v>15</v>
      </c>
      <c r="G333" s="5" t="s">
        <v>11</v>
      </c>
      <c r="H333" s="5">
        <v>19900</v>
      </c>
      <c r="I333" s="5">
        <v>8</v>
      </c>
      <c r="J333" s="9">
        <v>159200</v>
      </c>
    </row>
    <row r="334" spans="1:10" x14ac:dyDescent="0.3">
      <c r="A334" s="3" t="s">
        <v>399</v>
      </c>
      <c r="B334" s="4">
        <v>43204</v>
      </c>
      <c r="C334" s="5">
        <v>18</v>
      </c>
      <c r="D334" s="5" t="s">
        <v>36</v>
      </c>
      <c r="E334" s="5" t="s">
        <v>42</v>
      </c>
      <c r="F334" s="5" t="s">
        <v>17</v>
      </c>
      <c r="G334" s="5" t="s">
        <v>10</v>
      </c>
      <c r="H334" s="5">
        <v>39900</v>
      </c>
      <c r="I334" s="5">
        <v>4</v>
      </c>
      <c r="J334" s="9">
        <v>159600</v>
      </c>
    </row>
    <row r="335" spans="1:10" x14ac:dyDescent="0.3">
      <c r="A335" s="3" t="s">
        <v>400</v>
      </c>
      <c r="B335" s="4">
        <v>43205</v>
      </c>
      <c r="C335" s="5">
        <v>4</v>
      </c>
      <c r="D335" s="5" t="s">
        <v>22</v>
      </c>
      <c r="E335" s="5" t="s">
        <v>46</v>
      </c>
      <c r="F335" s="5" t="s">
        <v>18</v>
      </c>
      <c r="G335" s="5" t="s">
        <v>13</v>
      </c>
      <c r="H335" s="5">
        <v>28900</v>
      </c>
      <c r="I335" s="5">
        <v>6</v>
      </c>
      <c r="J335" s="9">
        <v>173400</v>
      </c>
    </row>
    <row r="336" spans="1:10" x14ac:dyDescent="0.3">
      <c r="A336" s="3" t="s">
        <v>401</v>
      </c>
      <c r="B336" s="4">
        <v>43205</v>
      </c>
      <c r="C336" s="5">
        <v>2</v>
      </c>
      <c r="D336" s="5" t="s">
        <v>20</v>
      </c>
      <c r="E336" s="5" t="s">
        <v>46</v>
      </c>
      <c r="F336" s="5" t="s">
        <v>18</v>
      </c>
      <c r="G336" s="5" t="s">
        <v>12</v>
      </c>
      <c r="H336" s="5">
        <v>6900</v>
      </c>
      <c r="I336" s="5">
        <v>9</v>
      </c>
      <c r="J336" s="9">
        <v>62100</v>
      </c>
    </row>
    <row r="337" spans="1:10" x14ac:dyDescent="0.3">
      <c r="A337" s="3" t="s">
        <v>402</v>
      </c>
      <c r="B337" s="4">
        <v>43206</v>
      </c>
      <c r="C337" s="5">
        <v>4</v>
      </c>
      <c r="D337" s="5" t="s">
        <v>22</v>
      </c>
      <c r="E337" s="5" t="s">
        <v>40</v>
      </c>
      <c r="F337" s="5" t="s">
        <v>18</v>
      </c>
      <c r="G337" s="5" t="s">
        <v>14</v>
      </c>
      <c r="H337" s="5">
        <v>15900</v>
      </c>
      <c r="I337" s="5">
        <v>9</v>
      </c>
      <c r="J337" s="9">
        <v>143100</v>
      </c>
    </row>
    <row r="338" spans="1:10" x14ac:dyDescent="0.3">
      <c r="A338" s="3" t="s">
        <v>403</v>
      </c>
      <c r="B338" s="4">
        <v>43207</v>
      </c>
      <c r="C338" s="5">
        <v>11</v>
      </c>
      <c r="D338" s="5" t="s">
        <v>29</v>
      </c>
      <c r="E338" s="5" t="s">
        <v>45</v>
      </c>
      <c r="F338" s="5" t="s">
        <v>16</v>
      </c>
      <c r="G338" s="5" t="s">
        <v>12</v>
      </c>
      <c r="H338" s="5">
        <v>6900</v>
      </c>
      <c r="I338" s="5">
        <v>8</v>
      </c>
      <c r="J338" s="9">
        <v>55200</v>
      </c>
    </row>
    <row r="339" spans="1:10" x14ac:dyDescent="0.3">
      <c r="A339" s="3" t="s">
        <v>404</v>
      </c>
      <c r="B339" s="4">
        <v>43207</v>
      </c>
      <c r="C339" s="5">
        <v>13</v>
      </c>
      <c r="D339" s="5" t="s">
        <v>31</v>
      </c>
      <c r="E339" s="5" t="s">
        <v>39</v>
      </c>
      <c r="F339" s="5" t="s">
        <v>16</v>
      </c>
      <c r="G339" s="5" t="s">
        <v>10</v>
      </c>
      <c r="H339" s="5">
        <v>39900</v>
      </c>
      <c r="I339" s="5">
        <v>8</v>
      </c>
      <c r="J339" s="9">
        <v>319200</v>
      </c>
    </row>
    <row r="340" spans="1:10" x14ac:dyDescent="0.3">
      <c r="A340" s="3" t="s">
        <v>405</v>
      </c>
      <c r="B340" s="4">
        <v>43208</v>
      </c>
      <c r="C340" s="5">
        <v>8</v>
      </c>
      <c r="D340" s="5" t="s">
        <v>26</v>
      </c>
      <c r="E340" s="5" t="s">
        <v>41</v>
      </c>
      <c r="F340" s="5" t="s">
        <v>15</v>
      </c>
      <c r="G340" s="5" t="s">
        <v>12</v>
      </c>
      <c r="H340" s="5">
        <v>6900</v>
      </c>
      <c r="I340" s="5">
        <v>6</v>
      </c>
      <c r="J340" s="9">
        <v>41400</v>
      </c>
    </row>
    <row r="341" spans="1:10" x14ac:dyDescent="0.3">
      <c r="A341" s="3" t="s">
        <v>406</v>
      </c>
      <c r="B341" s="4">
        <v>43209</v>
      </c>
      <c r="C341" s="5">
        <v>8</v>
      </c>
      <c r="D341" s="5" t="s">
        <v>26</v>
      </c>
      <c r="E341" s="5" t="s">
        <v>44</v>
      </c>
      <c r="F341" s="5" t="s">
        <v>15</v>
      </c>
      <c r="G341" s="5" t="s">
        <v>14</v>
      </c>
      <c r="H341" s="5">
        <v>15900</v>
      </c>
      <c r="I341" s="5">
        <v>6</v>
      </c>
      <c r="J341" s="9">
        <v>95400</v>
      </c>
    </row>
    <row r="342" spans="1:10" x14ac:dyDescent="0.3">
      <c r="A342" s="3" t="s">
        <v>407</v>
      </c>
      <c r="B342" s="4">
        <v>43209</v>
      </c>
      <c r="C342" s="5">
        <v>1</v>
      </c>
      <c r="D342" s="5" t="s">
        <v>19</v>
      </c>
      <c r="E342" s="5" t="s">
        <v>40</v>
      </c>
      <c r="F342" s="5" t="s">
        <v>18</v>
      </c>
      <c r="G342" s="5" t="s">
        <v>13</v>
      </c>
      <c r="H342" s="5">
        <v>28900</v>
      </c>
      <c r="I342" s="5">
        <v>3</v>
      </c>
      <c r="J342" s="9">
        <v>86700</v>
      </c>
    </row>
    <row r="343" spans="1:10" x14ac:dyDescent="0.3">
      <c r="A343" s="3" t="s">
        <v>408</v>
      </c>
      <c r="B343" s="4">
        <v>43209</v>
      </c>
      <c r="C343" s="5">
        <v>19</v>
      </c>
      <c r="D343" s="5" t="s">
        <v>37</v>
      </c>
      <c r="E343" s="5" t="s">
        <v>43</v>
      </c>
      <c r="F343" s="5" t="s">
        <v>17</v>
      </c>
      <c r="G343" s="5" t="s">
        <v>12</v>
      </c>
      <c r="H343" s="5">
        <v>6900</v>
      </c>
      <c r="I343" s="5">
        <v>1</v>
      </c>
      <c r="J343" s="9">
        <v>6900</v>
      </c>
    </row>
    <row r="344" spans="1:10" x14ac:dyDescent="0.3">
      <c r="A344" s="3" t="s">
        <v>409</v>
      </c>
      <c r="B344" s="4">
        <v>43209</v>
      </c>
      <c r="C344" s="5">
        <v>5</v>
      </c>
      <c r="D344" s="5" t="s">
        <v>23</v>
      </c>
      <c r="E344" s="5" t="s">
        <v>40</v>
      </c>
      <c r="F344" s="5" t="s">
        <v>18</v>
      </c>
      <c r="G344" s="5" t="s">
        <v>14</v>
      </c>
      <c r="H344" s="5">
        <v>15900</v>
      </c>
      <c r="I344" s="5">
        <v>0</v>
      </c>
      <c r="J344" s="9">
        <v>0</v>
      </c>
    </row>
    <row r="345" spans="1:10" x14ac:dyDescent="0.3">
      <c r="A345" s="3" t="s">
        <v>410</v>
      </c>
      <c r="B345" s="4">
        <v>43209</v>
      </c>
      <c r="C345" s="5">
        <v>9</v>
      </c>
      <c r="D345" s="5" t="s">
        <v>27</v>
      </c>
      <c r="E345" s="5" t="s">
        <v>41</v>
      </c>
      <c r="F345" s="5" t="s">
        <v>15</v>
      </c>
      <c r="G345" s="5" t="s">
        <v>11</v>
      </c>
      <c r="H345" s="5">
        <v>19900</v>
      </c>
      <c r="I345" s="5">
        <v>6</v>
      </c>
      <c r="J345" s="9">
        <v>119400</v>
      </c>
    </row>
    <row r="346" spans="1:10" x14ac:dyDescent="0.3">
      <c r="A346" s="3" t="s">
        <v>411</v>
      </c>
      <c r="B346" s="4">
        <v>43209</v>
      </c>
      <c r="C346" s="5">
        <v>13</v>
      </c>
      <c r="D346" s="5" t="s">
        <v>31</v>
      </c>
      <c r="E346" s="5" t="s">
        <v>39</v>
      </c>
      <c r="F346" s="5" t="s">
        <v>16</v>
      </c>
      <c r="G346" s="5" t="s">
        <v>11</v>
      </c>
      <c r="H346" s="5">
        <v>19900</v>
      </c>
      <c r="I346" s="5">
        <v>2</v>
      </c>
      <c r="J346" s="9">
        <v>39800</v>
      </c>
    </row>
    <row r="347" spans="1:10" x14ac:dyDescent="0.3">
      <c r="A347" s="3" t="s">
        <v>412</v>
      </c>
      <c r="B347" s="4">
        <v>43209</v>
      </c>
      <c r="C347" s="5">
        <v>17</v>
      </c>
      <c r="D347" s="5" t="s">
        <v>35</v>
      </c>
      <c r="E347" s="5" t="s">
        <v>42</v>
      </c>
      <c r="F347" s="5" t="s">
        <v>17</v>
      </c>
      <c r="G347" s="5" t="s">
        <v>12</v>
      </c>
      <c r="H347" s="5">
        <v>6900</v>
      </c>
      <c r="I347" s="5">
        <v>2</v>
      </c>
      <c r="J347" s="9">
        <v>13800</v>
      </c>
    </row>
    <row r="348" spans="1:10" x14ac:dyDescent="0.3">
      <c r="A348" s="3" t="s">
        <v>413</v>
      </c>
      <c r="B348" s="4">
        <v>43209</v>
      </c>
      <c r="C348" s="5">
        <v>18</v>
      </c>
      <c r="D348" s="5" t="s">
        <v>36</v>
      </c>
      <c r="E348" s="5" t="s">
        <v>42</v>
      </c>
      <c r="F348" s="5" t="s">
        <v>17</v>
      </c>
      <c r="G348" s="5" t="s">
        <v>11</v>
      </c>
      <c r="H348" s="5">
        <v>19900</v>
      </c>
      <c r="I348" s="5">
        <v>0</v>
      </c>
      <c r="J348" s="9">
        <v>0</v>
      </c>
    </row>
    <row r="349" spans="1:10" x14ac:dyDescent="0.3">
      <c r="A349" s="3" t="s">
        <v>414</v>
      </c>
      <c r="B349" s="4">
        <v>43209</v>
      </c>
      <c r="C349" s="5">
        <v>19</v>
      </c>
      <c r="D349" s="5" t="s">
        <v>37</v>
      </c>
      <c r="E349" s="5" t="s">
        <v>42</v>
      </c>
      <c r="F349" s="5" t="s">
        <v>17</v>
      </c>
      <c r="G349" s="5" t="s">
        <v>13</v>
      </c>
      <c r="H349" s="5">
        <v>28900</v>
      </c>
      <c r="I349" s="5">
        <v>1</v>
      </c>
      <c r="J349" s="9">
        <v>28900</v>
      </c>
    </row>
    <row r="350" spans="1:10" x14ac:dyDescent="0.3">
      <c r="A350" s="3" t="s">
        <v>415</v>
      </c>
      <c r="B350" s="4">
        <v>43209</v>
      </c>
      <c r="C350" s="5">
        <v>13</v>
      </c>
      <c r="D350" s="5" t="s">
        <v>31</v>
      </c>
      <c r="E350" s="5" t="s">
        <v>45</v>
      </c>
      <c r="F350" s="5" t="s">
        <v>16</v>
      </c>
      <c r="G350" s="5" t="s">
        <v>14</v>
      </c>
      <c r="H350" s="5">
        <v>15900</v>
      </c>
      <c r="I350" s="5">
        <v>5</v>
      </c>
      <c r="J350" s="9">
        <v>79500</v>
      </c>
    </row>
    <row r="351" spans="1:10" x14ac:dyDescent="0.3">
      <c r="A351" s="3" t="s">
        <v>416</v>
      </c>
      <c r="B351" s="4">
        <v>43209</v>
      </c>
      <c r="C351" s="5">
        <v>3</v>
      </c>
      <c r="D351" s="5" t="s">
        <v>21</v>
      </c>
      <c r="E351" s="5" t="s">
        <v>40</v>
      </c>
      <c r="F351" s="5" t="s">
        <v>18</v>
      </c>
      <c r="G351" s="5" t="s">
        <v>10</v>
      </c>
      <c r="H351" s="5">
        <v>39900</v>
      </c>
      <c r="I351" s="5">
        <v>1</v>
      </c>
      <c r="J351" s="9">
        <v>39900</v>
      </c>
    </row>
    <row r="352" spans="1:10" x14ac:dyDescent="0.3">
      <c r="A352" s="3" t="s">
        <v>417</v>
      </c>
      <c r="B352" s="4">
        <v>43209</v>
      </c>
      <c r="C352" s="5">
        <v>4</v>
      </c>
      <c r="D352" s="5" t="s">
        <v>22</v>
      </c>
      <c r="E352" s="5" t="s">
        <v>46</v>
      </c>
      <c r="F352" s="5" t="s">
        <v>18</v>
      </c>
      <c r="G352" s="5" t="s">
        <v>12</v>
      </c>
      <c r="H352" s="5">
        <v>6900</v>
      </c>
      <c r="I352" s="5">
        <v>6</v>
      </c>
      <c r="J352" s="9">
        <v>41400</v>
      </c>
    </row>
    <row r="353" spans="1:10" x14ac:dyDescent="0.3">
      <c r="A353" s="3" t="s">
        <v>418</v>
      </c>
      <c r="B353" s="4">
        <v>43209</v>
      </c>
      <c r="C353" s="5">
        <v>10</v>
      </c>
      <c r="D353" s="5" t="s">
        <v>28</v>
      </c>
      <c r="E353" s="5" t="s">
        <v>44</v>
      </c>
      <c r="F353" s="5" t="s">
        <v>15</v>
      </c>
      <c r="G353" s="5" t="s">
        <v>14</v>
      </c>
      <c r="H353" s="5">
        <v>15900</v>
      </c>
      <c r="I353" s="5">
        <v>9</v>
      </c>
      <c r="J353" s="9">
        <v>143100</v>
      </c>
    </row>
    <row r="354" spans="1:10" x14ac:dyDescent="0.3">
      <c r="A354" s="3" t="s">
        <v>419</v>
      </c>
      <c r="B354" s="4">
        <v>43210</v>
      </c>
      <c r="C354" s="5">
        <v>4</v>
      </c>
      <c r="D354" s="5" t="s">
        <v>22</v>
      </c>
      <c r="E354" s="5" t="s">
        <v>40</v>
      </c>
      <c r="F354" s="5" t="s">
        <v>18</v>
      </c>
      <c r="G354" s="5" t="s">
        <v>10</v>
      </c>
      <c r="H354" s="5">
        <v>39900</v>
      </c>
      <c r="I354" s="5">
        <v>1</v>
      </c>
      <c r="J354" s="9">
        <v>39900</v>
      </c>
    </row>
    <row r="355" spans="1:10" x14ac:dyDescent="0.3">
      <c r="A355" s="3" t="s">
        <v>420</v>
      </c>
      <c r="B355" s="4">
        <v>43210</v>
      </c>
      <c r="C355" s="5">
        <v>5</v>
      </c>
      <c r="D355" s="5" t="s">
        <v>23</v>
      </c>
      <c r="E355" s="5" t="s">
        <v>40</v>
      </c>
      <c r="F355" s="5" t="s">
        <v>18</v>
      </c>
      <c r="G355" s="5" t="s">
        <v>12</v>
      </c>
      <c r="H355" s="5">
        <v>6900</v>
      </c>
      <c r="I355" s="5">
        <v>1</v>
      </c>
      <c r="J355" s="9">
        <v>6900</v>
      </c>
    </row>
    <row r="356" spans="1:10" x14ac:dyDescent="0.3">
      <c r="A356" s="3" t="s">
        <v>421</v>
      </c>
      <c r="B356" s="4">
        <v>43210</v>
      </c>
      <c r="C356" s="5">
        <v>17</v>
      </c>
      <c r="D356" s="5" t="s">
        <v>35</v>
      </c>
      <c r="E356" s="5" t="s">
        <v>42</v>
      </c>
      <c r="F356" s="5" t="s">
        <v>17</v>
      </c>
      <c r="G356" s="5" t="s">
        <v>10</v>
      </c>
      <c r="H356" s="5">
        <v>39900</v>
      </c>
      <c r="I356" s="5">
        <v>6</v>
      </c>
      <c r="J356" s="9">
        <v>239400</v>
      </c>
    </row>
    <row r="357" spans="1:10" x14ac:dyDescent="0.3">
      <c r="A357" s="3" t="s">
        <v>422</v>
      </c>
      <c r="B357" s="4">
        <v>43211</v>
      </c>
      <c r="C357" s="5">
        <v>18</v>
      </c>
      <c r="D357" s="5" t="s">
        <v>36</v>
      </c>
      <c r="E357" s="5" t="s">
        <v>43</v>
      </c>
      <c r="F357" s="5" t="s">
        <v>17</v>
      </c>
      <c r="G357" s="5" t="s">
        <v>11</v>
      </c>
      <c r="H357" s="5">
        <v>19900</v>
      </c>
      <c r="I357" s="5">
        <v>8</v>
      </c>
      <c r="J357" s="9">
        <v>159200</v>
      </c>
    </row>
    <row r="358" spans="1:10" x14ac:dyDescent="0.3">
      <c r="A358" s="3" t="s">
        <v>423</v>
      </c>
      <c r="B358" s="4">
        <v>43211</v>
      </c>
      <c r="C358" s="5">
        <v>3</v>
      </c>
      <c r="D358" s="5" t="s">
        <v>21</v>
      </c>
      <c r="E358" s="5" t="s">
        <v>46</v>
      </c>
      <c r="F358" s="5" t="s">
        <v>18</v>
      </c>
      <c r="G358" s="5" t="s">
        <v>10</v>
      </c>
      <c r="H358" s="5">
        <v>39900</v>
      </c>
      <c r="I358" s="5">
        <v>2</v>
      </c>
      <c r="J358" s="9">
        <v>79800</v>
      </c>
    </row>
    <row r="359" spans="1:10" x14ac:dyDescent="0.3">
      <c r="A359" s="3" t="s">
        <v>424</v>
      </c>
      <c r="B359" s="4">
        <v>43212</v>
      </c>
      <c r="C359" s="5">
        <v>2</v>
      </c>
      <c r="D359" s="5" t="s">
        <v>20</v>
      </c>
      <c r="E359" s="5" t="s">
        <v>40</v>
      </c>
      <c r="F359" s="5" t="s">
        <v>18</v>
      </c>
      <c r="G359" s="5" t="s">
        <v>12</v>
      </c>
      <c r="H359" s="5">
        <v>6900</v>
      </c>
      <c r="I359" s="5">
        <v>2</v>
      </c>
      <c r="J359" s="9">
        <v>13800</v>
      </c>
    </row>
    <row r="360" spans="1:10" x14ac:dyDescent="0.3">
      <c r="A360" s="3" t="s">
        <v>425</v>
      </c>
      <c r="B360" s="4">
        <v>43212</v>
      </c>
      <c r="C360" s="5">
        <v>1</v>
      </c>
      <c r="D360" s="5" t="s">
        <v>19</v>
      </c>
      <c r="E360" s="5" t="s">
        <v>46</v>
      </c>
      <c r="F360" s="5" t="s">
        <v>18</v>
      </c>
      <c r="G360" s="5" t="s">
        <v>10</v>
      </c>
      <c r="H360" s="5">
        <v>39900</v>
      </c>
      <c r="I360" s="5">
        <v>5</v>
      </c>
      <c r="J360" s="9">
        <v>199500</v>
      </c>
    </row>
    <row r="361" spans="1:10" x14ac:dyDescent="0.3">
      <c r="A361" s="3" t="s">
        <v>426</v>
      </c>
      <c r="B361" s="4">
        <v>43212</v>
      </c>
      <c r="C361" s="5">
        <v>19</v>
      </c>
      <c r="D361" s="5" t="s">
        <v>37</v>
      </c>
      <c r="E361" s="5" t="s">
        <v>42</v>
      </c>
      <c r="F361" s="5" t="s">
        <v>17</v>
      </c>
      <c r="G361" s="5" t="s">
        <v>11</v>
      </c>
      <c r="H361" s="5">
        <v>19900</v>
      </c>
      <c r="I361" s="5">
        <v>9</v>
      </c>
      <c r="J361" s="9">
        <v>179100</v>
      </c>
    </row>
    <row r="362" spans="1:10" x14ac:dyDescent="0.3">
      <c r="A362" s="3" t="s">
        <v>427</v>
      </c>
      <c r="B362" s="4">
        <v>43212</v>
      </c>
      <c r="C362" s="5">
        <v>10</v>
      </c>
      <c r="D362" s="5" t="s">
        <v>28</v>
      </c>
      <c r="E362" s="5" t="s">
        <v>41</v>
      </c>
      <c r="F362" s="5" t="s">
        <v>15</v>
      </c>
      <c r="G362" s="5" t="s">
        <v>12</v>
      </c>
      <c r="H362" s="5">
        <v>6900</v>
      </c>
      <c r="I362" s="5">
        <v>7</v>
      </c>
      <c r="J362" s="9">
        <v>48300</v>
      </c>
    </row>
    <row r="363" spans="1:10" x14ac:dyDescent="0.3">
      <c r="A363" s="3" t="s">
        <v>428</v>
      </c>
      <c r="B363" s="4">
        <v>43212</v>
      </c>
      <c r="C363" s="5">
        <v>5</v>
      </c>
      <c r="D363" s="5" t="s">
        <v>23</v>
      </c>
      <c r="E363" s="5" t="s">
        <v>40</v>
      </c>
      <c r="F363" s="5" t="s">
        <v>18</v>
      </c>
      <c r="G363" s="5" t="s">
        <v>10</v>
      </c>
      <c r="H363" s="5">
        <v>39900</v>
      </c>
      <c r="I363" s="5">
        <v>2</v>
      </c>
      <c r="J363" s="9">
        <v>79800</v>
      </c>
    </row>
    <row r="364" spans="1:10" x14ac:dyDescent="0.3">
      <c r="A364" s="3" t="s">
        <v>429</v>
      </c>
      <c r="B364" s="4">
        <v>43212</v>
      </c>
      <c r="C364" s="5">
        <v>5</v>
      </c>
      <c r="D364" s="5" t="s">
        <v>23</v>
      </c>
      <c r="E364" s="5" t="s">
        <v>46</v>
      </c>
      <c r="F364" s="5" t="s">
        <v>18</v>
      </c>
      <c r="G364" s="5" t="s">
        <v>14</v>
      </c>
      <c r="H364" s="5">
        <v>15900</v>
      </c>
      <c r="I364" s="5">
        <v>5</v>
      </c>
      <c r="J364" s="9">
        <v>79500</v>
      </c>
    </row>
    <row r="365" spans="1:10" x14ac:dyDescent="0.3">
      <c r="A365" s="3" t="s">
        <v>430</v>
      </c>
      <c r="B365" s="4">
        <v>43212</v>
      </c>
      <c r="C365" s="5">
        <v>16</v>
      </c>
      <c r="D365" s="5" t="s">
        <v>34</v>
      </c>
      <c r="E365" s="5" t="s">
        <v>43</v>
      </c>
      <c r="F365" s="5" t="s">
        <v>17</v>
      </c>
      <c r="G365" s="5" t="s">
        <v>14</v>
      </c>
      <c r="H365" s="5">
        <v>15900</v>
      </c>
      <c r="I365" s="5">
        <v>9</v>
      </c>
      <c r="J365" s="9">
        <v>143100</v>
      </c>
    </row>
    <row r="366" spans="1:10" x14ac:dyDescent="0.3">
      <c r="A366" s="3" t="s">
        <v>431</v>
      </c>
      <c r="B366" s="4">
        <v>43213</v>
      </c>
      <c r="C366" s="5">
        <v>7</v>
      </c>
      <c r="D366" s="5" t="s">
        <v>25</v>
      </c>
      <c r="E366" s="5" t="s">
        <v>41</v>
      </c>
      <c r="F366" s="5" t="s">
        <v>15</v>
      </c>
      <c r="G366" s="5" t="s">
        <v>13</v>
      </c>
      <c r="H366" s="5">
        <v>28900</v>
      </c>
      <c r="I366" s="5">
        <v>9</v>
      </c>
      <c r="J366" s="9">
        <v>260100</v>
      </c>
    </row>
    <row r="367" spans="1:10" x14ac:dyDescent="0.3">
      <c r="A367" s="3" t="s">
        <v>432</v>
      </c>
      <c r="B367" s="4">
        <v>43213</v>
      </c>
      <c r="C367" s="5">
        <v>7</v>
      </c>
      <c r="D367" s="5" t="s">
        <v>25</v>
      </c>
      <c r="E367" s="5" t="s">
        <v>44</v>
      </c>
      <c r="F367" s="5" t="s">
        <v>15</v>
      </c>
      <c r="G367" s="5" t="s">
        <v>12</v>
      </c>
      <c r="H367" s="5">
        <v>6900</v>
      </c>
      <c r="I367" s="5">
        <v>0</v>
      </c>
      <c r="J367" s="9">
        <v>0</v>
      </c>
    </row>
    <row r="368" spans="1:10" x14ac:dyDescent="0.3">
      <c r="A368" s="3" t="s">
        <v>433</v>
      </c>
      <c r="B368" s="4">
        <v>43214</v>
      </c>
      <c r="C368" s="5">
        <v>7</v>
      </c>
      <c r="D368" s="5" t="s">
        <v>25</v>
      </c>
      <c r="E368" s="5" t="s">
        <v>41</v>
      </c>
      <c r="F368" s="5" t="s">
        <v>15</v>
      </c>
      <c r="G368" s="5" t="s">
        <v>13</v>
      </c>
      <c r="H368" s="5">
        <v>28900</v>
      </c>
      <c r="I368" s="5">
        <v>2</v>
      </c>
      <c r="J368" s="9">
        <v>57800</v>
      </c>
    </row>
    <row r="369" spans="1:10" x14ac:dyDescent="0.3">
      <c r="A369" s="3" t="s">
        <v>434</v>
      </c>
      <c r="B369" s="4">
        <v>43214</v>
      </c>
      <c r="C369" s="5">
        <v>8</v>
      </c>
      <c r="D369" s="5" t="s">
        <v>26</v>
      </c>
      <c r="E369" s="5" t="s">
        <v>41</v>
      </c>
      <c r="F369" s="5" t="s">
        <v>15</v>
      </c>
      <c r="G369" s="5" t="s">
        <v>13</v>
      </c>
      <c r="H369" s="5">
        <v>28900</v>
      </c>
      <c r="I369" s="5">
        <v>6</v>
      </c>
      <c r="J369" s="9">
        <v>173400</v>
      </c>
    </row>
    <row r="370" spans="1:10" x14ac:dyDescent="0.3">
      <c r="A370" s="3" t="s">
        <v>435</v>
      </c>
      <c r="B370" s="4">
        <v>43214</v>
      </c>
      <c r="C370" s="5">
        <v>6</v>
      </c>
      <c r="D370" s="5" t="s">
        <v>24</v>
      </c>
      <c r="E370" s="5" t="s">
        <v>44</v>
      </c>
      <c r="F370" s="5" t="s">
        <v>15</v>
      </c>
      <c r="G370" s="5" t="s">
        <v>14</v>
      </c>
      <c r="H370" s="5">
        <v>15900</v>
      </c>
      <c r="I370" s="5">
        <v>7</v>
      </c>
      <c r="J370" s="9">
        <v>111300</v>
      </c>
    </row>
    <row r="371" spans="1:10" x14ac:dyDescent="0.3">
      <c r="A371" s="3" t="s">
        <v>436</v>
      </c>
      <c r="B371" s="4">
        <v>43214</v>
      </c>
      <c r="C371" s="5">
        <v>15</v>
      </c>
      <c r="D371" s="5" t="s">
        <v>33</v>
      </c>
      <c r="E371" s="5" t="s">
        <v>45</v>
      </c>
      <c r="F371" s="5" t="s">
        <v>16</v>
      </c>
      <c r="G371" s="5" t="s">
        <v>11</v>
      </c>
      <c r="H371" s="5">
        <v>19900</v>
      </c>
      <c r="I371" s="5">
        <v>4</v>
      </c>
      <c r="J371" s="9">
        <v>79600</v>
      </c>
    </row>
    <row r="372" spans="1:10" x14ac:dyDescent="0.3">
      <c r="A372" s="3" t="s">
        <v>437</v>
      </c>
      <c r="B372" s="4">
        <v>43214</v>
      </c>
      <c r="C372" s="5">
        <v>18</v>
      </c>
      <c r="D372" s="5" t="s">
        <v>36</v>
      </c>
      <c r="E372" s="5" t="s">
        <v>43</v>
      </c>
      <c r="F372" s="5" t="s">
        <v>17</v>
      </c>
      <c r="G372" s="5" t="s">
        <v>14</v>
      </c>
      <c r="H372" s="5">
        <v>15900</v>
      </c>
      <c r="I372" s="5">
        <v>8</v>
      </c>
      <c r="J372" s="9">
        <v>127200</v>
      </c>
    </row>
    <row r="373" spans="1:10" x14ac:dyDescent="0.3">
      <c r="A373" s="3" t="s">
        <v>438</v>
      </c>
      <c r="B373" s="4">
        <v>43214</v>
      </c>
      <c r="C373" s="5">
        <v>7</v>
      </c>
      <c r="D373" s="5" t="s">
        <v>25</v>
      </c>
      <c r="E373" s="5" t="s">
        <v>41</v>
      </c>
      <c r="F373" s="5" t="s">
        <v>15</v>
      </c>
      <c r="G373" s="5" t="s">
        <v>13</v>
      </c>
      <c r="H373" s="5">
        <v>28900</v>
      </c>
      <c r="I373" s="5">
        <v>8</v>
      </c>
      <c r="J373" s="9">
        <v>231200</v>
      </c>
    </row>
    <row r="374" spans="1:10" x14ac:dyDescent="0.3">
      <c r="A374" s="3" t="s">
        <v>439</v>
      </c>
      <c r="B374" s="4">
        <v>43214</v>
      </c>
      <c r="C374" s="5">
        <v>15</v>
      </c>
      <c r="D374" s="5" t="s">
        <v>33</v>
      </c>
      <c r="E374" s="5" t="s">
        <v>39</v>
      </c>
      <c r="F374" s="5" t="s">
        <v>16</v>
      </c>
      <c r="G374" s="5" t="s">
        <v>11</v>
      </c>
      <c r="H374" s="5">
        <v>19900</v>
      </c>
      <c r="I374" s="5">
        <v>6</v>
      </c>
      <c r="J374" s="9">
        <v>119400</v>
      </c>
    </row>
    <row r="375" spans="1:10" x14ac:dyDescent="0.3">
      <c r="A375" s="3" t="s">
        <v>440</v>
      </c>
      <c r="B375" s="4">
        <v>43215</v>
      </c>
      <c r="C375" s="5">
        <v>5</v>
      </c>
      <c r="D375" s="5" t="s">
        <v>23</v>
      </c>
      <c r="E375" s="5" t="s">
        <v>40</v>
      </c>
      <c r="F375" s="5" t="s">
        <v>18</v>
      </c>
      <c r="G375" s="5" t="s">
        <v>10</v>
      </c>
      <c r="H375" s="5">
        <v>39900</v>
      </c>
      <c r="I375" s="5">
        <v>3</v>
      </c>
      <c r="J375" s="9">
        <v>119700</v>
      </c>
    </row>
    <row r="376" spans="1:10" x14ac:dyDescent="0.3">
      <c r="A376" s="3" t="s">
        <v>441</v>
      </c>
      <c r="B376" s="4">
        <v>43215</v>
      </c>
      <c r="C376" s="5">
        <v>15</v>
      </c>
      <c r="D376" s="5" t="s">
        <v>33</v>
      </c>
      <c r="E376" s="5" t="s">
        <v>45</v>
      </c>
      <c r="F376" s="5" t="s">
        <v>16</v>
      </c>
      <c r="G376" s="5" t="s">
        <v>14</v>
      </c>
      <c r="H376" s="5">
        <v>15900</v>
      </c>
      <c r="I376" s="5">
        <v>4</v>
      </c>
      <c r="J376" s="9">
        <v>63600</v>
      </c>
    </row>
    <row r="377" spans="1:10" x14ac:dyDescent="0.3">
      <c r="A377" s="3" t="s">
        <v>442</v>
      </c>
      <c r="B377" s="4">
        <v>43215</v>
      </c>
      <c r="C377" s="5">
        <v>16</v>
      </c>
      <c r="D377" s="5" t="s">
        <v>34</v>
      </c>
      <c r="E377" s="5" t="s">
        <v>43</v>
      </c>
      <c r="F377" s="5" t="s">
        <v>17</v>
      </c>
      <c r="G377" s="5" t="s">
        <v>12</v>
      </c>
      <c r="H377" s="5">
        <v>6900</v>
      </c>
      <c r="I377" s="5">
        <v>3</v>
      </c>
      <c r="J377" s="9">
        <v>20700</v>
      </c>
    </row>
    <row r="378" spans="1:10" x14ac:dyDescent="0.3">
      <c r="A378" s="3" t="s">
        <v>443</v>
      </c>
      <c r="B378" s="4">
        <v>43215</v>
      </c>
      <c r="C378" s="5">
        <v>12</v>
      </c>
      <c r="D378" s="5" t="s">
        <v>30</v>
      </c>
      <c r="E378" s="5" t="s">
        <v>45</v>
      </c>
      <c r="F378" s="5" t="s">
        <v>16</v>
      </c>
      <c r="G378" s="5" t="s">
        <v>11</v>
      </c>
      <c r="H378" s="5">
        <v>19900</v>
      </c>
      <c r="I378" s="5">
        <v>6</v>
      </c>
      <c r="J378" s="9">
        <v>119400</v>
      </c>
    </row>
    <row r="379" spans="1:10" x14ac:dyDescent="0.3">
      <c r="A379" s="3" t="s">
        <v>444</v>
      </c>
      <c r="B379" s="4">
        <v>43215</v>
      </c>
      <c r="C379" s="5">
        <v>11</v>
      </c>
      <c r="D379" s="5" t="s">
        <v>29</v>
      </c>
      <c r="E379" s="5" t="s">
        <v>39</v>
      </c>
      <c r="F379" s="5" t="s">
        <v>16</v>
      </c>
      <c r="G379" s="5" t="s">
        <v>10</v>
      </c>
      <c r="H379" s="5">
        <v>39900</v>
      </c>
      <c r="I379" s="5">
        <v>3</v>
      </c>
      <c r="J379" s="9">
        <v>119700</v>
      </c>
    </row>
    <row r="380" spans="1:10" x14ac:dyDescent="0.3">
      <c r="A380" s="3" t="s">
        <v>445</v>
      </c>
      <c r="B380" s="4">
        <v>43215</v>
      </c>
      <c r="C380" s="5">
        <v>15</v>
      </c>
      <c r="D380" s="5" t="s">
        <v>33</v>
      </c>
      <c r="E380" s="5" t="s">
        <v>39</v>
      </c>
      <c r="F380" s="5" t="s">
        <v>16</v>
      </c>
      <c r="G380" s="5" t="s">
        <v>14</v>
      </c>
      <c r="H380" s="5">
        <v>15900</v>
      </c>
      <c r="I380" s="5">
        <v>0</v>
      </c>
      <c r="J380" s="9">
        <v>0</v>
      </c>
    </row>
    <row r="381" spans="1:10" x14ac:dyDescent="0.3">
      <c r="A381" s="3" t="s">
        <v>446</v>
      </c>
      <c r="B381" s="4">
        <v>43216</v>
      </c>
      <c r="C381" s="5">
        <v>19</v>
      </c>
      <c r="D381" s="5" t="s">
        <v>37</v>
      </c>
      <c r="E381" s="5" t="s">
        <v>43</v>
      </c>
      <c r="F381" s="5" t="s">
        <v>17</v>
      </c>
      <c r="G381" s="5" t="s">
        <v>14</v>
      </c>
      <c r="H381" s="5">
        <v>15900</v>
      </c>
      <c r="I381" s="5">
        <v>5</v>
      </c>
      <c r="J381" s="9">
        <v>79500</v>
      </c>
    </row>
    <row r="382" spans="1:10" x14ac:dyDescent="0.3">
      <c r="A382" s="3" t="s">
        <v>447</v>
      </c>
      <c r="B382" s="4">
        <v>43217</v>
      </c>
      <c r="C382" s="5">
        <v>5</v>
      </c>
      <c r="D382" s="5" t="s">
        <v>23</v>
      </c>
      <c r="E382" s="5" t="s">
        <v>40</v>
      </c>
      <c r="F382" s="5" t="s">
        <v>18</v>
      </c>
      <c r="G382" s="5" t="s">
        <v>12</v>
      </c>
      <c r="H382" s="5">
        <v>6900</v>
      </c>
      <c r="I382" s="5">
        <v>5</v>
      </c>
      <c r="J382" s="9">
        <v>34500</v>
      </c>
    </row>
    <row r="383" spans="1:10" x14ac:dyDescent="0.3">
      <c r="A383" s="3" t="s">
        <v>448</v>
      </c>
      <c r="B383" s="4">
        <v>43218</v>
      </c>
      <c r="C383" s="5">
        <v>7</v>
      </c>
      <c r="D383" s="5" t="s">
        <v>25</v>
      </c>
      <c r="E383" s="5" t="s">
        <v>44</v>
      </c>
      <c r="F383" s="5" t="s">
        <v>15</v>
      </c>
      <c r="G383" s="5" t="s">
        <v>12</v>
      </c>
      <c r="H383" s="5">
        <v>6900</v>
      </c>
      <c r="I383" s="5">
        <v>8</v>
      </c>
      <c r="J383" s="9">
        <v>55200</v>
      </c>
    </row>
    <row r="384" spans="1:10" x14ac:dyDescent="0.3">
      <c r="A384" s="3" t="s">
        <v>449</v>
      </c>
      <c r="B384" s="4">
        <v>43218</v>
      </c>
      <c r="C384" s="5">
        <v>2</v>
      </c>
      <c r="D384" s="5" t="s">
        <v>20</v>
      </c>
      <c r="E384" s="5" t="s">
        <v>40</v>
      </c>
      <c r="F384" s="5" t="s">
        <v>18</v>
      </c>
      <c r="G384" s="5" t="s">
        <v>14</v>
      </c>
      <c r="H384" s="5">
        <v>15900</v>
      </c>
      <c r="I384" s="5">
        <v>7</v>
      </c>
      <c r="J384" s="9">
        <v>111300</v>
      </c>
    </row>
    <row r="385" spans="1:10" x14ac:dyDescent="0.3">
      <c r="A385" s="3" t="s">
        <v>450</v>
      </c>
      <c r="B385" s="4">
        <v>43218</v>
      </c>
      <c r="C385" s="5">
        <v>1</v>
      </c>
      <c r="D385" s="5" t="s">
        <v>19</v>
      </c>
      <c r="E385" s="5" t="s">
        <v>46</v>
      </c>
      <c r="F385" s="5" t="s">
        <v>18</v>
      </c>
      <c r="G385" s="5" t="s">
        <v>14</v>
      </c>
      <c r="H385" s="5">
        <v>15900</v>
      </c>
      <c r="I385" s="5">
        <v>5</v>
      </c>
      <c r="J385" s="9">
        <v>79500</v>
      </c>
    </row>
    <row r="386" spans="1:10" x14ac:dyDescent="0.3">
      <c r="A386" s="3" t="s">
        <v>451</v>
      </c>
      <c r="B386" s="4">
        <v>43218</v>
      </c>
      <c r="C386" s="5">
        <v>17</v>
      </c>
      <c r="D386" s="5" t="s">
        <v>35</v>
      </c>
      <c r="E386" s="5" t="s">
        <v>43</v>
      </c>
      <c r="F386" s="5" t="s">
        <v>17</v>
      </c>
      <c r="G386" s="5" t="s">
        <v>13</v>
      </c>
      <c r="H386" s="5">
        <v>28900</v>
      </c>
      <c r="I386" s="5">
        <v>3</v>
      </c>
      <c r="J386" s="9">
        <v>86700</v>
      </c>
    </row>
    <row r="387" spans="1:10" x14ac:dyDescent="0.3">
      <c r="A387" s="3" t="s">
        <v>452</v>
      </c>
      <c r="B387" s="4">
        <v>43218</v>
      </c>
      <c r="C387" s="5">
        <v>3</v>
      </c>
      <c r="D387" s="5" t="s">
        <v>21</v>
      </c>
      <c r="E387" s="5" t="s">
        <v>40</v>
      </c>
      <c r="F387" s="5" t="s">
        <v>18</v>
      </c>
      <c r="G387" s="5" t="s">
        <v>10</v>
      </c>
      <c r="H387" s="5">
        <v>39900</v>
      </c>
      <c r="I387" s="5">
        <v>2</v>
      </c>
      <c r="J387" s="9">
        <v>79800</v>
      </c>
    </row>
    <row r="388" spans="1:10" x14ac:dyDescent="0.3">
      <c r="A388" s="3" t="s">
        <v>453</v>
      </c>
      <c r="B388" s="4">
        <v>43218</v>
      </c>
      <c r="C388" s="5">
        <v>9</v>
      </c>
      <c r="D388" s="5" t="s">
        <v>27</v>
      </c>
      <c r="E388" s="5" t="s">
        <v>44</v>
      </c>
      <c r="F388" s="5" t="s">
        <v>15</v>
      </c>
      <c r="G388" s="5" t="s">
        <v>14</v>
      </c>
      <c r="H388" s="5">
        <v>15900</v>
      </c>
      <c r="I388" s="5">
        <v>8</v>
      </c>
      <c r="J388" s="9">
        <v>127200</v>
      </c>
    </row>
    <row r="389" spans="1:10" x14ac:dyDescent="0.3">
      <c r="A389" s="3" t="s">
        <v>454</v>
      </c>
      <c r="B389" s="4">
        <v>43218</v>
      </c>
      <c r="C389" s="5">
        <v>20</v>
      </c>
      <c r="D389" s="5" t="s">
        <v>38</v>
      </c>
      <c r="E389" s="5" t="s">
        <v>43</v>
      </c>
      <c r="F389" s="5" t="s">
        <v>17</v>
      </c>
      <c r="G389" s="5" t="s">
        <v>12</v>
      </c>
      <c r="H389" s="5">
        <v>6900</v>
      </c>
      <c r="I389" s="5">
        <v>4</v>
      </c>
      <c r="J389" s="9">
        <v>27600</v>
      </c>
    </row>
    <row r="390" spans="1:10" x14ac:dyDescent="0.3">
      <c r="A390" s="3" t="s">
        <v>455</v>
      </c>
      <c r="B390" s="4">
        <v>43218</v>
      </c>
      <c r="C390" s="5">
        <v>13</v>
      </c>
      <c r="D390" s="5" t="s">
        <v>31</v>
      </c>
      <c r="E390" s="5" t="s">
        <v>45</v>
      </c>
      <c r="F390" s="5" t="s">
        <v>16</v>
      </c>
      <c r="G390" s="5" t="s">
        <v>13</v>
      </c>
      <c r="H390" s="5">
        <v>28900</v>
      </c>
      <c r="I390" s="5">
        <v>3</v>
      </c>
      <c r="J390" s="9">
        <v>86700</v>
      </c>
    </row>
    <row r="391" spans="1:10" x14ac:dyDescent="0.3">
      <c r="A391" s="3" t="s">
        <v>456</v>
      </c>
      <c r="B391" s="4">
        <v>43218</v>
      </c>
      <c r="C391" s="5">
        <v>1</v>
      </c>
      <c r="D391" s="5" t="s">
        <v>19</v>
      </c>
      <c r="E391" s="5" t="s">
        <v>46</v>
      </c>
      <c r="F391" s="5" t="s">
        <v>18</v>
      </c>
      <c r="G391" s="5" t="s">
        <v>13</v>
      </c>
      <c r="H391" s="5">
        <v>28900</v>
      </c>
      <c r="I391" s="5">
        <v>4</v>
      </c>
      <c r="J391" s="9">
        <v>115600</v>
      </c>
    </row>
    <row r="392" spans="1:10" x14ac:dyDescent="0.3">
      <c r="A392" s="3" t="s">
        <v>457</v>
      </c>
      <c r="B392" s="4">
        <v>43218</v>
      </c>
      <c r="C392" s="5">
        <v>10</v>
      </c>
      <c r="D392" s="5" t="s">
        <v>28</v>
      </c>
      <c r="E392" s="5" t="s">
        <v>44</v>
      </c>
      <c r="F392" s="5" t="s">
        <v>15</v>
      </c>
      <c r="G392" s="5" t="s">
        <v>11</v>
      </c>
      <c r="H392" s="5">
        <v>19900</v>
      </c>
      <c r="I392" s="5">
        <v>0</v>
      </c>
      <c r="J392" s="9">
        <v>0</v>
      </c>
    </row>
    <row r="393" spans="1:10" x14ac:dyDescent="0.3">
      <c r="A393" s="3" t="s">
        <v>458</v>
      </c>
      <c r="B393" s="4">
        <v>43219</v>
      </c>
      <c r="C393" s="5">
        <v>8</v>
      </c>
      <c r="D393" s="5" t="s">
        <v>26</v>
      </c>
      <c r="E393" s="5" t="s">
        <v>41</v>
      </c>
      <c r="F393" s="5" t="s">
        <v>15</v>
      </c>
      <c r="G393" s="5" t="s">
        <v>13</v>
      </c>
      <c r="H393" s="5">
        <v>28900</v>
      </c>
      <c r="I393" s="5">
        <v>0</v>
      </c>
      <c r="J393" s="9">
        <v>0</v>
      </c>
    </row>
    <row r="394" spans="1:10" x14ac:dyDescent="0.3">
      <c r="A394" s="3" t="s">
        <v>459</v>
      </c>
      <c r="B394" s="4">
        <v>43219</v>
      </c>
      <c r="C394" s="5">
        <v>14</v>
      </c>
      <c r="D394" s="5" t="s">
        <v>32</v>
      </c>
      <c r="E394" s="5" t="s">
        <v>45</v>
      </c>
      <c r="F394" s="5" t="s">
        <v>16</v>
      </c>
      <c r="G394" s="5" t="s">
        <v>12</v>
      </c>
      <c r="H394" s="5">
        <v>6900</v>
      </c>
      <c r="I394" s="5">
        <v>7</v>
      </c>
      <c r="J394" s="9">
        <v>48300</v>
      </c>
    </row>
    <row r="395" spans="1:10" x14ac:dyDescent="0.3">
      <c r="A395" s="3" t="s">
        <v>460</v>
      </c>
      <c r="B395" s="4">
        <v>43220</v>
      </c>
      <c r="C395" s="5">
        <v>18</v>
      </c>
      <c r="D395" s="5" t="s">
        <v>36</v>
      </c>
      <c r="E395" s="5" t="s">
        <v>42</v>
      </c>
      <c r="F395" s="5" t="s">
        <v>17</v>
      </c>
      <c r="G395" s="5" t="s">
        <v>11</v>
      </c>
      <c r="H395" s="5">
        <v>19900</v>
      </c>
      <c r="I395" s="5">
        <v>3</v>
      </c>
      <c r="J395" s="9">
        <v>59700</v>
      </c>
    </row>
    <row r="396" spans="1:10" x14ac:dyDescent="0.3">
      <c r="A396" s="3" t="s">
        <v>461</v>
      </c>
      <c r="B396" s="4">
        <v>43221</v>
      </c>
      <c r="C396" s="5">
        <v>18</v>
      </c>
      <c r="D396" s="5" t="s">
        <v>36</v>
      </c>
      <c r="E396" s="5" t="s">
        <v>42</v>
      </c>
      <c r="F396" s="5" t="s">
        <v>17</v>
      </c>
      <c r="G396" s="5" t="s">
        <v>12</v>
      </c>
      <c r="H396" s="5">
        <v>6900</v>
      </c>
      <c r="I396" s="5">
        <v>3</v>
      </c>
      <c r="J396" s="9">
        <v>20700</v>
      </c>
    </row>
    <row r="397" spans="1:10" x14ac:dyDescent="0.3">
      <c r="A397" s="3" t="s">
        <v>462</v>
      </c>
      <c r="B397" s="4">
        <v>43222</v>
      </c>
      <c r="C397" s="5">
        <v>14</v>
      </c>
      <c r="D397" s="5" t="s">
        <v>32</v>
      </c>
      <c r="E397" s="5" t="s">
        <v>45</v>
      </c>
      <c r="F397" s="5" t="s">
        <v>16</v>
      </c>
      <c r="G397" s="5" t="s">
        <v>14</v>
      </c>
      <c r="H397" s="5">
        <v>15900</v>
      </c>
      <c r="I397" s="5">
        <v>5</v>
      </c>
      <c r="J397" s="9">
        <v>79500</v>
      </c>
    </row>
    <row r="398" spans="1:10" x14ac:dyDescent="0.3">
      <c r="A398" s="3" t="s">
        <v>463</v>
      </c>
      <c r="B398" s="4">
        <v>43222</v>
      </c>
      <c r="C398" s="5">
        <v>19</v>
      </c>
      <c r="D398" s="5" t="s">
        <v>37</v>
      </c>
      <c r="E398" s="5" t="s">
        <v>43</v>
      </c>
      <c r="F398" s="5" t="s">
        <v>17</v>
      </c>
      <c r="G398" s="5" t="s">
        <v>13</v>
      </c>
      <c r="H398" s="5">
        <v>28900</v>
      </c>
      <c r="I398" s="5">
        <v>1</v>
      </c>
      <c r="J398" s="9">
        <v>28900</v>
      </c>
    </row>
    <row r="399" spans="1:10" x14ac:dyDescent="0.3">
      <c r="A399" s="3" t="s">
        <v>464</v>
      </c>
      <c r="B399" s="4">
        <v>43223</v>
      </c>
      <c r="C399" s="5">
        <v>18</v>
      </c>
      <c r="D399" s="5" t="s">
        <v>36</v>
      </c>
      <c r="E399" s="5" t="s">
        <v>43</v>
      </c>
      <c r="F399" s="5" t="s">
        <v>17</v>
      </c>
      <c r="G399" s="5" t="s">
        <v>14</v>
      </c>
      <c r="H399" s="5">
        <v>15900</v>
      </c>
      <c r="I399" s="5">
        <v>0</v>
      </c>
      <c r="J399" s="9">
        <v>0</v>
      </c>
    </row>
    <row r="400" spans="1:10" x14ac:dyDescent="0.3">
      <c r="A400" s="3" t="s">
        <v>465</v>
      </c>
      <c r="B400" s="4">
        <v>43223</v>
      </c>
      <c r="C400" s="5">
        <v>5</v>
      </c>
      <c r="D400" s="5" t="s">
        <v>23</v>
      </c>
      <c r="E400" s="5" t="s">
        <v>46</v>
      </c>
      <c r="F400" s="5" t="s">
        <v>18</v>
      </c>
      <c r="G400" s="5" t="s">
        <v>10</v>
      </c>
      <c r="H400" s="5">
        <v>39900</v>
      </c>
      <c r="I400" s="5">
        <v>7</v>
      </c>
      <c r="J400" s="9">
        <v>279300</v>
      </c>
    </row>
    <row r="401" spans="1:10" x14ac:dyDescent="0.3">
      <c r="A401" s="3" t="s">
        <v>466</v>
      </c>
      <c r="B401" s="4">
        <v>43223</v>
      </c>
      <c r="C401" s="5">
        <v>19</v>
      </c>
      <c r="D401" s="5" t="s">
        <v>37</v>
      </c>
      <c r="E401" s="5" t="s">
        <v>42</v>
      </c>
      <c r="F401" s="5" t="s">
        <v>17</v>
      </c>
      <c r="G401" s="5" t="s">
        <v>13</v>
      </c>
      <c r="H401" s="5">
        <v>28900</v>
      </c>
      <c r="I401" s="5">
        <v>6</v>
      </c>
      <c r="J401" s="9">
        <v>173400</v>
      </c>
    </row>
    <row r="402" spans="1:10" x14ac:dyDescent="0.3">
      <c r="A402" s="3" t="s">
        <v>467</v>
      </c>
      <c r="B402" s="4">
        <v>43224</v>
      </c>
      <c r="C402" s="5">
        <v>5</v>
      </c>
      <c r="D402" s="5" t="s">
        <v>23</v>
      </c>
      <c r="E402" s="5" t="s">
        <v>40</v>
      </c>
      <c r="F402" s="5" t="s">
        <v>18</v>
      </c>
      <c r="G402" s="5" t="s">
        <v>12</v>
      </c>
      <c r="H402" s="5">
        <v>6900</v>
      </c>
      <c r="I402" s="5">
        <v>0</v>
      </c>
      <c r="J402" s="9">
        <v>0</v>
      </c>
    </row>
    <row r="403" spans="1:10" x14ac:dyDescent="0.3">
      <c r="A403" s="3" t="s">
        <v>468</v>
      </c>
      <c r="B403" s="4">
        <v>43225</v>
      </c>
      <c r="C403" s="5">
        <v>16</v>
      </c>
      <c r="D403" s="5" t="s">
        <v>34</v>
      </c>
      <c r="E403" s="5" t="s">
        <v>43</v>
      </c>
      <c r="F403" s="5" t="s">
        <v>17</v>
      </c>
      <c r="G403" s="5" t="s">
        <v>13</v>
      </c>
      <c r="H403" s="5">
        <v>28900</v>
      </c>
      <c r="I403" s="5">
        <v>8</v>
      </c>
      <c r="J403" s="9">
        <v>231200</v>
      </c>
    </row>
    <row r="404" spans="1:10" x14ac:dyDescent="0.3">
      <c r="A404" s="3" t="s">
        <v>469</v>
      </c>
      <c r="B404" s="4">
        <v>43225</v>
      </c>
      <c r="C404" s="5">
        <v>12</v>
      </c>
      <c r="D404" s="5" t="s">
        <v>30</v>
      </c>
      <c r="E404" s="5" t="s">
        <v>45</v>
      </c>
      <c r="F404" s="5" t="s">
        <v>16</v>
      </c>
      <c r="G404" s="5" t="s">
        <v>10</v>
      </c>
      <c r="H404" s="5">
        <v>39900</v>
      </c>
      <c r="I404" s="5">
        <v>6</v>
      </c>
      <c r="J404" s="9">
        <v>239400</v>
      </c>
    </row>
    <row r="405" spans="1:10" x14ac:dyDescent="0.3">
      <c r="A405" s="3" t="s">
        <v>470</v>
      </c>
      <c r="B405" s="4">
        <v>43226</v>
      </c>
      <c r="C405" s="5">
        <v>5</v>
      </c>
      <c r="D405" s="5" t="s">
        <v>23</v>
      </c>
      <c r="E405" s="5" t="s">
        <v>40</v>
      </c>
      <c r="F405" s="5" t="s">
        <v>18</v>
      </c>
      <c r="G405" s="5" t="s">
        <v>14</v>
      </c>
      <c r="H405" s="5">
        <v>15900</v>
      </c>
      <c r="I405" s="5">
        <v>9</v>
      </c>
      <c r="J405" s="9">
        <v>143100</v>
      </c>
    </row>
    <row r="406" spans="1:10" x14ac:dyDescent="0.3">
      <c r="A406" s="3" t="s">
        <v>471</v>
      </c>
      <c r="B406" s="4">
        <v>43226</v>
      </c>
      <c r="C406" s="5">
        <v>1</v>
      </c>
      <c r="D406" s="5" t="s">
        <v>19</v>
      </c>
      <c r="E406" s="5" t="s">
        <v>40</v>
      </c>
      <c r="F406" s="5" t="s">
        <v>18</v>
      </c>
      <c r="G406" s="5" t="s">
        <v>14</v>
      </c>
      <c r="H406" s="5">
        <v>15900</v>
      </c>
      <c r="I406" s="5">
        <v>5</v>
      </c>
      <c r="J406" s="9">
        <v>79500</v>
      </c>
    </row>
    <row r="407" spans="1:10" x14ac:dyDescent="0.3">
      <c r="A407" s="3" t="s">
        <v>472</v>
      </c>
      <c r="B407" s="4">
        <v>43226</v>
      </c>
      <c r="C407" s="5">
        <v>6</v>
      </c>
      <c r="D407" s="5" t="s">
        <v>24</v>
      </c>
      <c r="E407" s="5" t="s">
        <v>44</v>
      </c>
      <c r="F407" s="5" t="s">
        <v>15</v>
      </c>
      <c r="G407" s="5" t="s">
        <v>14</v>
      </c>
      <c r="H407" s="5">
        <v>15900</v>
      </c>
      <c r="I407" s="5">
        <v>8</v>
      </c>
      <c r="J407" s="9">
        <v>127200</v>
      </c>
    </row>
    <row r="408" spans="1:10" x14ac:dyDescent="0.3">
      <c r="A408" s="3" t="s">
        <v>473</v>
      </c>
      <c r="B408" s="4">
        <v>43226</v>
      </c>
      <c r="C408" s="5">
        <v>16</v>
      </c>
      <c r="D408" s="5" t="s">
        <v>34</v>
      </c>
      <c r="E408" s="5" t="s">
        <v>43</v>
      </c>
      <c r="F408" s="5" t="s">
        <v>17</v>
      </c>
      <c r="G408" s="5" t="s">
        <v>12</v>
      </c>
      <c r="H408" s="5">
        <v>6900</v>
      </c>
      <c r="I408" s="5">
        <v>7</v>
      </c>
      <c r="J408" s="9">
        <v>48300</v>
      </c>
    </row>
    <row r="409" spans="1:10" x14ac:dyDescent="0.3">
      <c r="A409" s="3" t="s">
        <v>474</v>
      </c>
      <c r="B409" s="4">
        <v>43226</v>
      </c>
      <c r="C409" s="5">
        <v>4</v>
      </c>
      <c r="D409" s="5" t="s">
        <v>22</v>
      </c>
      <c r="E409" s="5" t="s">
        <v>46</v>
      </c>
      <c r="F409" s="5" t="s">
        <v>18</v>
      </c>
      <c r="G409" s="5" t="s">
        <v>13</v>
      </c>
      <c r="H409" s="5">
        <v>28900</v>
      </c>
      <c r="I409" s="5">
        <v>6</v>
      </c>
      <c r="J409" s="9">
        <v>173400</v>
      </c>
    </row>
    <row r="410" spans="1:10" x14ac:dyDescent="0.3">
      <c r="A410" s="3" t="s">
        <v>475</v>
      </c>
      <c r="B410" s="4">
        <v>43226</v>
      </c>
      <c r="C410" s="5">
        <v>16</v>
      </c>
      <c r="D410" s="5" t="s">
        <v>34</v>
      </c>
      <c r="E410" s="5" t="s">
        <v>42</v>
      </c>
      <c r="F410" s="5" t="s">
        <v>17</v>
      </c>
      <c r="G410" s="5" t="s">
        <v>11</v>
      </c>
      <c r="H410" s="5">
        <v>19900</v>
      </c>
      <c r="I410" s="5">
        <v>3</v>
      </c>
      <c r="J410" s="9">
        <v>59700</v>
      </c>
    </row>
    <row r="411" spans="1:10" x14ac:dyDescent="0.3">
      <c r="A411" s="3" t="s">
        <v>476</v>
      </c>
      <c r="B411" s="4">
        <v>43226</v>
      </c>
      <c r="C411" s="5">
        <v>16</v>
      </c>
      <c r="D411" s="5" t="s">
        <v>34</v>
      </c>
      <c r="E411" s="5" t="s">
        <v>43</v>
      </c>
      <c r="F411" s="5" t="s">
        <v>17</v>
      </c>
      <c r="G411" s="5" t="s">
        <v>14</v>
      </c>
      <c r="H411" s="5">
        <v>15900</v>
      </c>
      <c r="I411" s="5">
        <v>4</v>
      </c>
      <c r="J411" s="9">
        <v>63600</v>
      </c>
    </row>
    <row r="412" spans="1:10" x14ac:dyDescent="0.3">
      <c r="A412" s="3" t="s">
        <v>477</v>
      </c>
      <c r="B412" s="4">
        <v>43226</v>
      </c>
      <c r="C412" s="5">
        <v>8</v>
      </c>
      <c r="D412" s="5" t="s">
        <v>26</v>
      </c>
      <c r="E412" s="5" t="s">
        <v>44</v>
      </c>
      <c r="F412" s="5" t="s">
        <v>15</v>
      </c>
      <c r="G412" s="5" t="s">
        <v>14</v>
      </c>
      <c r="H412" s="5">
        <v>15900</v>
      </c>
      <c r="I412" s="5">
        <v>4</v>
      </c>
      <c r="J412" s="9">
        <v>63600</v>
      </c>
    </row>
    <row r="413" spans="1:10" x14ac:dyDescent="0.3">
      <c r="A413" s="3" t="s">
        <v>478</v>
      </c>
      <c r="B413" s="4">
        <v>43226</v>
      </c>
      <c r="C413" s="5">
        <v>13</v>
      </c>
      <c r="D413" s="5" t="s">
        <v>31</v>
      </c>
      <c r="E413" s="5" t="s">
        <v>39</v>
      </c>
      <c r="F413" s="5" t="s">
        <v>16</v>
      </c>
      <c r="G413" s="5" t="s">
        <v>12</v>
      </c>
      <c r="H413" s="5">
        <v>6900</v>
      </c>
      <c r="I413" s="5">
        <v>7</v>
      </c>
      <c r="J413" s="9">
        <v>48300</v>
      </c>
    </row>
    <row r="414" spans="1:10" x14ac:dyDescent="0.3">
      <c r="A414" s="3" t="s">
        <v>479</v>
      </c>
      <c r="B414" s="4">
        <v>43226</v>
      </c>
      <c r="C414" s="5">
        <v>3</v>
      </c>
      <c r="D414" s="5" t="s">
        <v>21</v>
      </c>
      <c r="E414" s="5" t="s">
        <v>46</v>
      </c>
      <c r="F414" s="5" t="s">
        <v>18</v>
      </c>
      <c r="G414" s="5" t="s">
        <v>11</v>
      </c>
      <c r="H414" s="5">
        <v>19900</v>
      </c>
      <c r="I414" s="5">
        <v>1</v>
      </c>
      <c r="J414" s="9">
        <v>19900</v>
      </c>
    </row>
    <row r="415" spans="1:10" x14ac:dyDescent="0.3">
      <c r="A415" s="3" t="s">
        <v>480</v>
      </c>
      <c r="B415" s="4">
        <v>43227</v>
      </c>
      <c r="C415" s="5">
        <v>19</v>
      </c>
      <c r="D415" s="5" t="s">
        <v>37</v>
      </c>
      <c r="E415" s="5" t="s">
        <v>42</v>
      </c>
      <c r="F415" s="5" t="s">
        <v>17</v>
      </c>
      <c r="G415" s="5" t="s">
        <v>12</v>
      </c>
      <c r="H415" s="5">
        <v>6900</v>
      </c>
      <c r="I415" s="5">
        <v>6</v>
      </c>
      <c r="J415" s="9">
        <v>41400</v>
      </c>
    </row>
    <row r="416" spans="1:10" x14ac:dyDescent="0.3">
      <c r="A416" s="3" t="s">
        <v>481</v>
      </c>
      <c r="B416" s="4">
        <v>43228</v>
      </c>
      <c r="C416" s="5">
        <v>17</v>
      </c>
      <c r="D416" s="5" t="s">
        <v>35</v>
      </c>
      <c r="E416" s="5" t="s">
        <v>43</v>
      </c>
      <c r="F416" s="5" t="s">
        <v>17</v>
      </c>
      <c r="G416" s="5" t="s">
        <v>14</v>
      </c>
      <c r="H416" s="5">
        <v>15900</v>
      </c>
      <c r="I416" s="5">
        <v>7</v>
      </c>
      <c r="J416" s="9">
        <v>111300</v>
      </c>
    </row>
    <row r="417" spans="1:10" x14ac:dyDescent="0.3">
      <c r="A417" s="3" t="s">
        <v>482</v>
      </c>
      <c r="B417" s="4">
        <v>43228</v>
      </c>
      <c r="C417" s="5">
        <v>13</v>
      </c>
      <c r="D417" s="5" t="s">
        <v>31</v>
      </c>
      <c r="E417" s="5" t="s">
        <v>39</v>
      </c>
      <c r="F417" s="5" t="s">
        <v>16</v>
      </c>
      <c r="G417" s="5" t="s">
        <v>11</v>
      </c>
      <c r="H417" s="5">
        <v>19900</v>
      </c>
      <c r="I417" s="5">
        <v>1</v>
      </c>
      <c r="J417" s="9">
        <v>19900</v>
      </c>
    </row>
    <row r="418" spans="1:10" x14ac:dyDescent="0.3">
      <c r="A418" s="3" t="s">
        <v>483</v>
      </c>
      <c r="B418" s="4">
        <v>43229</v>
      </c>
      <c r="C418" s="5">
        <v>2</v>
      </c>
      <c r="D418" s="5" t="s">
        <v>20</v>
      </c>
      <c r="E418" s="5" t="s">
        <v>40</v>
      </c>
      <c r="F418" s="5" t="s">
        <v>18</v>
      </c>
      <c r="G418" s="5" t="s">
        <v>10</v>
      </c>
      <c r="H418" s="5">
        <v>39900</v>
      </c>
      <c r="I418" s="5">
        <v>1</v>
      </c>
      <c r="J418" s="9">
        <v>39900</v>
      </c>
    </row>
    <row r="419" spans="1:10" x14ac:dyDescent="0.3">
      <c r="A419" s="3" t="s">
        <v>484</v>
      </c>
      <c r="B419" s="4">
        <v>43230</v>
      </c>
      <c r="C419" s="5">
        <v>6</v>
      </c>
      <c r="D419" s="5" t="s">
        <v>24</v>
      </c>
      <c r="E419" s="5" t="s">
        <v>44</v>
      </c>
      <c r="F419" s="5" t="s">
        <v>15</v>
      </c>
      <c r="G419" s="5" t="s">
        <v>14</v>
      </c>
      <c r="H419" s="5">
        <v>15900</v>
      </c>
      <c r="I419" s="5">
        <v>9</v>
      </c>
      <c r="J419" s="9">
        <v>143100</v>
      </c>
    </row>
    <row r="420" spans="1:10" x14ac:dyDescent="0.3">
      <c r="A420" s="3" t="s">
        <v>485</v>
      </c>
      <c r="B420" s="4">
        <v>43230</v>
      </c>
      <c r="C420" s="5">
        <v>14</v>
      </c>
      <c r="D420" s="5" t="s">
        <v>32</v>
      </c>
      <c r="E420" s="5" t="s">
        <v>39</v>
      </c>
      <c r="F420" s="5" t="s">
        <v>16</v>
      </c>
      <c r="G420" s="5" t="s">
        <v>11</v>
      </c>
      <c r="H420" s="5">
        <v>19900</v>
      </c>
      <c r="I420" s="5">
        <v>3</v>
      </c>
      <c r="J420" s="9">
        <v>59700</v>
      </c>
    </row>
    <row r="421" spans="1:10" x14ac:dyDescent="0.3">
      <c r="A421" s="3" t="s">
        <v>486</v>
      </c>
      <c r="B421" s="4">
        <v>43231</v>
      </c>
      <c r="C421" s="5">
        <v>18</v>
      </c>
      <c r="D421" s="5" t="s">
        <v>36</v>
      </c>
      <c r="E421" s="5" t="s">
        <v>43</v>
      </c>
      <c r="F421" s="5" t="s">
        <v>17</v>
      </c>
      <c r="G421" s="5" t="s">
        <v>14</v>
      </c>
      <c r="H421" s="5">
        <v>15900</v>
      </c>
      <c r="I421" s="5">
        <v>9</v>
      </c>
      <c r="J421" s="9">
        <v>143100</v>
      </c>
    </row>
    <row r="422" spans="1:10" x14ac:dyDescent="0.3">
      <c r="A422" s="3" t="s">
        <v>487</v>
      </c>
      <c r="B422" s="4">
        <v>43231</v>
      </c>
      <c r="C422" s="5">
        <v>6</v>
      </c>
      <c r="D422" s="5" t="s">
        <v>24</v>
      </c>
      <c r="E422" s="5" t="s">
        <v>44</v>
      </c>
      <c r="F422" s="5" t="s">
        <v>15</v>
      </c>
      <c r="G422" s="5" t="s">
        <v>14</v>
      </c>
      <c r="H422" s="5">
        <v>15900</v>
      </c>
      <c r="I422" s="5">
        <v>4</v>
      </c>
      <c r="J422" s="9">
        <v>63600</v>
      </c>
    </row>
    <row r="423" spans="1:10" x14ac:dyDescent="0.3">
      <c r="A423" s="3" t="s">
        <v>488</v>
      </c>
      <c r="B423" s="4">
        <v>43232</v>
      </c>
      <c r="C423" s="5">
        <v>4</v>
      </c>
      <c r="D423" s="5" t="s">
        <v>22</v>
      </c>
      <c r="E423" s="5" t="s">
        <v>46</v>
      </c>
      <c r="F423" s="5" t="s">
        <v>18</v>
      </c>
      <c r="G423" s="5" t="s">
        <v>14</v>
      </c>
      <c r="H423" s="5">
        <v>15900</v>
      </c>
      <c r="I423" s="5">
        <v>9</v>
      </c>
      <c r="J423" s="9">
        <v>143100</v>
      </c>
    </row>
    <row r="424" spans="1:10" x14ac:dyDescent="0.3">
      <c r="A424" s="3" t="s">
        <v>489</v>
      </c>
      <c r="B424" s="4">
        <v>43232</v>
      </c>
      <c r="C424" s="5">
        <v>5</v>
      </c>
      <c r="D424" s="5" t="s">
        <v>23</v>
      </c>
      <c r="E424" s="5" t="s">
        <v>46</v>
      </c>
      <c r="F424" s="5" t="s">
        <v>18</v>
      </c>
      <c r="G424" s="5" t="s">
        <v>12</v>
      </c>
      <c r="H424" s="5">
        <v>6900</v>
      </c>
      <c r="I424" s="5">
        <v>4</v>
      </c>
      <c r="J424" s="9">
        <v>27600</v>
      </c>
    </row>
    <row r="425" spans="1:10" x14ac:dyDescent="0.3">
      <c r="A425" s="3" t="s">
        <v>490</v>
      </c>
      <c r="B425" s="4">
        <v>43232</v>
      </c>
      <c r="C425" s="5">
        <v>1</v>
      </c>
      <c r="D425" s="5" t="s">
        <v>19</v>
      </c>
      <c r="E425" s="5" t="s">
        <v>46</v>
      </c>
      <c r="F425" s="5" t="s">
        <v>18</v>
      </c>
      <c r="G425" s="5" t="s">
        <v>12</v>
      </c>
      <c r="H425" s="5">
        <v>6900</v>
      </c>
      <c r="I425" s="5">
        <v>8</v>
      </c>
      <c r="J425" s="9">
        <v>55200</v>
      </c>
    </row>
    <row r="426" spans="1:10" x14ac:dyDescent="0.3">
      <c r="A426" s="3" t="s">
        <v>491</v>
      </c>
      <c r="B426" s="4">
        <v>43232</v>
      </c>
      <c r="C426" s="5">
        <v>1</v>
      </c>
      <c r="D426" s="5" t="s">
        <v>19</v>
      </c>
      <c r="E426" s="5" t="s">
        <v>46</v>
      </c>
      <c r="F426" s="5" t="s">
        <v>18</v>
      </c>
      <c r="G426" s="5" t="s">
        <v>13</v>
      </c>
      <c r="H426" s="5">
        <v>28900</v>
      </c>
      <c r="I426" s="5">
        <v>7</v>
      </c>
      <c r="J426" s="9">
        <v>202300</v>
      </c>
    </row>
    <row r="427" spans="1:10" x14ac:dyDescent="0.3">
      <c r="A427" s="3" t="s">
        <v>492</v>
      </c>
      <c r="B427" s="4">
        <v>43232</v>
      </c>
      <c r="C427" s="5">
        <v>17</v>
      </c>
      <c r="D427" s="5" t="s">
        <v>35</v>
      </c>
      <c r="E427" s="5" t="s">
        <v>43</v>
      </c>
      <c r="F427" s="5" t="s">
        <v>17</v>
      </c>
      <c r="G427" s="5" t="s">
        <v>11</v>
      </c>
      <c r="H427" s="5">
        <v>19900</v>
      </c>
      <c r="I427" s="5">
        <v>8</v>
      </c>
      <c r="J427" s="9">
        <v>159200</v>
      </c>
    </row>
    <row r="428" spans="1:10" x14ac:dyDescent="0.3">
      <c r="A428" s="3" t="s">
        <v>493</v>
      </c>
      <c r="B428" s="4">
        <v>43233</v>
      </c>
      <c r="C428" s="5">
        <v>5</v>
      </c>
      <c r="D428" s="5" t="s">
        <v>23</v>
      </c>
      <c r="E428" s="5" t="s">
        <v>40</v>
      </c>
      <c r="F428" s="5" t="s">
        <v>18</v>
      </c>
      <c r="G428" s="5" t="s">
        <v>11</v>
      </c>
      <c r="H428" s="5">
        <v>19900</v>
      </c>
      <c r="I428" s="5">
        <v>6</v>
      </c>
      <c r="J428" s="9">
        <v>119400</v>
      </c>
    </row>
    <row r="429" spans="1:10" x14ac:dyDescent="0.3">
      <c r="A429" s="3" t="s">
        <v>494</v>
      </c>
      <c r="B429" s="4">
        <v>43233</v>
      </c>
      <c r="C429" s="5">
        <v>13</v>
      </c>
      <c r="D429" s="5" t="s">
        <v>31</v>
      </c>
      <c r="E429" s="5" t="s">
        <v>45</v>
      </c>
      <c r="F429" s="5" t="s">
        <v>16</v>
      </c>
      <c r="G429" s="5" t="s">
        <v>12</v>
      </c>
      <c r="H429" s="5">
        <v>6900</v>
      </c>
      <c r="I429" s="5">
        <v>3</v>
      </c>
      <c r="J429" s="9">
        <v>20700</v>
      </c>
    </row>
    <row r="430" spans="1:10" x14ac:dyDescent="0.3">
      <c r="A430" s="3" t="s">
        <v>495</v>
      </c>
      <c r="B430" s="4">
        <v>43234</v>
      </c>
      <c r="C430" s="5">
        <v>18</v>
      </c>
      <c r="D430" s="5" t="s">
        <v>36</v>
      </c>
      <c r="E430" s="5" t="s">
        <v>43</v>
      </c>
      <c r="F430" s="5" t="s">
        <v>17</v>
      </c>
      <c r="G430" s="5" t="s">
        <v>12</v>
      </c>
      <c r="H430" s="5">
        <v>6900</v>
      </c>
      <c r="I430" s="5">
        <v>9</v>
      </c>
      <c r="J430" s="9">
        <v>62100</v>
      </c>
    </row>
    <row r="431" spans="1:10" x14ac:dyDescent="0.3">
      <c r="A431" s="3" t="s">
        <v>496</v>
      </c>
      <c r="B431" s="4">
        <v>43235</v>
      </c>
      <c r="C431" s="5">
        <v>16</v>
      </c>
      <c r="D431" s="5" t="s">
        <v>34</v>
      </c>
      <c r="E431" s="5" t="s">
        <v>43</v>
      </c>
      <c r="F431" s="5" t="s">
        <v>17</v>
      </c>
      <c r="G431" s="5" t="s">
        <v>13</v>
      </c>
      <c r="H431" s="5">
        <v>28900</v>
      </c>
      <c r="I431" s="5">
        <v>7</v>
      </c>
      <c r="J431" s="9">
        <v>202300</v>
      </c>
    </row>
    <row r="432" spans="1:10" x14ac:dyDescent="0.3">
      <c r="A432" s="3" t="s">
        <v>497</v>
      </c>
      <c r="B432" s="4">
        <v>43235</v>
      </c>
      <c r="C432" s="5">
        <v>4</v>
      </c>
      <c r="D432" s="5" t="s">
        <v>22</v>
      </c>
      <c r="E432" s="5" t="s">
        <v>46</v>
      </c>
      <c r="F432" s="5" t="s">
        <v>18</v>
      </c>
      <c r="G432" s="5" t="s">
        <v>13</v>
      </c>
      <c r="H432" s="5">
        <v>28900</v>
      </c>
      <c r="I432" s="5">
        <v>6</v>
      </c>
      <c r="J432" s="9">
        <v>173400</v>
      </c>
    </row>
    <row r="433" spans="1:10" x14ac:dyDescent="0.3">
      <c r="A433" s="3" t="s">
        <v>498</v>
      </c>
      <c r="B433" s="4">
        <v>43235</v>
      </c>
      <c r="C433" s="5">
        <v>2</v>
      </c>
      <c r="D433" s="5" t="s">
        <v>20</v>
      </c>
      <c r="E433" s="5" t="s">
        <v>40</v>
      </c>
      <c r="F433" s="5" t="s">
        <v>18</v>
      </c>
      <c r="G433" s="5" t="s">
        <v>10</v>
      </c>
      <c r="H433" s="5">
        <v>39900</v>
      </c>
      <c r="I433" s="5">
        <v>3</v>
      </c>
      <c r="J433" s="9">
        <v>119700</v>
      </c>
    </row>
    <row r="434" spans="1:10" x14ac:dyDescent="0.3">
      <c r="A434" s="3" t="s">
        <v>499</v>
      </c>
      <c r="B434" s="4">
        <v>43235</v>
      </c>
      <c r="C434" s="5">
        <v>3</v>
      </c>
      <c r="D434" s="5" t="s">
        <v>21</v>
      </c>
      <c r="E434" s="5" t="s">
        <v>40</v>
      </c>
      <c r="F434" s="5" t="s">
        <v>18</v>
      </c>
      <c r="G434" s="5" t="s">
        <v>13</v>
      </c>
      <c r="H434" s="5">
        <v>28900</v>
      </c>
      <c r="I434" s="5">
        <v>0</v>
      </c>
      <c r="J434" s="9">
        <v>0</v>
      </c>
    </row>
    <row r="435" spans="1:10" x14ac:dyDescent="0.3">
      <c r="A435" s="3" t="s">
        <v>500</v>
      </c>
      <c r="B435" s="4">
        <v>43235</v>
      </c>
      <c r="C435" s="5">
        <v>9</v>
      </c>
      <c r="D435" s="5" t="s">
        <v>27</v>
      </c>
      <c r="E435" s="5" t="s">
        <v>41</v>
      </c>
      <c r="F435" s="5" t="s">
        <v>15</v>
      </c>
      <c r="G435" s="5" t="s">
        <v>13</v>
      </c>
      <c r="H435" s="5">
        <v>28900</v>
      </c>
      <c r="I435" s="5">
        <v>5</v>
      </c>
      <c r="J435" s="9">
        <v>144500</v>
      </c>
    </row>
    <row r="436" spans="1:10" x14ac:dyDescent="0.3">
      <c r="A436" s="3" t="s">
        <v>501</v>
      </c>
      <c r="B436" s="4">
        <v>43235</v>
      </c>
      <c r="C436" s="5">
        <v>8</v>
      </c>
      <c r="D436" s="5" t="s">
        <v>26</v>
      </c>
      <c r="E436" s="5" t="s">
        <v>44</v>
      </c>
      <c r="F436" s="5" t="s">
        <v>15</v>
      </c>
      <c r="G436" s="5" t="s">
        <v>13</v>
      </c>
      <c r="H436" s="5">
        <v>28900</v>
      </c>
      <c r="I436" s="5">
        <v>5</v>
      </c>
      <c r="J436" s="9">
        <v>144500</v>
      </c>
    </row>
    <row r="437" spans="1:10" x14ac:dyDescent="0.3">
      <c r="A437" s="3" t="s">
        <v>502</v>
      </c>
      <c r="B437" s="4">
        <v>43235</v>
      </c>
      <c r="C437" s="5">
        <v>17</v>
      </c>
      <c r="D437" s="5" t="s">
        <v>35</v>
      </c>
      <c r="E437" s="5" t="s">
        <v>43</v>
      </c>
      <c r="F437" s="5" t="s">
        <v>17</v>
      </c>
      <c r="G437" s="5" t="s">
        <v>11</v>
      </c>
      <c r="H437" s="5">
        <v>19900</v>
      </c>
      <c r="I437" s="5">
        <v>0</v>
      </c>
      <c r="J437" s="9">
        <v>0</v>
      </c>
    </row>
    <row r="438" spans="1:10" x14ac:dyDescent="0.3">
      <c r="A438" s="3" t="s">
        <v>503</v>
      </c>
      <c r="B438" s="4">
        <v>43235</v>
      </c>
      <c r="C438" s="5">
        <v>2</v>
      </c>
      <c r="D438" s="5" t="s">
        <v>20</v>
      </c>
      <c r="E438" s="5" t="s">
        <v>46</v>
      </c>
      <c r="F438" s="5" t="s">
        <v>18</v>
      </c>
      <c r="G438" s="5" t="s">
        <v>12</v>
      </c>
      <c r="H438" s="5">
        <v>6900</v>
      </c>
      <c r="I438" s="5">
        <v>7</v>
      </c>
      <c r="J438" s="9">
        <v>48300</v>
      </c>
    </row>
    <row r="439" spans="1:10" x14ac:dyDescent="0.3">
      <c r="A439" s="3" t="s">
        <v>504</v>
      </c>
      <c r="B439" s="4">
        <v>43235</v>
      </c>
      <c r="C439" s="5">
        <v>2</v>
      </c>
      <c r="D439" s="5" t="s">
        <v>20</v>
      </c>
      <c r="E439" s="5" t="s">
        <v>46</v>
      </c>
      <c r="F439" s="5" t="s">
        <v>18</v>
      </c>
      <c r="G439" s="5" t="s">
        <v>12</v>
      </c>
      <c r="H439" s="5">
        <v>6900</v>
      </c>
      <c r="I439" s="5">
        <v>6</v>
      </c>
      <c r="J439" s="9">
        <v>41400</v>
      </c>
    </row>
    <row r="440" spans="1:10" x14ac:dyDescent="0.3">
      <c r="A440" s="3" t="s">
        <v>505</v>
      </c>
      <c r="B440" s="4">
        <v>43235</v>
      </c>
      <c r="C440" s="5">
        <v>16</v>
      </c>
      <c r="D440" s="5" t="s">
        <v>34</v>
      </c>
      <c r="E440" s="5" t="s">
        <v>43</v>
      </c>
      <c r="F440" s="5" t="s">
        <v>17</v>
      </c>
      <c r="G440" s="5" t="s">
        <v>14</v>
      </c>
      <c r="H440" s="5">
        <v>15900</v>
      </c>
      <c r="I440" s="5">
        <v>1</v>
      </c>
      <c r="J440" s="9">
        <v>15900</v>
      </c>
    </row>
    <row r="441" spans="1:10" x14ac:dyDescent="0.3">
      <c r="A441" s="3" t="s">
        <v>506</v>
      </c>
      <c r="B441" s="4">
        <v>43235</v>
      </c>
      <c r="C441" s="5">
        <v>19</v>
      </c>
      <c r="D441" s="5" t="s">
        <v>37</v>
      </c>
      <c r="E441" s="5" t="s">
        <v>43</v>
      </c>
      <c r="F441" s="5" t="s">
        <v>17</v>
      </c>
      <c r="G441" s="5" t="s">
        <v>12</v>
      </c>
      <c r="H441" s="5">
        <v>6900</v>
      </c>
      <c r="I441" s="5">
        <v>8</v>
      </c>
      <c r="J441" s="9">
        <v>55200</v>
      </c>
    </row>
    <row r="442" spans="1:10" x14ac:dyDescent="0.3">
      <c r="A442" s="3" t="s">
        <v>507</v>
      </c>
      <c r="B442" s="4">
        <v>43235</v>
      </c>
      <c r="C442" s="5">
        <v>18</v>
      </c>
      <c r="D442" s="5" t="s">
        <v>36</v>
      </c>
      <c r="E442" s="5" t="s">
        <v>43</v>
      </c>
      <c r="F442" s="5" t="s">
        <v>17</v>
      </c>
      <c r="G442" s="5" t="s">
        <v>11</v>
      </c>
      <c r="H442" s="5">
        <v>19900</v>
      </c>
      <c r="I442" s="5">
        <v>6</v>
      </c>
      <c r="J442" s="9">
        <v>119400</v>
      </c>
    </row>
    <row r="443" spans="1:10" x14ac:dyDescent="0.3">
      <c r="A443" s="3" t="s">
        <v>508</v>
      </c>
      <c r="B443" s="4">
        <v>43235</v>
      </c>
      <c r="C443" s="5">
        <v>1</v>
      </c>
      <c r="D443" s="5" t="s">
        <v>19</v>
      </c>
      <c r="E443" s="5" t="s">
        <v>40</v>
      </c>
      <c r="F443" s="5" t="s">
        <v>18</v>
      </c>
      <c r="G443" s="5" t="s">
        <v>10</v>
      </c>
      <c r="H443" s="5">
        <v>39900</v>
      </c>
      <c r="I443" s="5">
        <v>1</v>
      </c>
      <c r="J443" s="9">
        <v>39900</v>
      </c>
    </row>
    <row r="444" spans="1:10" x14ac:dyDescent="0.3">
      <c r="A444" s="3" t="s">
        <v>509</v>
      </c>
      <c r="B444" s="4">
        <v>43235</v>
      </c>
      <c r="C444" s="5">
        <v>14</v>
      </c>
      <c r="D444" s="5" t="s">
        <v>32</v>
      </c>
      <c r="E444" s="5" t="s">
        <v>39</v>
      </c>
      <c r="F444" s="5" t="s">
        <v>16</v>
      </c>
      <c r="G444" s="5" t="s">
        <v>12</v>
      </c>
      <c r="H444" s="5">
        <v>6900</v>
      </c>
      <c r="I444" s="5">
        <v>6</v>
      </c>
      <c r="J444" s="9">
        <v>41400</v>
      </c>
    </row>
    <row r="445" spans="1:10" x14ac:dyDescent="0.3">
      <c r="A445" s="3" t="s">
        <v>510</v>
      </c>
      <c r="B445" s="4">
        <v>43236</v>
      </c>
      <c r="C445" s="5">
        <v>17</v>
      </c>
      <c r="D445" s="5" t="s">
        <v>35</v>
      </c>
      <c r="E445" s="5" t="s">
        <v>43</v>
      </c>
      <c r="F445" s="5" t="s">
        <v>17</v>
      </c>
      <c r="G445" s="5" t="s">
        <v>12</v>
      </c>
      <c r="H445" s="5">
        <v>6900</v>
      </c>
      <c r="I445" s="5">
        <v>7</v>
      </c>
      <c r="J445" s="9">
        <v>48300</v>
      </c>
    </row>
    <row r="446" spans="1:10" x14ac:dyDescent="0.3">
      <c r="A446" s="3" t="s">
        <v>511</v>
      </c>
      <c r="B446" s="4">
        <v>43236</v>
      </c>
      <c r="C446" s="5">
        <v>9</v>
      </c>
      <c r="D446" s="5" t="s">
        <v>27</v>
      </c>
      <c r="E446" s="5" t="s">
        <v>44</v>
      </c>
      <c r="F446" s="5" t="s">
        <v>15</v>
      </c>
      <c r="G446" s="5" t="s">
        <v>11</v>
      </c>
      <c r="H446" s="5">
        <v>19900</v>
      </c>
      <c r="I446" s="5">
        <v>2</v>
      </c>
      <c r="J446" s="9">
        <v>39800</v>
      </c>
    </row>
    <row r="447" spans="1:10" x14ac:dyDescent="0.3">
      <c r="A447" s="3" t="s">
        <v>512</v>
      </c>
      <c r="B447" s="4">
        <v>43236</v>
      </c>
      <c r="C447" s="5">
        <v>18</v>
      </c>
      <c r="D447" s="5" t="s">
        <v>36</v>
      </c>
      <c r="E447" s="5" t="s">
        <v>43</v>
      </c>
      <c r="F447" s="5" t="s">
        <v>17</v>
      </c>
      <c r="G447" s="5" t="s">
        <v>12</v>
      </c>
      <c r="H447" s="5">
        <v>6900</v>
      </c>
      <c r="I447" s="5">
        <v>7</v>
      </c>
      <c r="J447" s="9">
        <v>48300</v>
      </c>
    </row>
    <row r="448" spans="1:10" x14ac:dyDescent="0.3">
      <c r="A448" s="3" t="s">
        <v>513</v>
      </c>
      <c r="B448" s="4">
        <v>43236</v>
      </c>
      <c r="C448" s="5">
        <v>16</v>
      </c>
      <c r="D448" s="5" t="s">
        <v>34</v>
      </c>
      <c r="E448" s="5" t="s">
        <v>43</v>
      </c>
      <c r="F448" s="5" t="s">
        <v>17</v>
      </c>
      <c r="G448" s="5" t="s">
        <v>10</v>
      </c>
      <c r="H448" s="5">
        <v>39900</v>
      </c>
      <c r="I448" s="5">
        <v>5</v>
      </c>
      <c r="J448" s="9">
        <v>199500</v>
      </c>
    </row>
    <row r="449" spans="1:10" x14ac:dyDescent="0.3">
      <c r="A449" s="3" t="s">
        <v>514</v>
      </c>
      <c r="B449" s="4">
        <v>43236</v>
      </c>
      <c r="C449" s="5">
        <v>10</v>
      </c>
      <c r="D449" s="5" t="s">
        <v>28</v>
      </c>
      <c r="E449" s="5" t="s">
        <v>41</v>
      </c>
      <c r="F449" s="5" t="s">
        <v>15</v>
      </c>
      <c r="G449" s="5" t="s">
        <v>14</v>
      </c>
      <c r="H449" s="5">
        <v>15900</v>
      </c>
      <c r="I449" s="5">
        <v>1</v>
      </c>
      <c r="J449" s="9">
        <v>15900</v>
      </c>
    </row>
    <row r="450" spans="1:10" x14ac:dyDescent="0.3">
      <c r="A450" s="3" t="s">
        <v>515</v>
      </c>
      <c r="B450" s="4">
        <v>43236</v>
      </c>
      <c r="C450" s="5">
        <v>10</v>
      </c>
      <c r="D450" s="5" t="s">
        <v>28</v>
      </c>
      <c r="E450" s="5" t="s">
        <v>41</v>
      </c>
      <c r="F450" s="5" t="s">
        <v>15</v>
      </c>
      <c r="G450" s="5" t="s">
        <v>13</v>
      </c>
      <c r="H450" s="5">
        <v>28900</v>
      </c>
      <c r="I450" s="5">
        <v>6</v>
      </c>
      <c r="J450" s="9">
        <v>173400</v>
      </c>
    </row>
    <row r="451" spans="1:10" x14ac:dyDescent="0.3">
      <c r="A451" s="3" t="s">
        <v>516</v>
      </c>
      <c r="B451" s="4">
        <v>43236</v>
      </c>
      <c r="C451" s="5">
        <v>5</v>
      </c>
      <c r="D451" s="5" t="s">
        <v>23</v>
      </c>
      <c r="E451" s="5" t="s">
        <v>46</v>
      </c>
      <c r="F451" s="5" t="s">
        <v>18</v>
      </c>
      <c r="G451" s="5" t="s">
        <v>13</v>
      </c>
      <c r="H451" s="5">
        <v>28900</v>
      </c>
      <c r="I451" s="5">
        <v>8</v>
      </c>
      <c r="J451" s="9">
        <v>231200</v>
      </c>
    </row>
    <row r="452" spans="1:10" x14ac:dyDescent="0.3">
      <c r="A452" s="3" t="s">
        <v>517</v>
      </c>
      <c r="B452" s="4">
        <v>43236</v>
      </c>
      <c r="C452" s="5">
        <v>10</v>
      </c>
      <c r="D452" s="5" t="s">
        <v>28</v>
      </c>
      <c r="E452" s="5" t="s">
        <v>41</v>
      </c>
      <c r="F452" s="5" t="s">
        <v>15</v>
      </c>
      <c r="G452" s="5" t="s">
        <v>12</v>
      </c>
      <c r="H452" s="5">
        <v>6900</v>
      </c>
      <c r="I452" s="5">
        <v>7</v>
      </c>
      <c r="J452" s="9">
        <v>48300</v>
      </c>
    </row>
    <row r="453" spans="1:10" x14ac:dyDescent="0.3">
      <c r="A453" s="3" t="s">
        <v>518</v>
      </c>
      <c r="B453" s="4">
        <v>43236</v>
      </c>
      <c r="C453" s="5">
        <v>7</v>
      </c>
      <c r="D453" s="5" t="s">
        <v>25</v>
      </c>
      <c r="E453" s="5" t="s">
        <v>44</v>
      </c>
      <c r="F453" s="5" t="s">
        <v>15</v>
      </c>
      <c r="G453" s="5" t="s">
        <v>12</v>
      </c>
      <c r="H453" s="5">
        <v>6900</v>
      </c>
      <c r="I453" s="5">
        <v>3</v>
      </c>
      <c r="J453" s="9">
        <v>20700</v>
      </c>
    </row>
    <row r="454" spans="1:10" x14ac:dyDescent="0.3">
      <c r="A454" s="3" t="s">
        <v>519</v>
      </c>
      <c r="B454" s="4">
        <v>43236</v>
      </c>
      <c r="C454" s="5">
        <v>6</v>
      </c>
      <c r="D454" s="5" t="s">
        <v>24</v>
      </c>
      <c r="E454" s="5" t="s">
        <v>44</v>
      </c>
      <c r="F454" s="5" t="s">
        <v>15</v>
      </c>
      <c r="G454" s="5" t="s">
        <v>10</v>
      </c>
      <c r="H454" s="5">
        <v>39900</v>
      </c>
      <c r="I454" s="5">
        <v>3</v>
      </c>
      <c r="J454" s="9">
        <v>119700</v>
      </c>
    </row>
    <row r="455" spans="1:10" x14ac:dyDescent="0.3">
      <c r="A455" s="3" t="s">
        <v>520</v>
      </c>
      <c r="B455" s="4">
        <v>43236</v>
      </c>
      <c r="C455" s="5">
        <v>13</v>
      </c>
      <c r="D455" s="5" t="s">
        <v>31</v>
      </c>
      <c r="E455" s="5" t="s">
        <v>39</v>
      </c>
      <c r="F455" s="5" t="s">
        <v>16</v>
      </c>
      <c r="G455" s="5" t="s">
        <v>14</v>
      </c>
      <c r="H455" s="5">
        <v>15900</v>
      </c>
      <c r="I455" s="5">
        <v>8</v>
      </c>
      <c r="J455" s="9">
        <v>127200</v>
      </c>
    </row>
    <row r="456" spans="1:10" x14ac:dyDescent="0.3">
      <c r="A456" s="3" t="s">
        <v>521</v>
      </c>
      <c r="B456" s="4">
        <v>43237</v>
      </c>
      <c r="C456" s="5">
        <v>14</v>
      </c>
      <c r="D456" s="5" t="s">
        <v>32</v>
      </c>
      <c r="E456" s="5" t="s">
        <v>45</v>
      </c>
      <c r="F456" s="5" t="s">
        <v>16</v>
      </c>
      <c r="G456" s="5" t="s">
        <v>12</v>
      </c>
      <c r="H456" s="5">
        <v>6900</v>
      </c>
      <c r="I456" s="5">
        <v>9</v>
      </c>
      <c r="J456" s="9">
        <v>62100</v>
      </c>
    </row>
    <row r="457" spans="1:10" x14ac:dyDescent="0.3">
      <c r="A457" s="3" t="s">
        <v>522</v>
      </c>
      <c r="B457" s="4">
        <v>43237</v>
      </c>
      <c r="C457" s="5">
        <v>3</v>
      </c>
      <c r="D457" s="5" t="s">
        <v>21</v>
      </c>
      <c r="E457" s="5" t="s">
        <v>40</v>
      </c>
      <c r="F457" s="5" t="s">
        <v>18</v>
      </c>
      <c r="G457" s="5" t="s">
        <v>10</v>
      </c>
      <c r="H457" s="5">
        <v>39900</v>
      </c>
      <c r="I457" s="5">
        <v>7</v>
      </c>
      <c r="J457" s="9">
        <v>279300</v>
      </c>
    </row>
    <row r="458" spans="1:10" x14ac:dyDescent="0.3">
      <c r="A458" s="3" t="s">
        <v>523</v>
      </c>
      <c r="B458" s="4">
        <v>43237</v>
      </c>
      <c r="C458" s="5">
        <v>3</v>
      </c>
      <c r="D458" s="5" t="s">
        <v>21</v>
      </c>
      <c r="E458" s="5" t="s">
        <v>40</v>
      </c>
      <c r="F458" s="5" t="s">
        <v>18</v>
      </c>
      <c r="G458" s="5" t="s">
        <v>14</v>
      </c>
      <c r="H458" s="5">
        <v>15900</v>
      </c>
      <c r="I458" s="5">
        <v>9</v>
      </c>
      <c r="J458" s="9">
        <v>143100</v>
      </c>
    </row>
    <row r="459" spans="1:10" x14ac:dyDescent="0.3">
      <c r="A459" s="3" t="s">
        <v>524</v>
      </c>
      <c r="B459" s="4">
        <v>43237</v>
      </c>
      <c r="C459" s="5">
        <v>12</v>
      </c>
      <c r="D459" s="5" t="s">
        <v>30</v>
      </c>
      <c r="E459" s="5" t="s">
        <v>45</v>
      </c>
      <c r="F459" s="5" t="s">
        <v>16</v>
      </c>
      <c r="G459" s="5" t="s">
        <v>11</v>
      </c>
      <c r="H459" s="5">
        <v>19900</v>
      </c>
      <c r="I459" s="5">
        <v>3</v>
      </c>
      <c r="J459" s="9">
        <v>59700</v>
      </c>
    </row>
    <row r="460" spans="1:10" x14ac:dyDescent="0.3">
      <c r="A460" s="3" t="s">
        <v>525</v>
      </c>
      <c r="B460" s="4">
        <v>43237</v>
      </c>
      <c r="C460" s="5">
        <v>5</v>
      </c>
      <c r="D460" s="5" t="s">
        <v>23</v>
      </c>
      <c r="E460" s="5" t="s">
        <v>46</v>
      </c>
      <c r="F460" s="5" t="s">
        <v>18</v>
      </c>
      <c r="G460" s="5" t="s">
        <v>14</v>
      </c>
      <c r="H460" s="5">
        <v>15900</v>
      </c>
      <c r="I460" s="5">
        <v>1</v>
      </c>
      <c r="J460" s="9">
        <v>15900</v>
      </c>
    </row>
    <row r="461" spans="1:10" x14ac:dyDescent="0.3">
      <c r="A461" s="3" t="s">
        <v>526</v>
      </c>
      <c r="B461" s="4">
        <v>43238</v>
      </c>
      <c r="C461" s="5">
        <v>11</v>
      </c>
      <c r="D461" s="5" t="s">
        <v>29</v>
      </c>
      <c r="E461" s="5" t="s">
        <v>45</v>
      </c>
      <c r="F461" s="5" t="s">
        <v>16</v>
      </c>
      <c r="G461" s="5" t="s">
        <v>14</v>
      </c>
      <c r="H461" s="5">
        <v>15900</v>
      </c>
      <c r="I461" s="5">
        <v>4</v>
      </c>
      <c r="J461" s="9">
        <v>63600</v>
      </c>
    </row>
    <row r="462" spans="1:10" x14ac:dyDescent="0.3">
      <c r="A462" s="3" t="s">
        <v>527</v>
      </c>
      <c r="B462" s="4">
        <v>43238</v>
      </c>
      <c r="C462" s="5">
        <v>7</v>
      </c>
      <c r="D462" s="5" t="s">
        <v>25</v>
      </c>
      <c r="E462" s="5" t="s">
        <v>44</v>
      </c>
      <c r="F462" s="5" t="s">
        <v>15</v>
      </c>
      <c r="G462" s="5" t="s">
        <v>10</v>
      </c>
      <c r="H462" s="5">
        <v>39900</v>
      </c>
      <c r="I462" s="5">
        <v>0</v>
      </c>
      <c r="J462" s="9">
        <v>0</v>
      </c>
    </row>
    <row r="463" spans="1:10" x14ac:dyDescent="0.3">
      <c r="A463" s="3" t="s">
        <v>528</v>
      </c>
      <c r="B463" s="4">
        <v>43238</v>
      </c>
      <c r="C463" s="5">
        <v>1</v>
      </c>
      <c r="D463" s="5" t="s">
        <v>19</v>
      </c>
      <c r="E463" s="5" t="s">
        <v>40</v>
      </c>
      <c r="F463" s="5" t="s">
        <v>18</v>
      </c>
      <c r="G463" s="5" t="s">
        <v>10</v>
      </c>
      <c r="H463" s="5">
        <v>39900</v>
      </c>
      <c r="I463" s="5">
        <v>3</v>
      </c>
      <c r="J463" s="9">
        <v>119700</v>
      </c>
    </row>
    <row r="464" spans="1:10" x14ac:dyDescent="0.3">
      <c r="A464" s="3" t="s">
        <v>529</v>
      </c>
      <c r="B464" s="4">
        <v>43239</v>
      </c>
      <c r="C464" s="5">
        <v>10</v>
      </c>
      <c r="D464" s="5" t="s">
        <v>28</v>
      </c>
      <c r="E464" s="5" t="s">
        <v>41</v>
      </c>
      <c r="F464" s="5" t="s">
        <v>15</v>
      </c>
      <c r="G464" s="5" t="s">
        <v>10</v>
      </c>
      <c r="H464" s="5">
        <v>39900</v>
      </c>
      <c r="I464" s="5">
        <v>9</v>
      </c>
      <c r="J464" s="9">
        <v>359100</v>
      </c>
    </row>
    <row r="465" spans="1:10" x14ac:dyDescent="0.3">
      <c r="A465" s="3" t="s">
        <v>530</v>
      </c>
      <c r="B465" s="4">
        <v>43239</v>
      </c>
      <c r="C465" s="5">
        <v>4</v>
      </c>
      <c r="D465" s="5" t="s">
        <v>22</v>
      </c>
      <c r="E465" s="5" t="s">
        <v>46</v>
      </c>
      <c r="F465" s="5" t="s">
        <v>18</v>
      </c>
      <c r="G465" s="5" t="s">
        <v>13</v>
      </c>
      <c r="H465" s="5">
        <v>28900</v>
      </c>
      <c r="I465" s="5">
        <v>2</v>
      </c>
      <c r="J465" s="9">
        <v>57800</v>
      </c>
    </row>
    <row r="466" spans="1:10" x14ac:dyDescent="0.3">
      <c r="A466" s="3" t="s">
        <v>531</v>
      </c>
      <c r="B466" s="4">
        <v>43239</v>
      </c>
      <c r="C466" s="5">
        <v>11</v>
      </c>
      <c r="D466" s="5" t="s">
        <v>29</v>
      </c>
      <c r="E466" s="5" t="s">
        <v>45</v>
      </c>
      <c r="F466" s="5" t="s">
        <v>16</v>
      </c>
      <c r="G466" s="5" t="s">
        <v>14</v>
      </c>
      <c r="H466" s="5">
        <v>15900</v>
      </c>
      <c r="I466" s="5">
        <v>9</v>
      </c>
      <c r="J466" s="9">
        <v>143100</v>
      </c>
    </row>
    <row r="467" spans="1:10" x14ac:dyDescent="0.3">
      <c r="A467" s="3" t="s">
        <v>532</v>
      </c>
      <c r="B467" s="4">
        <v>43239</v>
      </c>
      <c r="C467" s="5">
        <v>2</v>
      </c>
      <c r="D467" s="5" t="s">
        <v>20</v>
      </c>
      <c r="E467" s="5" t="s">
        <v>40</v>
      </c>
      <c r="F467" s="5" t="s">
        <v>18</v>
      </c>
      <c r="G467" s="5" t="s">
        <v>14</v>
      </c>
      <c r="H467" s="5">
        <v>15900</v>
      </c>
      <c r="I467" s="5">
        <v>3</v>
      </c>
      <c r="J467" s="9">
        <v>47700</v>
      </c>
    </row>
    <row r="468" spans="1:10" x14ac:dyDescent="0.3">
      <c r="A468" s="3" t="s">
        <v>533</v>
      </c>
      <c r="B468" s="4">
        <v>43239</v>
      </c>
      <c r="C468" s="5">
        <v>4</v>
      </c>
      <c r="D468" s="5" t="s">
        <v>22</v>
      </c>
      <c r="E468" s="5" t="s">
        <v>40</v>
      </c>
      <c r="F468" s="5" t="s">
        <v>18</v>
      </c>
      <c r="G468" s="5" t="s">
        <v>11</v>
      </c>
      <c r="H468" s="5">
        <v>19900</v>
      </c>
      <c r="I468" s="5">
        <v>0</v>
      </c>
      <c r="J468" s="9">
        <v>0</v>
      </c>
    </row>
    <row r="469" spans="1:10" x14ac:dyDescent="0.3">
      <c r="A469" s="3" t="s">
        <v>534</v>
      </c>
      <c r="B469" s="4">
        <v>43239</v>
      </c>
      <c r="C469" s="5">
        <v>18</v>
      </c>
      <c r="D469" s="5" t="s">
        <v>36</v>
      </c>
      <c r="E469" s="5" t="s">
        <v>43</v>
      </c>
      <c r="F469" s="5" t="s">
        <v>17</v>
      </c>
      <c r="G469" s="5" t="s">
        <v>14</v>
      </c>
      <c r="H469" s="5">
        <v>15900</v>
      </c>
      <c r="I469" s="5">
        <v>9</v>
      </c>
      <c r="J469" s="9">
        <v>143100</v>
      </c>
    </row>
    <row r="470" spans="1:10" x14ac:dyDescent="0.3">
      <c r="A470" s="3" t="s">
        <v>535</v>
      </c>
      <c r="B470" s="4">
        <v>43240</v>
      </c>
      <c r="C470" s="5">
        <v>2</v>
      </c>
      <c r="D470" s="5" t="s">
        <v>20</v>
      </c>
      <c r="E470" s="5" t="s">
        <v>40</v>
      </c>
      <c r="F470" s="5" t="s">
        <v>18</v>
      </c>
      <c r="G470" s="5" t="s">
        <v>13</v>
      </c>
      <c r="H470" s="5">
        <v>28900</v>
      </c>
      <c r="I470" s="5">
        <v>1</v>
      </c>
      <c r="J470" s="9">
        <v>28900</v>
      </c>
    </row>
    <row r="471" spans="1:10" x14ac:dyDescent="0.3">
      <c r="A471" s="3" t="s">
        <v>536</v>
      </c>
      <c r="B471" s="4">
        <v>43240</v>
      </c>
      <c r="C471" s="5">
        <v>14</v>
      </c>
      <c r="D471" s="5" t="s">
        <v>32</v>
      </c>
      <c r="E471" s="5" t="s">
        <v>39</v>
      </c>
      <c r="F471" s="5" t="s">
        <v>16</v>
      </c>
      <c r="G471" s="5" t="s">
        <v>10</v>
      </c>
      <c r="H471" s="5">
        <v>39900</v>
      </c>
      <c r="I471" s="5">
        <v>9</v>
      </c>
      <c r="J471" s="9">
        <v>359100</v>
      </c>
    </row>
    <row r="472" spans="1:10" x14ac:dyDescent="0.3">
      <c r="A472" s="3" t="s">
        <v>537</v>
      </c>
      <c r="B472" s="4">
        <v>43241</v>
      </c>
      <c r="C472" s="5">
        <v>5</v>
      </c>
      <c r="D472" s="5" t="s">
        <v>23</v>
      </c>
      <c r="E472" s="5" t="s">
        <v>46</v>
      </c>
      <c r="F472" s="5" t="s">
        <v>18</v>
      </c>
      <c r="G472" s="5" t="s">
        <v>13</v>
      </c>
      <c r="H472" s="5">
        <v>28900</v>
      </c>
      <c r="I472" s="5">
        <v>4</v>
      </c>
      <c r="J472" s="9">
        <v>115600</v>
      </c>
    </row>
    <row r="473" spans="1:10" x14ac:dyDescent="0.3">
      <c r="A473" s="3" t="s">
        <v>538</v>
      </c>
      <c r="B473" s="4">
        <v>43242</v>
      </c>
      <c r="C473" s="5">
        <v>5</v>
      </c>
      <c r="D473" s="5" t="s">
        <v>23</v>
      </c>
      <c r="E473" s="5" t="s">
        <v>40</v>
      </c>
      <c r="F473" s="5" t="s">
        <v>18</v>
      </c>
      <c r="G473" s="5" t="s">
        <v>10</v>
      </c>
      <c r="H473" s="5">
        <v>39900</v>
      </c>
      <c r="I473" s="5">
        <v>3</v>
      </c>
      <c r="J473" s="9">
        <v>119700</v>
      </c>
    </row>
    <row r="474" spans="1:10" x14ac:dyDescent="0.3">
      <c r="A474" s="3" t="s">
        <v>539</v>
      </c>
      <c r="B474" s="4">
        <v>43243</v>
      </c>
      <c r="C474" s="5">
        <v>13</v>
      </c>
      <c r="D474" s="5" t="s">
        <v>31</v>
      </c>
      <c r="E474" s="5" t="s">
        <v>39</v>
      </c>
      <c r="F474" s="5" t="s">
        <v>16</v>
      </c>
      <c r="G474" s="5" t="s">
        <v>13</v>
      </c>
      <c r="H474" s="5">
        <v>28900</v>
      </c>
      <c r="I474" s="5">
        <v>8</v>
      </c>
      <c r="J474" s="9">
        <v>231200</v>
      </c>
    </row>
    <row r="475" spans="1:10" x14ac:dyDescent="0.3">
      <c r="A475" s="3" t="s">
        <v>540</v>
      </c>
      <c r="B475" s="4">
        <v>43243</v>
      </c>
      <c r="C475" s="5">
        <v>18</v>
      </c>
      <c r="D475" s="5" t="s">
        <v>36</v>
      </c>
      <c r="E475" s="5" t="s">
        <v>43</v>
      </c>
      <c r="F475" s="5" t="s">
        <v>17</v>
      </c>
      <c r="G475" s="5" t="s">
        <v>10</v>
      </c>
      <c r="H475" s="5">
        <v>39900</v>
      </c>
      <c r="I475" s="5">
        <v>3</v>
      </c>
      <c r="J475" s="9">
        <v>119700</v>
      </c>
    </row>
    <row r="476" spans="1:10" x14ac:dyDescent="0.3">
      <c r="A476" s="3" t="s">
        <v>541</v>
      </c>
      <c r="B476" s="4">
        <v>43243</v>
      </c>
      <c r="C476" s="5">
        <v>13</v>
      </c>
      <c r="D476" s="5" t="s">
        <v>31</v>
      </c>
      <c r="E476" s="5" t="s">
        <v>39</v>
      </c>
      <c r="F476" s="5" t="s">
        <v>16</v>
      </c>
      <c r="G476" s="5" t="s">
        <v>11</v>
      </c>
      <c r="H476" s="5">
        <v>19900</v>
      </c>
      <c r="I476" s="5">
        <v>2</v>
      </c>
      <c r="J476" s="9">
        <v>39800</v>
      </c>
    </row>
    <row r="477" spans="1:10" x14ac:dyDescent="0.3">
      <c r="A477" s="3" t="s">
        <v>542</v>
      </c>
      <c r="B477" s="4">
        <v>43243</v>
      </c>
      <c r="C477" s="5">
        <v>8</v>
      </c>
      <c r="D477" s="5" t="s">
        <v>26</v>
      </c>
      <c r="E477" s="5" t="s">
        <v>41</v>
      </c>
      <c r="F477" s="5" t="s">
        <v>15</v>
      </c>
      <c r="G477" s="5" t="s">
        <v>14</v>
      </c>
      <c r="H477" s="5">
        <v>15900</v>
      </c>
      <c r="I477" s="5">
        <v>3</v>
      </c>
      <c r="J477" s="9">
        <v>47700</v>
      </c>
    </row>
    <row r="478" spans="1:10" x14ac:dyDescent="0.3">
      <c r="A478" s="3" t="s">
        <v>543</v>
      </c>
      <c r="B478" s="4">
        <v>43243</v>
      </c>
      <c r="C478" s="5">
        <v>7</v>
      </c>
      <c r="D478" s="5" t="s">
        <v>25</v>
      </c>
      <c r="E478" s="5" t="s">
        <v>41</v>
      </c>
      <c r="F478" s="5" t="s">
        <v>15</v>
      </c>
      <c r="G478" s="5" t="s">
        <v>13</v>
      </c>
      <c r="H478" s="5">
        <v>28900</v>
      </c>
      <c r="I478" s="5">
        <v>5</v>
      </c>
      <c r="J478" s="9">
        <v>144500</v>
      </c>
    </row>
    <row r="479" spans="1:10" x14ac:dyDescent="0.3">
      <c r="A479" s="3" t="s">
        <v>544</v>
      </c>
      <c r="B479" s="4">
        <v>43243</v>
      </c>
      <c r="C479" s="5">
        <v>6</v>
      </c>
      <c r="D479" s="5" t="s">
        <v>24</v>
      </c>
      <c r="E479" s="5" t="s">
        <v>41</v>
      </c>
      <c r="F479" s="5" t="s">
        <v>15</v>
      </c>
      <c r="G479" s="5" t="s">
        <v>14</v>
      </c>
      <c r="H479" s="5">
        <v>15900</v>
      </c>
      <c r="I479" s="5">
        <v>3</v>
      </c>
      <c r="J479" s="9">
        <v>47700</v>
      </c>
    </row>
    <row r="480" spans="1:10" x14ac:dyDescent="0.3">
      <c r="A480" s="3" t="s">
        <v>545</v>
      </c>
      <c r="B480" s="4">
        <v>43243</v>
      </c>
      <c r="C480" s="5">
        <v>7</v>
      </c>
      <c r="D480" s="5" t="s">
        <v>25</v>
      </c>
      <c r="E480" s="5" t="s">
        <v>41</v>
      </c>
      <c r="F480" s="5" t="s">
        <v>15</v>
      </c>
      <c r="G480" s="5" t="s">
        <v>14</v>
      </c>
      <c r="H480" s="5">
        <v>15900</v>
      </c>
      <c r="I480" s="5">
        <v>2</v>
      </c>
      <c r="J480" s="9">
        <v>31800</v>
      </c>
    </row>
    <row r="481" spans="1:10" x14ac:dyDescent="0.3">
      <c r="A481" s="3" t="s">
        <v>546</v>
      </c>
      <c r="B481" s="4">
        <v>43243</v>
      </c>
      <c r="C481" s="5">
        <v>18</v>
      </c>
      <c r="D481" s="5" t="s">
        <v>36</v>
      </c>
      <c r="E481" s="5" t="s">
        <v>42</v>
      </c>
      <c r="F481" s="5" t="s">
        <v>17</v>
      </c>
      <c r="G481" s="5" t="s">
        <v>12</v>
      </c>
      <c r="H481" s="5">
        <v>6900</v>
      </c>
      <c r="I481" s="5">
        <v>9</v>
      </c>
      <c r="J481" s="9">
        <v>62100</v>
      </c>
    </row>
    <row r="482" spans="1:10" x14ac:dyDescent="0.3">
      <c r="A482" s="3" t="s">
        <v>547</v>
      </c>
      <c r="B482" s="4">
        <v>43244</v>
      </c>
      <c r="C482" s="5">
        <v>17</v>
      </c>
      <c r="D482" s="5" t="s">
        <v>35</v>
      </c>
      <c r="E482" s="5" t="s">
        <v>42</v>
      </c>
      <c r="F482" s="5" t="s">
        <v>17</v>
      </c>
      <c r="G482" s="5" t="s">
        <v>13</v>
      </c>
      <c r="H482" s="5">
        <v>28900</v>
      </c>
      <c r="I482" s="5">
        <v>3</v>
      </c>
      <c r="J482" s="9">
        <v>86700</v>
      </c>
    </row>
    <row r="483" spans="1:10" x14ac:dyDescent="0.3">
      <c r="A483" s="3" t="s">
        <v>548</v>
      </c>
      <c r="B483" s="4">
        <v>43244</v>
      </c>
      <c r="C483" s="5">
        <v>11</v>
      </c>
      <c r="D483" s="5" t="s">
        <v>29</v>
      </c>
      <c r="E483" s="5" t="s">
        <v>39</v>
      </c>
      <c r="F483" s="5" t="s">
        <v>16</v>
      </c>
      <c r="G483" s="5" t="s">
        <v>12</v>
      </c>
      <c r="H483" s="5">
        <v>6900</v>
      </c>
      <c r="I483" s="5">
        <v>6</v>
      </c>
      <c r="J483" s="9">
        <v>41400</v>
      </c>
    </row>
    <row r="484" spans="1:10" x14ac:dyDescent="0.3">
      <c r="A484" s="3" t="s">
        <v>549</v>
      </c>
      <c r="B484" s="4">
        <v>43244</v>
      </c>
      <c r="C484" s="5">
        <v>16</v>
      </c>
      <c r="D484" s="5" t="s">
        <v>34</v>
      </c>
      <c r="E484" s="5" t="s">
        <v>42</v>
      </c>
      <c r="F484" s="5" t="s">
        <v>17</v>
      </c>
      <c r="G484" s="5" t="s">
        <v>12</v>
      </c>
      <c r="H484" s="5">
        <v>6900</v>
      </c>
      <c r="I484" s="5">
        <v>6</v>
      </c>
      <c r="J484" s="9">
        <v>41400</v>
      </c>
    </row>
    <row r="485" spans="1:10" x14ac:dyDescent="0.3">
      <c r="A485" s="3" t="s">
        <v>550</v>
      </c>
      <c r="B485" s="4">
        <v>43244</v>
      </c>
      <c r="C485" s="5">
        <v>4</v>
      </c>
      <c r="D485" s="5" t="s">
        <v>22</v>
      </c>
      <c r="E485" s="5" t="s">
        <v>46</v>
      </c>
      <c r="F485" s="5" t="s">
        <v>18</v>
      </c>
      <c r="G485" s="5" t="s">
        <v>11</v>
      </c>
      <c r="H485" s="5">
        <v>19900</v>
      </c>
      <c r="I485" s="5">
        <v>4</v>
      </c>
      <c r="J485" s="9">
        <v>79600</v>
      </c>
    </row>
    <row r="486" spans="1:10" x14ac:dyDescent="0.3">
      <c r="A486" s="3" t="s">
        <v>551</v>
      </c>
      <c r="B486" s="4">
        <v>43245</v>
      </c>
      <c r="C486" s="5">
        <v>16</v>
      </c>
      <c r="D486" s="5" t="s">
        <v>34</v>
      </c>
      <c r="E486" s="5" t="s">
        <v>42</v>
      </c>
      <c r="F486" s="5" t="s">
        <v>17</v>
      </c>
      <c r="G486" s="5" t="s">
        <v>11</v>
      </c>
      <c r="H486" s="5">
        <v>19900</v>
      </c>
      <c r="I486" s="5">
        <v>7</v>
      </c>
      <c r="J486" s="9">
        <v>139300</v>
      </c>
    </row>
    <row r="487" spans="1:10" x14ac:dyDescent="0.3">
      <c r="A487" s="3" t="s">
        <v>552</v>
      </c>
      <c r="B487" s="4">
        <v>43245</v>
      </c>
      <c r="C487" s="5">
        <v>8</v>
      </c>
      <c r="D487" s="5" t="s">
        <v>26</v>
      </c>
      <c r="E487" s="5" t="s">
        <v>41</v>
      </c>
      <c r="F487" s="5" t="s">
        <v>15</v>
      </c>
      <c r="G487" s="5" t="s">
        <v>14</v>
      </c>
      <c r="H487" s="5">
        <v>15900</v>
      </c>
      <c r="I487" s="5">
        <v>4</v>
      </c>
      <c r="J487" s="9">
        <v>63600</v>
      </c>
    </row>
    <row r="488" spans="1:10" x14ac:dyDescent="0.3">
      <c r="A488" s="3" t="s">
        <v>553</v>
      </c>
      <c r="B488" s="4">
        <v>43245</v>
      </c>
      <c r="C488" s="5">
        <v>4</v>
      </c>
      <c r="D488" s="5" t="s">
        <v>22</v>
      </c>
      <c r="E488" s="5" t="s">
        <v>46</v>
      </c>
      <c r="F488" s="5" t="s">
        <v>18</v>
      </c>
      <c r="G488" s="5" t="s">
        <v>13</v>
      </c>
      <c r="H488" s="5">
        <v>28900</v>
      </c>
      <c r="I488" s="5">
        <v>4</v>
      </c>
      <c r="J488" s="9">
        <v>115600</v>
      </c>
    </row>
    <row r="489" spans="1:10" x14ac:dyDescent="0.3">
      <c r="A489" s="3" t="s">
        <v>554</v>
      </c>
      <c r="B489" s="4">
        <v>43245</v>
      </c>
      <c r="C489" s="5">
        <v>20</v>
      </c>
      <c r="D489" s="5" t="s">
        <v>38</v>
      </c>
      <c r="E489" s="5" t="s">
        <v>42</v>
      </c>
      <c r="F489" s="5" t="s">
        <v>17</v>
      </c>
      <c r="G489" s="5" t="s">
        <v>14</v>
      </c>
      <c r="H489" s="5">
        <v>15900</v>
      </c>
      <c r="I489" s="5">
        <v>2</v>
      </c>
      <c r="J489" s="9">
        <v>31800</v>
      </c>
    </row>
    <row r="490" spans="1:10" x14ac:dyDescent="0.3">
      <c r="A490" s="3" t="s">
        <v>555</v>
      </c>
      <c r="B490" s="4">
        <v>43245</v>
      </c>
      <c r="C490" s="5">
        <v>13</v>
      </c>
      <c r="D490" s="5" t="s">
        <v>31</v>
      </c>
      <c r="E490" s="5" t="s">
        <v>39</v>
      </c>
      <c r="F490" s="5" t="s">
        <v>16</v>
      </c>
      <c r="G490" s="5" t="s">
        <v>14</v>
      </c>
      <c r="H490" s="5">
        <v>15900</v>
      </c>
      <c r="I490" s="5">
        <v>7</v>
      </c>
      <c r="J490" s="9">
        <v>111300</v>
      </c>
    </row>
    <row r="491" spans="1:10" x14ac:dyDescent="0.3">
      <c r="A491" s="3" t="s">
        <v>556</v>
      </c>
      <c r="B491" s="4">
        <v>43245</v>
      </c>
      <c r="C491" s="5">
        <v>13</v>
      </c>
      <c r="D491" s="5" t="s">
        <v>31</v>
      </c>
      <c r="E491" s="5" t="s">
        <v>39</v>
      </c>
      <c r="F491" s="5" t="s">
        <v>16</v>
      </c>
      <c r="G491" s="5" t="s">
        <v>14</v>
      </c>
      <c r="H491" s="5">
        <v>15900</v>
      </c>
      <c r="I491" s="5">
        <v>4</v>
      </c>
      <c r="J491" s="9">
        <v>63600</v>
      </c>
    </row>
    <row r="492" spans="1:10" x14ac:dyDescent="0.3">
      <c r="A492" s="3" t="s">
        <v>557</v>
      </c>
      <c r="B492" s="4">
        <v>43245</v>
      </c>
      <c r="C492" s="5">
        <v>17</v>
      </c>
      <c r="D492" s="5" t="s">
        <v>35</v>
      </c>
      <c r="E492" s="5" t="s">
        <v>43</v>
      </c>
      <c r="F492" s="5" t="s">
        <v>17</v>
      </c>
      <c r="G492" s="5" t="s">
        <v>12</v>
      </c>
      <c r="H492" s="5">
        <v>6900</v>
      </c>
      <c r="I492" s="5">
        <v>3</v>
      </c>
      <c r="J492" s="9">
        <v>20700</v>
      </c>
    </row>
    <row r="493" spans="1:10" x14ac:dyDescent="0.3">
      <c r="A493" s="3" t="s">
        <v>558</v>
      </c>
      <c r="B493" s="4">
        <v>43245</v>
      </c>
      <c r="C493" s="5">
        <v>3</v>
      </c>
      <c r="D493" s="5" t="s">
        <v>21</v>
      </c>
      <c r="E493" s="5" t="s">
        <v>40</v>
      </c>
      <c r="F493" s="5" t="s">
        <v>18</v>
      </c>
      <c r="G493" s="5" t="s">
        <v>13</v>
      </c>
      <c r="H493" s="5">
        <v>28900</v>
      </c>
      <c r="I493" s="5">
        <v>6</v>
      </c>
      <c r="J493" s="9">
        <v>173400</v>
      </c>
    </row>
    <row r="494" spans="1:10" x14ac:dyDescent="0.3">
      <c r="A494" s="3" t="s">
        <v>559</v>
      </c>
      <c r="B494" s="4">
        <v>43246</v>
      </c>
      <c r="C494" s="5">
        <v>9</v>
      </c>
      <c r="D494" s="5" t="s">
        <v>27</v>
      </c>
      <c r="E494" s="5" t="s">
        <v>44</v>
      </c>
      <c r="F494" s="5" t="s">
        <v>15</v>
      </c>
      <c r="G494" s="5" t="s">
        <v>10</v>
      </c>
      <c r="H494" s="5">
        <v>39900</v>
      </c>
      <c r="I494" s="5">
        <v>2</v>
      </c>
      <c r="J494" s="9">
        <v>79800</v>
      </c>
    </row>
    <row r="495" spans="1:10" x14ac:dyDescent="0.3">
      <c r="A495" s="3" t="s">
        <v>560</v>
      </c>
      <c r="B495" s="4">
        <v>43246</v>
      </c>
      <c r="C495" s="5">
        <v>16</v>
      </c>
      <c r="D495" s="5" t="s">
        <v>34</v>
      </c>
      <c r="E495" s="5" t="s">
        <v>43</v>
      </c>
      <c r="F495" s="5" t="s">
        <v>17</v>
      </c>
      <c r="G495" s="5" t="s">
        <v>14</v>
      </c>
      <c r="H495" s="5">
        <v>15900</v>
      </c>
      <c r="I495" s="5">
        <v>9</v>
      </c>
      <c r="J495" s="9">
        <v>143100</v>
      </c>
    </row>
    <row r="496" spans="1:10" x14ac:dyDescent="0.3">
      <c r="A496" s="3" t="s">
        <v>561</v>
      </c>
      <c r="B496" s="4">
        <v>43246</v>
      </c>
      <c r="C496" s="5">
        <v>13</v>
      </c>
      <c r="D496" s="5" t="s">
        <v>31</v>
      </c>
      <c r="E496" s="5" t="s">
        <v>39</v>
      </c>
      <c r="F496" s="5" t="s">
        <v>16</v>
      </c>
      <c r="G496" s="5" t="s">
        <v>11</v>
      </c>
      <c r="H496" s="5">
        <v>19900</v>
      </c>
      <c r="I496" s="5">
        <v>5</v>
      </c>
      <c r="J496" s="9">
        <v>99500</v>
      </c>
    </row>
    <row r="497" spans="1:10" x14ac:dyDescent="0.3">
      <c r="A497" s="3" t="s">
        <v>562</v>
      </c>
      <c r="B497" s="4">
        <v>43246</v>
      </c>
      <c r="C497" s="5">
        <v>9</v>
      </c>
      <c r="D497" s="5" t="s">
        <v>27</v>
      </c>
      <c r="E497" s="5" t="s">
        <v>41</v>
      </c>
      <c r="F497" s="5" t="s">
        <v>15</v>
      </c>
      <c r="G497" s="5" t="s">
        <v>13</v>
      </c>
      <c r="H497" s="5">
        <v>28900</v>
      </c>
      <c r="I497" s="5">
        <v>6</v>
      </c>
      <c r="J497" s="9">
        <v>173400</v>
      </c>
    </row>
    <row r="498" spans="1:10" x14ac:dyDescent="0.3">
      <c r="A498" s="3" t="s">
        <v>563</v>
      </c>
      <c r="B498" s="4">
        <v>43246</v>
      </c>
      <c r="C498" s="5">
        <v>4</v>
      </c>
      <c r="D498" s="5" t="s">
        <v>22</v>
      </c>
      <c r="E498" s="5" t="s">
        <v>46</v>
      </c>
      <c r="F498" s="5" t="s">
        <v>18</v>
      </c>
      <c r="G498" s="5" t="s">
        <v>13</v>
      </c>
      <c r="H498" s="5">
        <v>28900</v>
      </c>
      <c r="I498" s="5">
        <v>1</v>
      </c>
      <c r="J498" s="9">
        <v>28900</v>
      </c>
    </row>
    <row r="499" spans="1:10" x14ac:dyDescent="0.3">
      <c r="A499" s="3" t="s">
        <v>564</v>
      </c>
      <c r="B499" s="4">
        <v>43246</v>
      </c>
      <c r="C499" s="5">
        <v>8</v>
      </c>
      <c r="D499" s="5" t="s">
        <v>26</v>
      </c>
      <c r="E499" s="5" t="s">
        <v>44</v>
      </c>
      <c r="F499" s="5" t="s">
        <v>15</v>
      </c>
      <c r="G499" s="5" t="s">
        <v>12</v>
      </c>
      <c r="H499" s="5">
        <v>6900</v>
      </c>
      <c r="I499" s="5">
        <v>8</v>
      </c>
      <c r="J499" s="9">
        <v>55200</v>
      </c>
    </row>
    <row r="500" spans="1:10" x14ac:dyDescent="0.3">
      <c r="A500" s="3" t="s">
        <v>565</v>
      </c>
      <c r="B500" s="4">
        <v>43246</v>
      </c>
      <c r="C500" s="5">
        <v>18</v>
      </c>
      <c r="D500" s="5" t="s">
        <v>36</v>
      </c>
      <c r="E500" s="5" t="s">
        <v>42</v>
      </c>
      <c r="F500" s="5" t="s">
        <v>17</v>
      </c>
      <c r="G500" s="5" t="s">
        <v>11</v>
      </c>
      <c r="H500" s="5">
        <v>19900</v>
      </c>
      <c r="I500" s="5">
        <v>8</v>
      </c>
      <c r="J500" s="9">
        <v>159200</v>
      </c>
    </row>
    <row r="501" spans="1:10" x14ac:dyDescent="0.3">
      <c r="A501" s="3" t="s">
        <v>566</v>
      </c>
      <c r="B501" s="4">
        <v>43246</v>
      </c>
      <c r="C501" s="5">
        <v>4</v>
      </c>
      <c r="D501" s="5" t="s">
        <v>22</v>
      </c>
      <c r="E501" s="5" t="s">
        <v>40</v>
      </c>
      <c r="F501" s="5" t="s">
        <v>18</v>
      </c>
      <c r="G501" s="5" t="s">
        <v>13</v>
      </c>
      <c r="H501" s="5">
        <v>28900</v>
      </c>
      <c r="I501" s="5">
        <v>6</v>
      </c>
      <c r="J501" s="9">
        <v>173400</v>
      </c>
    </row>
    <row r="502" spans="1:10" x14ac:dyDescent="0.3">
      <c r="A502" s="3" t="s">
        <v>567</v>
      </c>
      <c r="B502" s="4">
        <v>43247</v>
      </c>
      <c r="C502" s="5">
        <v>2</v>
      </c>
      <c r="D502" s="5" t="s">
        <v>20</v>
      </c>
      <c r="E502" s="5" t="s">
        <v>40</v>
      </c>
      <c r="F502" s="5" t="s">
        <v>18</v>
      </c>
      <c r="G502" s="5" t="s">
        <v>11</v>
      </c>
      <c r="H502" s="5">
        <v>19900</v>
      </c>
      <c r="I502" s="5">
        <v>5</v>
      </c>
      <c r="J502" s="9">
        <v>99500</v>
      </c>
    </row>
    <row r="503" spans="1:10" x14ac:dyDescent="0.3">
      <c r="A503" s="3" t="s">
        <v>568</v>
      </c>
      <c r="B503" s="4">
        <v>43247</v>
      </c>
      <c r="C503" s="5">
        <v>2</v>
      </c>
      <c r="D503" s="5" t="s">
        <v>20</v>
      </c>
      <c r="E503" s="5" t="s">
        <v>40</v>
      </c>
      <c r="F503" s="5" t="s">
        <v>18</v>
      </c>
      <c r="G503" s="5" t="s">
        <v>11</v>
      </c>
      <c r="H503" s="5">
        <v>19900</v>
      </c>
      <c r="I503" s="5">
        <v>0</v>
      </c>
      <c r="J503" s="9">
        <v>0</v>
      </c>
    </row>
    <row r="504" spans="1:10" x14ac:dyDescent="0.3">
      <c r="A504" s="3" t="s">
        <v>569</v>
      </c>
      <c r="B504" s="4">
        <v>43247</v>
      </c>
      <c r="C504" s="5">
        <v>10</v>
      </c>
      <c r="D504" s="5" t="s">
        <v>28</v>
      </c>
      <c r="E504" s="5" t="s">
        <v>44</v>
      </c>
      <c r="F504" s="5" t="s">
        <v>15</v>
      </c>
      <c r="G504" s="5" t="s">
        <v>13</v>
      </c>
      <c r="H504" s="5">
        <v>28900</v>
      </c>
      <c r="I504" s="5">
        <v>8</v>
      </c>
      <c r="J504" s="9">
        <v>231200</v>
      </c>
    </row>
    <row r="505" spans="1:10" x14ac:dyDescent="0.3">
      <c r="A505" s="3" t="s">
        <v>570</v>
      </c>
      <c r="B505" s="4">
        <v>43248</v>
      </c>
      <c r="C505" s="5">
        <v>9</v>
      </c>
      <c r="D505" s="5" t="s">
        <v>27</v>
      </c>
      <c r="E505" s="5" t="s">
        <v>41</v>
      </c>
      <c r="F505" s="5" t="s">
        <v>15</v>
      </c>
      <c r="G505" s="5" t="s">
        <v>11</v>
      </c>
      <c r="H505" s="5">
        <v>19900</v>
      </c>
      <c r="I505" s="5">
        <v>6</v>
      </c>
      <c r="J505" s="9">
        <v>119400</v>
      </c>
    </row>
    <row r="506" spans="1:10" x14ac:dyDescent="0.3">
      <c r="A506" s="3" t="s">
        <v>571</v>
      </c>
      <c r="B506" s="4">
        <v>43249</v>
      </c>
      <c r="C506" s="5">
        <v>12</v>
      </c>
      <c r="D506" s="5" t="s">
        <v>30</v>
      </c>
      <c r="E506" s="5" t="s">
        <v>45</v>
      </c>
      <c r="F506" s="5" t="s">
        <v>16</v>
      </c>
      <c r="G506" s="5" t="s">
        <v>11</v>
      </c>
      <c r="H506" s="5">
        <v>19900</v>
      </c>
      <c r="I506" s="5">
        <v>2</v>
      </c>
      <c r="J506" s="9">
        <v>39800</v>
      </c>
    </row>
    <row r="507" spans="1:10" x14ac:dyDescent="0.3">
      <c r="A507" s="3" t="s">
        <v>572</v>
      </c>
      <c r="B507" s="4">
        <v>43249</v>
      </c>
      <c r="C507" s="5">
        <v>17</v>
      </c>
      <c r="D507" s="5" t="s">
        <v>35</v>
      </c>
      <c r="E507" s="5" t="s">
        <v>42</v>
      </c>
      <c r="F507" s="5" t="s">
        <v>17</v>
      </c>
      <c r="G507" s="5" t="s">
        <v>12</v>
      </c>
      <c r="H507" s="5">
        <v>6900</v>
      </c>
      <c r="I507" s="5">
        <v>4</v>
      </c>
      <c r="J507" s="9">
        <v>27600</v>
      </c>
    </row>
    <row r="508" spans="1:10" x14ac:dyDescent="0.3">
      <c r="A508" s="3" t="s">
        <v>573</v>
      </c>
      <c r="B508" s="4">
        <v>43249</v>
      </c>
      <c r="C508" s="5">
        <v>2</v>
      </c>
      <c r="D508" s="5" t="s">
        <v>20</v>
      </c>
      <c r="E508" s="5" t="s">
        <v>46</v>
      </c>
      <c r="F508" s="5" t="s">
        <v>18</v>
      </c>
      <c r="G508" s="5" t="s">
        <v>10</v>
      </c>
      <c r="H508" s="5">
        <v>39900</v>
      </c>
      <c r="I508" s="5">
        <v>9</v>
      </c>
      <c r="J508" s="9">
        <v>359100</v>
      </c>
    </row>
    <row r="509" spans="1:10" x14ac:dyDescent="0.3">
      <c r="A509" s="3" t="s">
        <v>574</v>
      </c>
      <c r="B509" s="4">
        <v>43249</v>
      </c>
      <c r="C509" s="5">
        <v>19</v>
      </c>
      <c r="D509" s="5" t="s">
        <v>37</v>
      </c>
      <c r="E509" s="5" t="s">
        <v>43</v>
      </c>
      <c r="F509" s="5" t="s">
        <v>17</v>
      </c>
      <c r="G509" s="5" t="s">
        <v>10</v>
      </c>
      <c r="H509" s="5">
        <v>39900</v>
      </c>
      <c r="I509" s="5">
        <v>6</v>
      </c>
      <c r="J509" s="9">
        <v>239400</v>
      </c>
    </row>
    <row r="510" spans="1:10" x14ac:dyDescent="0.3">
      <c r="A510" s="3" t="s">
        <v>575</v>
      </c>
      <c r="B510" s="4">
        <v>43250</v>
      </c>
      <c r="C510" s="5">
        <v>19</v>
      </c>
      <c r="D510" s="5" t="s">
        <v>37</v>
      </c>
      <c r="E510" s="5" t="s">
        <v>42</v>
      </c>
      <c r="F510" s="5" t="s">
        <v>17</v>
      </c>
      <c r="G510" s="5" t="s">
        <v>14</v>
      </c>
      <c r="H510" s="5">
        <v>15900</v>
      </c>
      <c r="I510" s="5">
        <v>8</v>
      </c>
      <c r="J510" s="9">
        <v>127200</v>
      </c>
    </row>
    <row r="511" spans="1:10" x14ac:dyDescent="0.3">
      <c r="A511" s="3" t="s">
        <v>576</v>
      </c>
      <c r="B511" s="4">
        <v>43250</v>
      </c>
      <c r="C511" s="5">
        <v>2</v>
      </c>
      <c r="D511" s="5" t="s">
        <v>20</v>
      </c>
      <c r="E511" s="5" t="s">
        <v>40</v>
      </c>
      <c r="F511" s="5" t="s">
        <v>18</v>
      </c>
      <c r="G511" s="5" t="s">
        <v>12</v>
      </c>
      <c r="H511" s="5">
        <v>6900</v>
      </c>
      <c r="I511" s="5">
        <v>5</v>
      </c>
      <c r="J511" s="9">
        <v>34500</v>
      </c>
    </row>
    <row r="512" spans="1:10" x14ac:dyDescent="0.3">
      <c r="A512" s="3" t="s">
        <v>577</v>
      </c>
      <c r="B512" s="4">
        <v>43250</v>
      </c>
      <c r="C512" s="5">
        <v>19</v>
      </c>
      <c r="D512" s="5" t="s">
        <v>37</v>
      </c>
      <c r="E512" s="5" t="s">
        <v>42</v>
      </c>
      <c r="F512" s="5" t="s">
        <v>17</v>
      </c>
      <c r="G512" s="5" t="s">
        <v>13</v>
      </c>
      <c r="H512" s="5">
        <v>28900</v>
      </c>
      <c r="I512" s="5">
        <v>9</v>
      </c>
      <c r="J512" s="9">
        <v>260100</v>
      </c>
    </row>
    <row r="513" spans="1:10" x14ac:dyDescent="0.3">
      <c r="A513" s="3" t="s">
        <v>578</v>
      </c>
      <c r="B513" s="4">
        <v>43250</v>
      </c>
      <c r="C513" s="5">
        <v>2</v>
      </c>
      <c r="D513" s="5" t="s">
        <v>20</v>
      </c>
      <c r="E513" s="5" t="s">
        <v>46</v>
      </c>
      <c r="F513" s="5" t="s">
        <v>18</v>
      </c>
      <c r="G513" s="5" t="s">
        <v>12</v>
      </c>
      <c r="H513" s="5">
        <v>6900</v>
      </c>
      <c r="I513" s="5">
        <v>9</v>
      </c>
      <c r="J513" s="9">
        <v>62100</v>
      </c>
    </row>
    <row r="514" spans="1:10" x14ac:dyDescent="0.3">
      <c r="A514" s="3" t="s">
        <v>579</v>
      </c>
      <c r="B514" s="4">
        <v>43251</v>
      </c>
      <c r="C514" s="5">
        <v>14</v>
      </c>
      <c r="D514" s="5" t="s">
        <v>32</v>
      </c>
      <c r="E514" s="5" t="s">
        <v>45</v>
      </c>
      <c r="F514" s="5" t="s">
        <v>16</v>
      </c>
      <c r="G514" s="5" t="s">
        <v>12</v>
      </c>
      <c r="H514" s="5">
        <v>6900</v>
      </c>
      <c r="I514" s="5">
        <v>3</v>
      </c>
      <c r="J514" s="9">
        <v>20700</v>
      </c>
    </row>
    <row r="515" spans="1:10" x14ac:dyDescent="0.3">
      <c r="A515" s="3" t="s">
        <v>580</v>
      </c>
      <c r="B515" s="4">
        <v>43252</v>
      </c>
      <c r="C515" s="5">
        <v>14</v>
      </c>
      <c r="D515" s="5" t="s">
        <v>32</v>
      </c>
      <c r="E515" s="5" t="s">
        <v>39</v>
      </c>
      <c r="F515" s="5" t="s">
        <v>16</v>
      </c>
      <c r="G515" s="5" t="s">
        <v>12</v>
      </c>
      <c r="H515" s="5">
        <v>6900</v>
      </c>
      <c r="I515" s="5">
        <v>0</v>
      </c>
      <c r="J515" s="9">
        <v>0</v>
      </c>
    </row>
    <row r="516" spans="1:10" x14ac:dyDescent="0.3">
      <c r="A516" s="3" t="s">
        <v>581</v>
      </c>
      <c r="B516" s="4">
        <v>43252</v>
      </c>
      <c r="C516" s="5">
        <v>8</v>
      </c>
      <c r="D516" s="5" t="s">
        <v>26</v>
      </c>
      <c r="E516" s="5" t="s">
        <v>44</v>
      </c>
      <c r="F516" s="5" t="s">
        <v>15</v>
      </c>
      <c r="G516" s="5" t="s">
        <v>13</v>
      </c>
      <c r="H516" s="5">
        <v>28900</v>
      </c>
      <c r="I516" s="5">
        <v>4</v>
      </c>
      <c r="J516" s="9">
        <v>115600</v>
      </c>
    </row>
    <row r="517" spans="1:10" x14ac:dyDescent="0.3">
      <c r="A517" s="3" t="s">
        <v>582</v>
      </c>
      <c r="B517" s="4">
        <v>43252</v>
      </c>
      <c r="C517" s="5">
        <v>4</v>
      </c>
      <c r="D517" s="5" t="s">
        <v>22</v>
      </c>
      <c r="E517" s="5" t="s">
        <v>46</v>
      </c>
      <c r="F517" s="5" t="s">
        <v>18</v>
      </c>
      <c r="G517" s="5" t="s">
        <v>13</v>
      </c>
      <c r="H517" s="5">
        <v>28900</v>
      </c>
      <c r="I517" s="5">
        <v>3</v>
      </c>
      <c r="J517" s="9">
        <v>86700</v>
      </c>
    </row>
    <row r="518" spans="1:10" x14ac:dyDescent="0.3">
      <c r="A518" s="3" t="s">
        <v>583</v>
      </c>
      <c r="B518" s="4">
        <v>43253</v>
      </c>
      <c r="C518" s="5">
        <v>19</v>
      </c>
      <c r="D518" s="5" t="s">
        <v>37</v>
      </c>
      <c r="E518" s="5" t="s">
        <v>42</v>
      </c>
      <c r="F518" s="5" t="s">
        <v>17</v>
      </c>
      <c r="G518" s="5" t="s">
        <v>13</v>
      </c>
      <c r="H518" s="5">
        <v>28900</v>
      </c>
      <c r="I518" s="5">
        <v>4</v>
      </c>
      <c r="J518" s="9">
        <v>115600</v>
      </c>
    </row>
    <row r="519" spans="1:10" x14ac:dyDescent="0.3">
      <c r="A519" s="3" t="s">
        <v>584</v>
      </c>
      <c r="B519" s="4">
        <v>43253</v>
      </c>
      <c r="C519" s="5">
        <v>9</v>
      </c>
      <c r="D519" s="5" t="s">
        <v>27</v>
      </c>
      <c r="E519" s="5" t="s">
        <v>41</v>
      </c>
      <c r="F519" s="5" t="s">
        <v>15</v>
      </c>
      <c r="G519" s="5" t="s">
        <v>11</v>
      </c>
      <c r="H519" s="5">
        <v>19900</v>
      </c>
      <c r="I519" s="5">
        <v>7</v>
      </c>
      <c r="J519" s="9">
        <v>139300</v>
      </c>
    </row>
    <row r="520" spans="1:10" x14ac:dyDescent="0.3">
      <c r="A520" s="3" t="s">
        <v>585</v>
      </c>
      <c r="B520" s="4">
        <v>43254</v>
      </c>
      <c r="C520" s="5">
        <v>5</v>
      </c>
      <c r="D520" s="5" t="s">
        <v>23</v>
      </c>
      <c r="E520" s="5" t="s">
        <v>46</v>
      </c>
      <c r="F520" s="5" t="s">
        <v>18</v>
      </c>
      <c r="G520" s="5" t="s">
        <v>11</v>
      </c>
      <c r="H520" s="5">
        <v>19900</v>
      </c>
      <c r="I520" s="5">
        <v>9</v>
      </c>
      <c r="J520" s="9">
        <v>179100</v>
      </c>
    </row>
    <row r="521" spans="1:10" x14ac:dyDescent="0.3">
      <c r="A521" s="3" t="s">
        <v>586</v>
      </c>
      <c r="B521" s="4">
        <v>43254</v>
      </c>
      <c r="C521" s="5">
        <v>18</v>
      </c>
      <c r="D521" s="5" t="s">
        <v>36</v>
      </c>
      <c r="E521" s="5" t="s">
        <v>42</v>
      </c>
      <c r="F521" s="5" t="s">
        <v>17</v>
      </c>
      <c r="G521" s="5" t="s">
        <v>10</v>
      </c>
      <c r="H521" s="5">
        <v>39900</v>
      </c>
      <c r="I521" s="5">
        <v>7</v>
      </c>
      <c r="J521" s="9">
        <v>279300</v>
      </c>
    </row>
    <row r="522" spans="1:10" x14ac:dyDescent="0.3">
      <c r="A522" s="3" t="s">
        <v>587</v>
      </c>
      <c r="B522" s="4">
        <v>43254</v>
      </c>
      <c r="C522" s="5">
        <v>5</v>
      </c>
      <c r="D522" s="5" t="s">
        <v>23</v>
      </c>
      <c r="E522" s="5" t="s">
        <v>46</v>
      </c>
      <c r="F522" s="5" t="s">
        <v>18</v>
      </c>
      <c r="G522" s="5" t="s">
        <v>13</v>
      </c>
      <c r="H522" s="5">
        <v>28900</v>
      </c>
      <c r="I522" s="5">
        <v>3</v>
      </c>
      <c r="J522" s="9">
        <v>86700</v>
      </c>
    </row>
    <row r="523" spans="1:10" x14ac:dyDescent="0.3">
      <c r="A523" s="3" t="s">
        <v>588</v>
      </c>
      <c r="B523" s="4">
        <v>43254</v>
      </c>
      <c r="C523" s="5">
        <v>12</v>
      </c>
      <c r="D523" s="5" t="s">
        <v>30</v>
      </c>
      <c r="E523" s="5" t="s">
        <v>45</v>
      </c>
      <c r="F523" s="5" t="s">
        <v>16</v>
      </c>
      <c r="G523" s="5" t="s">
        <v>11</v>
      </c>
      <c r="H523" s="5">
        <v>19900</v>
      </c>
      <c r="I523" s="5">
        <v>9</v>
      </c>
      <c r="J523" s="9">
        <v>179100</v>
      </c>
    </row>
    <row r="524" spans="1:10" x14ac:dyDescent="0.3">
      <c r="A524" s="3" t="s">
        <v>589</v>
      </c>
      <c r="B524" s="4">
        <v>43254</v>
      </c>
      <c r="C524" s="5">
        <v>18</v>
      </c>
      <c r="D524" s="5" t="s">
        <v>36</v>
      </c>
      <c r="E524" s="5" t="s">
        <v>42</v>
      </c>
      <c r="F524" s="5" t="s">
        <v>17</v>
      </c>
      <c r="G524" s="5" t="s">
        <v>13</v>
      </c>
      <c r="H524" s="5">
        <v>28900</v>
      </c>
      <c r="I524" s="5">
        <v>7</v>
      </c>
      <c r="J524" s="9">
        <v>202300</v>
      </c>
    </row>
    <row r="525" spans="1:10" x14ac:dyDescent="0.3">
      <c r="A525" s="3" t="s">
        <v>590</v>
      </c>
      <c r="B525" s="4">
        <v>43254</v>
      </c>
      <c r="C525" s="5">
        <v>4</v>
      </c>
      <c r="D525" s="5" t="s">
        <v>22</v>
      </c>
      <c r="E525" s="5" t="s">
        <v>40</v>
      </c>
      <c r="F525" s="5" t="s">
        <v>18</v>
      </c>
      <c r="G525" s="5" t="s">
        <v>12</v>
      </c>
      <c r="H525" s="5">
        <v>6900</v>
      </c>
      <c r="I525" s="5">
        <v>9</v>
      </c>
      <c r="J525" s="9">
        <v>62100</v>
      </c>
    </row>
    <row r="526" spans="1:10" x14ac:dyDescent="0.3">
      <c r="A526" s="3" t="s">
        <v>591</v>
      </c>
      <c r="B526" s="4">
        <v>43254</v>
      </c>
      <c r="C526" s="5">
        <v>7</v>
      </c>
      <c r="D526" s="5" t="s">
        <v>25</v>
      </c>
      <c r="E526" s="5" t="s">
        <v>41</v>
      </c>
      <c r="F526" s="5" t="s">
        <v>15</v>
      </c>
      <c r="G526" s="5" t="s">
        <v>14</v>
      </c>
      <c r="H526" s="5">
        <v>15900</v>
      </c>
      <c r="I526" s="5">
        <v>3</v>
      </c>
      <c r="J526" s="9">
        <v>47700</v>
      </c>
    </row>
    <row r="527" spans="1:10" x14ac:dyDescent="0.3">
      <c r="A527" s="3" t="s">
        <v>592</v>
      </c>
      <c r="B527" s="4">
        <v>43254</v>
      </c>
      <c r="C527" s="5">
        <v>20</v>
      </c>
      <c r="D527" s="5" t="s">
        <v>38</v>
      </c>
      <c r="E527" s="5" t="s">
        <v>43</v>
      </c>
      <c r="F527" s="5" t="s">
        <v>17</v>
      </c>
      <c r="G527" s="5" t="s">
        <v>13</v>
      </c>
      <c r="H527" s="5">
        <v>28900</v>
      </c>
      <c r="I527" s="5">
        <v>7</v>
      </c>
      <c r="J527" s="9">
        <v>202300</v>
      </c>
    </row>
    <row r="528" spans="1:10" x14ac:dyDescent="0.3">
      <c r="A528" s="3" t="s">
        <v>593</v>
      </c>
      <c r="B528" s="4">
        <v>43254</v>
      </c>
      <c r="C528" s="5">
        <v>1</v>
      </c>
      <c r="D528" s="5" t="s">
        <v>19</v>
      </c>
      <c r="E528" s="5" t="s">
        <v>46</v>
      </c>
      <c r="F528" s="5" t="s">
        <v>18</v>
      </c>
      <c r="G528" s="5" t="s">
        <v>13</v>
      </c>
      <c r="H528" s="5">
        <v>28900</v>
      </c>
      <c r="I528" s="5">
        <v>7</v>
      </c>
      <c r="J528" s="9">
        <v>202300</v>
      </c>
    </row>
    <row r="529" spans="1:10" x14ac:dyDescent="0.3">
      <c r="A529" s="3" t="s">
        <v>594</v>
      </c>
      <c r="B529" s="4">
        <v>43254</v>
      </c>
      <c r="C529" s="5">
        <v>4</v>
      </c>
      <c r="D529" s="5" t="s">
        <v>22</v>
      </c>
      <c r="E529" s="5" t="s">
        <v>40</v>
      </c>
      <c r="F529" s="5" t="s">
        <v>18</v>
      </c>
      <c r="G529" s="5" t="s">
        <v>13</v>
      </c>
      <c r="H529" s="5">
        <v>28900</v>
      </c>
      <c r="I529" s="5">
        <v>9</v>
      </c>
      <c r="J529" s="9">
        <v>260100</v>
      </c>
    </row>
    <row r="530" spans="1:10" x14ac:dyDescent="0.3">
      <c r="A530" s="3" t="s">
        <v>595</v>
      </c>
      <c r="B530" s="4">
        <v>43254</v>
      </c>
      <c r="C530" s="5">
        <v>13</v>
      </c>
      <c r="D530" s="5" t="s">
        <v>31</v>
      </c>
      <c r="E530" s="5" t="s">
        <v>45</v>
      </c>
      <c r="F530" s="5" t="s">
        <v>16</v>
      </c>
      <c r="G530" s="5" t="s">
        <v>11</v>
      </c>
      <c r="H530" s="5">
        <v>19900</v>
      </c>
      <c r="I530" s="5">
        <v>8</v>
      </c>
      <c r="J530" s="9">
        <v>159200</v>
      </c>
    </row>
    <row r="531" spans="1:10" x14ac:dyDescent="0.3">
      <c r="A531" s="3" t="s">
        <v>596</v>
      </c>
      <c r="B531" s="4">
        <v>43254</v>
      </c>
      <c r="C531" s="5">
        <v>16</v>
      </c>
      <c r="D531" s="5" t="s">
        <v>34</v>
      </c>
      <c r="E531" s="5" t="s">
        <v>43</v>
      </c>
      <c r="F531" s="5" t="s">
        <v>17</v>
      </c>
      <c r="G531" s="5" t="s">
        <v>10</v>
      </c>
      <c r="H531" s="5">
        <v>39900</v>
      </c>
      <c r="I531" s="5">
        <v>7</v>
      </c>
      <c r="J531" s="9">
        <v>279300</v>
      </c>
    </row>
    <row r="532" spans="1:10" x14ac:dyDescent="0.3">
      <c r="A532" s="3" t="s">
        <v>597</v>
      </c>
      <c r="B532" s="4">
        <v>43255</v>
      </c>
      <c r="C532" s="5">
        <v>8</v>
      </c>
      <c r="D532" s="5" t="s">
        <v>26</v>
      </c>
      <c r="E532" s="5" t="s">
        <v>41</v>
      </c>
      <c r="F532" s="5" t="s">
        <v>15</v>
      </c>
      <c r="G532" s="5" t="s">
        <v>11</v>
      </c>
      <c r="H532" s="5">
        <v>19900</v>
      </c>
      <c r="I532" s="5">
        <v>3</v>
      </c>
      <c r="J532" s="9">
        <v>59700</v>
      </c>
    </row>
    <row r="533" spans="1:10" x14ac:dyDescent="0.3">
      <c r="A533" s="3" t="s">
        <v>598</v>
      </c>
      <c r="B533" s="4">
        <v>43255</v>
      </c>
      <c r="C533" s="5">
        <v>11</v>
      </c>
      <c r="D533" s="5" t="s">
        <v>29</v>
      </c>
      <c r="E533" s="5" t="s">
        <v>45</v>
      </c>
      <c r="F533" s="5" t="s">
        <v>16</v>
      </c>
      <c r="G533" s="5" t="s">
        <v>10</v>
      </c>
      <c r="H533" s="5">
        <v>39900</v>
      </c>
      <c r="I533" s="5">
        <v>8</v>
      </c>
      <c r="J533" s="9">
        <v>319200</v>
      </c>
    </row>
    <row r="534" spans="1:10" x14ac:dyDescent="0.3">
      <c r="A534" s="3" t="s">
        <v>599</v>
      </c>
      <c r="B534" s="4">
        <v>43256</v>
      </c>
      <c r="C534" s="5">
        <v>8</v>
      </c>
      <c r="D534" s="5" t="s">
        <v>26</v>
      </c>
      <c r="E534" s="5" t="s">
        <v>44</v>
      </c>
      <c r="F534" s="5" t="s">
        <v>15</v>
      </c>
      <c r="G534" s="5" t="s">
        <v>11</v>
      </c>
      <c r="H534" s="5">
        <v>19900</v>
      </c>
      <c r="I534" s="5">
        <v>5</v>
      </c>
      <c r="J534" s="9">
        <v>99500</v>
      </c>
    </row>
    <row r="535" spans="1:10" x14ac:dyDescent="0.3">
      <c r="A535" s="3" t="s">
        <v>600</v>
      </c>
      <c r="B535" s="4">
        <v>43256</v>
      </c>
      <c r="C535" s="5">
        <v>7</v>
      </c>
      <c r="D535" s="5" t="s">
        <v>25</v>
      </c>
      <c r="E535" s="5" t="s">
        <v>44</v>
      </c>
      <c r="F535" s="5" t="s">
        <v>15</v>
      </c>
      <c r="G535" s="5" t="s">
        <v>14</v>
      </c>
      <c r="H535" s="5">
        <v>15900</v>
      </c>
      <c r="I535" s="5">
        <v>9</v>
      </c>
      <c r="J535" s="9">
        <v>143100</v>
      </c>
    </row>
    <row r="536" spans="1:10" x14ac:dyDescent="0.3">
      <c r="A536" s="3" t="s">
        <v>601</v>
      </c>
      <c r="B536" s="4">
        <v>43256</v>
      </c>
      <c r="C536" s="5">
        <v>19</v>
      </c>
      <c r="D536" s="5" t="s">
        <v>37</v>
      </c>
      <c r="E536" s="5" t="s">
        <v>42</v>
      </c>
      <c r="F536" s="5" t="s">
        <v>17</v>
      </c>
      <c r="G536" s="5" t="s">
        <v>11</v>
      </c>
      <c r="H536" s="5">
        <v>19900</v>
      </c>
      <c r="I536" s="5">
        <v>2</v>
      </c>
      <c r="J536" s="9">
        <v>39800</v>
      </c>
    </row>
    <row r="537" spans="1:10" x14ac:dyDescent="0.3">
      <c r="A537" s="3" t="s">
        <v>602</v>
      </c>
      <c r="B537" s="4">
        <v>43256</v>
      </c>
      <c r="C537" s="5">
        <v>17</v>
      </c>
      <c r="D537" s="5" t="s">
        <v>35</v>
      </c>
      <c r="E537" s="5" t="s">
        <v>43</v>
      </c>
      <c r="F537" s="5" t="s">
        <v>17</v>
      </c>
      <c r="G537" s="5" t="s">
        <v>12</v>
      </c>
      <c r="H537" s="5">
        <v>6900</v>
      </c>
      <c r="I537" s="5">
        <v>0</v>
      </c>
      <c r="J537" s="9">
        <v>0</v>
      </c>
    </row>
    <row r="538" spans="1:10" x14ac:dyDescent="0.3">
      <c r="A538" s="3" t="s">
        <v>603</v>
      </c>
      <c r="B538" s="4">
        <v>43257</v>
      </c>
      <c r="C538" s="5">
        <v>9</v>
      </c>
      <c r="D538" s="5" t="s">
        <v>27</v>
      </c>
      <c r="E538" s="5" t="s">
        <v>44</v>
      </c>
      <c r="F538" s="5" t="s">
        <v>15</v>
      </c>
      <c r="G538" s="5" t="s">
        <v>11</v>
      </c>
      <c r="H538" s="5">
        <v>19900</v>
      </c>
      <c r="I538" s="5">
        <v>1</v>
      </c>
      <c r="J538" s="9">
        <v>19900</v>
      </c>
    </row>
    <row r="539" spans="1:10" x14ac:dyDescent="0.3">
      <c r="A539" s="3" t="s">
        <v>604</v>
      </c>
      <c r="B539" s="4">
        <v>43257</v>
      </c>
      <c r="C539" s="5">
        <v>8</v>
      </c>
      <c r="D539" s="5" t="s">
        <v>26</v>
      </c>
      <c r="E539" s="5" t="s">
        <v>44</v>
      </c>
      <c r="F539" s="5" t="s">
        <v>15</v>
      </c>
      <c r="G539" s="5" t="s">
        <v>11</v>
      </c>
      <c r="H539" s="5">
        <v>19900</v>
      </c>
      <c r="I539" s="5">
        <v>2</v>
      </c>
      <c r="J539" s="9">
        <v>39800</v>
      </c>
    </row>
    <row r="540" spans="1:10" x14ac:dyDescent="0.3">
      <c r="A540" s="3" t="s">
        <v>605</v>
      </c>
      <c r="B540" s="4">
        <v>43258</v>
      </c>
      <c r="C540" s="5">
        <v>19</v>
      </c>
      <c r="D540" s="5" t="s">
        <v>37</v>
      </c>
      <c r="E540" s="5" t="s">
        <v>42</v>
      </c>
      <c r="F540" s="5" t="s">
        <v>17</v>
      </c>
      <c r="G540" s="5" t="s">
        <v>11</v>
      </c>
      <c r="H540" s="5">
        <v>19900</v>
      </c>
      <c r="I540" s="5">
        <v>0</v>
      </c>
      <c r="J540" s="9">
        <v>0</v>
      </c>
    </row>
    <row r="541" spans="1:10" x14ac:dyDescent="0.3">
      <c r="A541" s="3" t="s">
        <v>606</v>
      </c>
      <c r="B541" s="4">
        <v>43259</v>
      </c>
      <c r="C541" s="5">
        <v>9</v>
      </c>
      <c r="D541" s="5" t="s">
        <v>27</v>
      </c>
      <c r="E541" s="5" t="s">
        <v>44</v>
      </c>
      <c r="F541" s="5" t="s">
        <v>15</v>
      </c>
      <c r="G541" s="5" t="s">
        <v>14</v>
      </c>
      <c r="H541" s="5">
        <v>15900</v>
      </c>
      <c r="I541" s="5">
        <v>3</v>
      </c>
      <c r="J541" s="9">
        <v>47700</v>
      </c>
    </row>
    <row r="542" spans="1:10" x14ac:dyDescent="0.3">
      <c r="A542" s="3" t="s">
        <v>607</v>
      </c>
      <c r="B542" s="4">
        <v>43259</v>
      </c>
      <c r="C542" s="5">
        <v>9</v>
      </c>
      <c r="D542" s="5" t="s">
        <v>27</v>
      </c>
      <c r="E542" s="5" t="s">
        <v>44</v>
      </c>
      <c r="F542" s="5" t="s">
        <v>15</v>
      </c>
      <c r="G542" s="5" t="s">
        <v>13</v>
      </c>
      <c r="H542" s="5">
        <v>28900</v>
      </c>
      <c r="I542" s="5">
        <v>9</v>
      </c>
      <c r="J542" s="9">
        <v>260100</v>
      </c>
    </row>
    <row r="543" spans="1:10" x14ac:dyDescent="0.3">
      <c r="A543" s="3" t="s">
        <v>608</v>
      </c>
      <c r="B543" s="4">
        <v>43259</v>
      </c>
      <c r="C543" s="5">
        <v>9</v>
      </c>
      <c r="D543" s="5" t="s">
        <v>27</v>
      </c>
      <c r="E543" s="5" t="s">
        <v>44</v>
      </c>
      <c r="F543" s="5" t="s">
        <v>15</v>
      </c>
      <c r="G543" s="5" t="s">
        <v>10</v>
      </c>
      <c r="H543" s="5">
        <v>39900</v>
      </c>
      <c r="I543" s="5">
        <v>5</v>
      </c>
      <c r="J543" s="9">
        <v>199500</v>
      </c>
    </row>
    <row r="544" spans="1:10" x14ac:dyDescent="0.3">
      <c r="A544" s="3" t="s">
        <v>609</v>
      </c>
      <c r="B544" s="4">
        <v>43259</v>
      </c>
      <c r="C544" s="5">
        <v>20</v>
      </c>
      <c r="D544" s="5" t="s">
        <v>38</v>
      </c>
      <c r="E544" s="5" t="s">
        <v>43</v>
      </c>
      <c r="F544" s="5" t="s">
        <v>17</v>
      </c>
      <c r="G544" s="5" t="s">
        <v>14</v>
      </c>
      <c r="H544" s="5">
        <v>15900</v>
      </c>
      <c r="I544" s="5">
        <v>5</v>
      </c>
      <c r="J544" s="9">
        <v>79500</v>
      </c>
    </row>
    <row r="545" spans="1:10" x14ac:dyDescent="0.3">
      <c r="A545" s="3" t="s">
        <v>610</v>
      </c>
      <c r="B545" s="4">
        <v>43260</v>
      </c>
      <c r="C545" s="5">
        <v>9</v>
      </c>
      <c r="D545" s="5" t="s">
        <v>27</v>
      </c>
      <c r="E545" s="5" t="s">
        <v>44</v>
      </c>
      <c r="F545" s="5" t="s">
        <v>15</v>
      </c>
      <c r="G545" s="5" t="s">
        <v>13</v>
      </c>
      <c r="H545" s="5">
        <v>28900</v>
      </c>
      <c r="I545" s="5">
        <v>6</v>
      </c>
      <c r="J545" s="9">
        <v>173400</v>
      </c>
    </row>
    <row r="546" spans="1:10" x14ac:dyDescent="0.3">
      <c r="A546" s="3" t="s">
        <v>611</v>
      </c>
      <c r="B546" s="4">
        <v>43260</v>
      </c>
      <c r="C546" s="5">
        <v>14</v>
      </c>
      <c r="D546" s="5" t="s">
        <v>32</v>
      </c>
      <c r="E546" s="5" t="s">
        <v>45</v>
      </c>
      <c r="F546" s="5" t="s">
        <v>16</v>
      </c>
      <c r="G546" s="5" t="s">
        <v>10</v>
      </c>
      <c r="H546" s="5">
        <v>39900</v>
      </c>
      <c r="I546" s="5">
        <v>0</v>
      </c>
      <c r="J546" s="9">
        <v>0</v>
      </c>
    </row>
    <row r="547" spans="1:10" x14ac:dyDescent="0.3">
      <c r="A547" s="3" t="s">
        <v>612</v>
      </c>
      <c r="B547" s="4">
        <v>43261</v>
      </c>
      <c r="C547" s="5">
        <v>4</v>
      </c>
      <c r="D547" s="5" t="s">
        <v>22</v>
      </c>
      <c r="E547" s="5" t="s">
        <v>46</v>
      </c>
      <c r="F547" s="5" t="s">
        <v>18</v>
      </c>
      <c r="G547" s="5" t="s">
        <v>11</v>
      </c>
      <c r="H547" s="5">
        <v>19900</v>
      </c>
      <c r="I547" s="5">
        <v>5</v>
      </c>
      <c r="J547" s="9">
        <v>99500</v>
      </c>
    </row>
    <row r="548" spans="1:10" x14ac:dyDescent="0.3">
      <c r="A548" s="3" t="s">
        <v>613</v>
      </c>
      <c r="B548" s="4">
        <v>43262</v>
      </c>
      <c r="C548" s="5">
        <v>6</v>
      </c>
      <c r="D548" s="5" t="s">
        <v>24</v>
      </c>
      <c r="E548" s="5" t="s">
        <v>41</v>
      </c>
      <c r="F548" s="5" t="s">
        <v>15</v>
      </c>
      <c r="G548" s="5" t="s">
        <v>12</v>
      </c>
      <c r="H548" s="5">
        <v>6900</v>
      </c>
      <c r="I548" s="5">
        <v>7</v>
      </c>
      <c r="J548" s="9">
        <v>48300</v>
      </c>
    </row>
    <row r="549" spans="1:10" x14ac:dyDescent="0.3">
      <c r="A549" s="3" t="s">
        <v>614</v>
      </c>
      <c r="B549" s="4">
        <v>43262</v>
      </c>
      <c r="C549" s="5">
        <v>2</v>
      </c>
      <c r="D549" s="5" t="s">
        <v>20</v>
      </c>
      <c r="E549" s="5" t="s">
        <v>46</v>
      </c>
      <c r="F549" s="5" t="s">
        <v>18</v>
      </c>
      <c r="G549" s="5" t="s">
        <v>11</v>
      </c>
      <c r="H549" s="5">
        <v>19900</v>
      </c>
      <c r="I549" s="5">
        <v>7</v>
      </c>
      <c r="J549" s="9">
        <v>139300</v>
      </c>
    </row>
    <row r="550" spans="1:10" x14ac:dyDescent="0.3">
      <c r="A550" s="3" t="s">
        <v>615</v>
      </c>
      <c r="B550" s="4">
        <v>43262</v>
      </c>
      <c r="C550" s="5">
        <v>17</v>
      </c>
      <c r="D550" s="5" t="s">
        <v>35</v>
      </c>
      <c r="E550" s="5" t="s">
        <v>42</v>
      </c>
      <c r="F550" s="5" t="s">
        <v>17</v>
      </c>
      <c r="G550" s="5" t="s">
        <v>11</v>
      </c>
      <c r="H550" s="5">
        <v>19900</v>
      </c>
      <c r="I550" s="5">
        <v>2</v>
      </c>
      <c r="J550" s="9">
        <v>39800</v>
      </c>
    </row>
    <row r="551" spans="1:10" x14ac:dyDescent="0.3">
      <c r="A551" s="3" t="s">
        <v>616</v>
      </c>
      <c r="B551" s="4">
        <v>43262</v>
      </c>
      <c r="C551" s="5">
        <v>18</v>
      </c>
      <c r="D551" s="5" t="s">
        <v>36</v>
      </c>
      <c r="E551" s="5" t="s">
        <v>42</v>
      </c>
      <c r="F551" s="5" t="s">
        <v>17</v>
      </c>
      <c r="G551" s="5" t="s">
        <v>14</v>
      </c>
      <c r="H551" s="5">
        <v>15900</v>
      </c>
      <c r="I551" s="5">
        <v>0</v>
      </c>
      <c r="J551" s="9">
        <v>0</v>
      </c>
    </row>
    <row r="552" spans="1:10" x14ac:dyDescent="0.3">
      <c r="A552" s="3" t="s">
        <v>617</v>
      </c>
      <c r="B552" s="4">
        <v>43262</v>
      </c>
      <c r="C552" s="5">
        <v>5</v>
      </c>
      <c r="D552" s="5" t="s">
        <v>23</v>
      </c>
      <c r="E552" s="5" t="s">
        <v>40</v>
      </c>
      <c r="F552" s="5" t="s">
        <v>18</v>
      </c>
      <c r="G552" s="5" t="s">
        <v>12</v>
      </c>
      <c r="H552" s="5">
        <v>6900</v>
      </c>
      <c r="I552" s="5">
        <v>5</v>
      </c>
      <c r="J552" s="9">
        <v>34500</v>
      </c>
    </row>
    <row r="553" spans="1:10" x14ac:dyDescent="0.3">
      <c r="A553" s="3" t="s">
        <v>618</v>
      </c>
      <c r="B553" s="4">
        <v>43262</v>
      </c>
      <c r="C553" s="5">
        <v>2</v>
      </c>
      <c r="D553" s="5" t="s">
        <v>20</v>
      </c>
      <c r="E553" s="5" t="s">
        <v>46</v>
      </c>
      <c r="F553" s="5" t="s">
        <v>18</v>
      </c>
      <c r="G553" s="5" t="s">
        <v>13</v>
      </c>
      <c r="H553" s="5">
        <v>28900</v>
      </c>
      <c r="I553" s="5">
        <v>5</v>
      </c>
      <c r="J553" s="9">
        <v>144500</v>
      </c>
    </row>
    <row r="554" spans="1:10" x14ac:dyDescent="0.3">
      <c r="A554" s="3" t="s">
        <v>619</v>
      </c>
      <c r="B554" s="4">
        <v>43262</v>
      </c>
      <c r="C554" s="5">
        <v>11</v>
      </c>
      <c r="D554" s="5" t="s">
        <v>29</v>
      </c>
      <c r="E554" s="5" t="s">
        <v>39</v>
      </c>
      <c r="F554" s="5" t="s">
        <v>16</v>
      </c>
      <c r="G554" s="5" t="s">
        <v>10</v>
      </c>
      <c r="H554" s="5">
        <v>39900</v>
      </c>
      <c r="I554" s="5">
        <v>0</v>
      </c>
      <c r="J554" s="9">
        <v>0</v>
      </c>
    </row>
    <row r="555" spans="1:10" x14ac:dyDescent="0.3">
      <c r="A555" s="3" t="s">
        <v>620</v>
      </c>
      <c r="B555" s="4">
        <v>43263</v>
      </c>
      <c r="C555" s="5">
        <v>19</v>
      </c>
      <c r="D555" s="5" t="s">
        <v>37</v>
      </c>
      <c r="E555" s="5" t="s">
        <v>42</v>
      </c>
      <c r="F555" s="5" t="s">
        <v>17</v>
      </c>
      <c r="G555" s="5" t="s">
        <v>11</v>
      </c>
      <c r="H555" s="5">
        <v>19900</v>
      </c>
      <c r="I555" s="5">
        <v>4</v>
      </c>
      <c r="J555" s="9">
        <v>79600</v>
      </c>
    </row>
    <row r="556" spans="1:10" x14ac:dyDescent="0.3">
      <c r="A556" s="3" t="s">
        <v>621</v>
      </c>
      <c r="B556" s="4">
        <v>43263</v>
      </c>
      <c r="C556" s="5">
        <v>6</v>
      </c>
      <c r="D556" s="5" t="s">
        <v>24</v>
      </c>
      <c r="E556" s="5" t="s">
        <v>41</v>
      </c>
      <c r="F556" s="5" t="s">
        <v>15</v>
      </c>
      <c r="G556" s="5" t="s">
        <v>11</v>
      </c>
      <c r="H556" s="5">
        <v>19900</v>
      </c>
      <c r="I556" s="5">
        <v>9</v>
      </c>
      <c r="J556" s="9">
        <v>179100</v>
      </c>
    </row>
    <row r="557" spans="1:10" x14ac:dyDescent="0.3">
      <c r="A557" s="3" t="s">
        <v>622</v>
      </c>
      <c r="B557" s="4">
        <v>43263</v>
      </c>
      <c r="C557" s="5">
        <v>10</v>
      </c>
      <c r="D557" s="5" t="s">
        <v>28</v>
      </c>
      <c r="E557" s="5" t="s">
        <v>44</v>
      </c>
      <c r="F557" s="5" t="s">
        <v>15</v>
      </c>
      <c r="G557" s="5" t="s">
        <v>10</v>
      </c>
      <c r="H557" s="5">
        <v>39900</v>
      </c>
      <c r="I557" s="5">
        <v>0</v>
      </c>
      <c r="J557" s="9">
        <v>0</v>
      </c>
    </row>
    <row r="558" spans="1:10" x14ac:dyDescent="0.3">
      <c r="A558" s="3" t="s">
        <v>623</v>
      </c>
      <c r="B558" s="4">
        <v>43263</v>
      </c>
      <c r="C558" s="5">
        <v>5</v>
      </c>
      <c r="D558" s="5" t="s">
        <v>23</v>
      </c>
      <c r="E558" s="5" t="s">
        <v>46</v>
      </c>
      <c r="F558" s="5" t="s">
        <v>18</v>
      </c>
      <c r="G558" s="5" t="s">
        <v>14</v>
      </c>
      <c r="H558" s="5">
        <v>15900</v>
      </c>
      <c r="I558" s="5">
        <v>1</v>
      </c>
      <c r="J558" s="9">
        <v>15900</v>
      </c>
    </row>
    <row r="559" spans="1:10" x14ac:dyDescent="0.3">
      <c r="A559" s="3" t="s">
        <v>624</v>
      </c>
      <c r="B559" s="4">
        <v>43264</v>
      </c>
      <c r="C559" s="5">
        <v>14</v>
      </c>
      <c r="D559" s="5" t="s">
        <v>32</v>
      </c>
      <c r="E559" s="5" t="s">
        <v>45</v>
      </c>
      <c r="F559" s="5" t="s">
        <v>16</v>
      </c>
      <c r="G559" s="5" t="s">
        <v>10</v>
      </c>
      <c r="H559" s="5">
        <v>39900</v>
      </c>
      <c r="I559" s="5">
        <v>9</v>
      </c>
      <c r="J559" s="9">
        <v>359100</v>
      </c>
    </row>
    <row r="560" spans="1:10" x14ac:dyDescent="0.3">
      <c r="A560" s="3" t="s">
        <v>625</v>
      </c>
      <c r="B560" s="4">
        <v>43264</v>
      </c>
      <c r="C560" s="5">
        <v>2</v>
      </c>
      <c r="D560" s="5" t="s">
        <v>20</v>
      </c>
      <c r="E560" s="5" t="s">
        <v>46</v>
      </c>
      <c r="F560" s="5" t="s">
        <v>18</v>
      </c>
      <c r="G560" s="5" t="s">
        <v>13</v>
      </c>
      <c r="H560" s="5">
        <v>28900</v>
      </c>
      <c r="I560" s="5">
        <v>2</v>
      </c>
      <c r="J560" s="9">
        <v>57800</v>
      </c>
    </row>
    <row r="561" spans="1:10" x14ac:dyDescent="0.3">
      <c r="A561" s="3" t="s">
        <v>626</v>
      </c>
      <c r="B561" s="4">
        <v>43264</v>
      </c>
      <c r="C561" s="5">
        <v>15</v>
      </c>
      <c r="D561" s="5" t="s">
        <v>33</v>
      </c>
      <c r="E561" s="5" t="s">
        <v>45</v>
      </c>
      <c r="F561" s="5" t="s">
        <v>16</v>
      </c>
      <c r="G561" s="5" t="s">
        <v>13</v>
      </c>
      <c r="H561" s="5">
        <v>28900</v>
      </c>
      <c r="I561" s="5">
        <v>5</v>
      </c>
      <c r="J561" s="9">
        <v>144500</v>
      </c>
    </row>
    <row r="562" spans="1:10" x14ac:dyDescent="0.3">
      <c r="A562" s="3" t="s">
        <v>627</v>
      </c>
      <c r="B562" s="4">
        <v>43265</v>
      </c>
      <c r="C562" s="5">
        <v>13</v>
      </c>
      <c r="D562" s="5" t="s">
        <v>31</v>
      </c>
      <c r="E562" s="5" t="s">
        <v>39</v>
      </c>
      <c r="F562" s="5" t="s">
        <v>16</v>
      </c>
      <c r="G562" s="5" t="s">
        <v>13</v>
      </c>
      <c r="H562" s="5">
        <v>28900</v>
      </c>
      <c r="I562" s="5">
        <v>3</v>
      </c>
      <c r="J562" s="9">
        <v>86700</v>
      </c>
    </row>
    <row r="563" spans="1:10" x14ac:dyDescent="0.3">
      <c r="A563" s="3" t="s">
        <v>628</v>
      </c>
      <c r="B563" s="4">
        <v>43266</v>
      </c>
      <c r="C563" s="5">
        <v>17</v>
      </c>
      <c r="D563" s="5" t="s">
        <v>35</v>
      </c>
      <c r="E563" s="5" t="s">
        <v>43</v>
      </c>
      <c r="F563" s="5" t="s">
        <v>17</v>
      </c>
      <c r="G563" s="5" t="s">
        <v>13</v>
      </c>
      <c r="H563" s="5">
        <v>28900</v>
      </c>
      <c r="I563" s="5">
        <v>6</v>
      </c>
      <c r="J563" s="9">
        <v>173400</v>
      </c>
    </row>
    <row r="564" spans="1:10" x14ac:dyDescent="0.3">
      <c r="A564" s="3" t="s">
        <v>629</v>
      </c>
      <c r="B564" s="4">
        <v>43267</v>
      </c>
      <c r="C564" s="5">
        <v>13</v>
      </c>
      <c r="D564" s="5" t="s">
        <v>31</v>
      </c>
      <c r="E564" s="5" t="s">
        <v>39</v>
      </c>
      <c r="F564" s="5" t="s">
        <v>16</v>
      </c>
      <c r="G564" s="5" t="s">
        <v>10</v>
      </c>
      <c r="H564" s="5">
        <v>39900</v>
      </c>
      <c r="I564" s="5">
        <v>0</v>
      </c>
      <c r="J564" s="9">
        <v>0</v>
      </c>
    </row>
    <row r="565" spans="1:10" x14ac:dyDescent="0.3">
      <c r="A565" s="3" t="s">
        <v>630</v>
      </c>
      <c r="B565" s="4">
        <v>43267</v>
      </c>
      <c r="C565" s="5">
        <v>15</v>
      </c>
      <c r="D565" s="5" t="s">
        <v>33</v>
      </c>
      <c r="E565" s="5" t="s">
        <v>39</v>
      </c>
      <c r="F565" s="5" t="s">
        <v>16</v>
      </c>
      <c r="G565" s="5" t="s">
        <v>10</v>
      </c>
      <c r="H565" s="5">
        <v>39900</v>
      </c>
      <c r="I565" s="5">
        <v>6</v>
      </c>
      <c r="J565" s="9">
        <v>239400</v>
      </c>
    </row>
    <row r="566" spans="1:10" x14ac:dyDescent="0.3">
      <c r="A566" s="3" t="s">
        <v>631</v>
      </c>
      <c r="B566" s="4">
        <v>43267</v>
      </c>
      <c r="C566" s="5">
        <v>1</v>
      </c>
      <c r="D566" s="5" t="s">
        <v>19</v>
      </c>
      <c r="E566" s="5" t="s">
        <v>40</v>
      </c>
      <c r="F566" s="5" t="s">
        <v>18</v>
      </c>
      <c r="G566" s="5" t="s">
        <v>11</v>
      </c>
      <c r="H566" s="5">
        <v>19900</v>
      </c>
      <c r="I566" s="5">
        <v>0</v>
      </c>
      <c r="J566" s="9">
        <v>0</v>
      </c>
    </row>
    <row r="567" spans="1:10" x14ac:dyDescent="0.3">
      <c r="A567" s="3" t="s">
        <v>632</v>
      </c>
      <c r="B567" s="4">
        <v>43267</v>
      </c>
      <c r="C567" s="5">
        <v>10</v>
      </c>
      <c r="D567" s="5" t="s">
        <v>28</v>
      </c>
      <c r="E567" s="5" t="s">
        <v>41</v>
      </c>
      <c r="F567" s="5" t="s">
        <v>15</v>
      </c>
      <c r="G567" s="5" t="s">
        <v>14</v>
      </c>
      <c r="H567" s="5">
        <v>15900</v>
      </c>
      <c r="I567" s="5">
        <v>8</v>
      </c>
      <c r="J567" s="9">
        <v>127200</v>
      </c>
    </row>
    <row r="568" spans="1:10" x14ac:dyDescent="0.3">
      <c r="A568" s="3" t="s">
        <v>633</v>
      </c>
      <c r="B568" s="4">
        <v>43267</v>
      </c>
      <c r="C568" s="5">
        <v>1</v>
      </c>
      <c r="D568" s="5" t="s">
        <v>19</v>
      </c>
      <c r="E568" s="5" t="s">
        <v>46</v>
      </c>
      <c r="F568" s="5" t="s">
        <v>18</v>
      </c>
      <c r="G568" s="5" t="s">
        <v>14</v>
      </c>
      <c r="H568" s="5">
        <v>15900</v>
      </c>
      <c r="I568" s="5">
        <v>8</v>
      </c>
      <c r="J568" s="9">
        <v>127200</v>
      </c>
    </row>
    <row r="569" spans="1:10" x14ac:dyDescent="0.3">
      <c r="A569" s="3" t="s">
        <v>634</v>
      </c>
      <c r="B569" s="4">
        <v>43267</v>
      </c>
      <c r="C569" s="5">
        <v>14</v>
      </c>
      <c r="D569" s="5" t="s">
        <v>32</v>
      </c>
      <c r="E569" s="5" t="s">
        <v>45</v>
      </c>
      <c r="F569" s="5" t="s">
        <v>16</v>
      </c>
      <c r="G569" s="5" t="s">
        <v>10</v>
      </c>
      <c r="H569" s="5">
        <v>39900</v>
      </c>
      <c r="I569" s="5">
        <v>0</v>
      </c>
      <c r="J569" s="9">
        <v>0</v>
      </c>
    </row>
    <row r="570" spans="1:10" x14ac:dyDescent="0.3">
      <c r="A570" s="3" t="s">
        <v>635</v>
      </c>
      <c r="B570" s="4">
        <v>43268</v>
      </c>
      <c r="C570" s="5">
        <v>18</v>
      </c>
      <c r="D570" s="5" t="s">
        <v>36</v>
      </c>
      <c r="E570" s="5" t="s">
        <v>42</v>
      </c>
      <c r="F570" s="5" t="s">
        <v>17</v>
      </c>
      <c r="G570" s="5" t="s">
        <v>14</v>
      </c>
      <c r="H570" s="5">
        <v>15900</v>
      </c>
      <c r="I570" s="5">
        <v>7</v>
      </c>
      <c r="J570" s="9">
        <v>111300</v>
      </c>
    </row>
    <row r="571" spans="1:10" x14ac:dyDescent="0.3">
      <c r="A571" s="3" t="s">
        <v>636</v>
      </c>
      <c r="B571" s="4">
        <v>43269</v>
      </c>
      <c r="C571" s="5">
        <v>3</v>
      </c>
      <c r="D571" s="5" t="s">
        <v>21</v>
      </c>
      <c r="E571" s="5" t="s">
        <v>46</v>
      </c>
      <c r="F571" s="5" t="s">
        <v>18</v>
      </c>
      <c r="G571" s="5" t="s">
        <v>13</v>
      </c>
      <c r="H571" s="5">
        <v>28900</v>
      </c>
      <c r="I571" s="5">
        <v>3</v>
      </c>
      <c r="J571" s="9">
        <v>86700</v>
      </c>
    </row>
    <row r="572" spans="1:10" x14ac:dyDescent="0.3">
      <c r="A572" s="3" t="s">
        <v>637</v>
      </c>
      <c r="B572" s="4">
        <v>43269</v>
      </c>
      <c r="C572" s="5">
        <v>3</v>
      </c>
      <c r="D572" s="5" t="s">
        <v>21</v>
      </c>
      <c r="E572" s="5" t="s">
        <v>46</v>
      </c>
      <c r="F572" s="5" t="s">
        <v>18</v>
      </c>
      <c r="G572" s="5" t="s">
        <v>13</v>
      </c>
      <c r="H572" s="5">
        <v>28900</v>
      </c>
      <c r="I572" s="5">
        <v>1</v>
      </c>
      <c r="J572" s="9">
        <v>28900</v>
      </c>
    </row>
    <row r="573" spans="1:10" x14ac:dyDescent="0.3">
      <c r="A573" s="3" t="s">
        <v>638</v>
      </c>
      <c r="B573" s="4">
        <v>43269</v>
      </c>
      <c r="C573" s="5">
        <v>11</v>
      </c>
      <c r="D573" s="5" t="s">
        <v>29</v>
      </c>
      <c r="E573" s="5" t="s">
        <v>45</v>
      </c>
      <c r="F573" s="5" t="s">
        <v>16</v>
      </c>
      <c r="G573" s="5" t="s">
        <v>14</v>
      </c>
      <c r="H573" s="5">
        <v>15900</v>
      </c>
      <c r="I573" s="5">
        <v>4</v>
      </c>
      <c r="J573" s="9">
        <v>63600</v>
      </c>
    </row>
    <row r="574" spans="1:10" x14ac:dyDescent="0.3">
      <c r="A574" s="3" t="s">
        <v>639</v>
      </c>
      <c r="B574" s="4">
        <v>43270</v>
      </c>
      <c r="C574" s="5">
        <v>20</v>
      </c>
      <c r="D574" s="5" t="s">
        <v>38</v>
      </c>
      <c r="E574" s="5" t="s">
        <v>42</v>
      </c>
      <c r="F574" s="5" t="s">
        <v>17</v>
      </c>
      <c r="G574" s="5" t="s">
        <v>10</v>
      </c>
      <c r="H574" s="5">
        <v>39900</v>
      </c>
      <c r="I574" s="5">
        <v>5</v>
      </c>
      <c r="J574" s="9">
        <v>199500</v>
      </c>
    </row>
    <row r="575" spans="1:10" x14ac:dyDescent="0.3">
      <c r="A575" s="3" t="s">
        <v>640</v>
      </c>
      <c r="B575" s="4">
        <v>43271</v>
      </c>
      <c r="C575" s="5">
        <v>5</v>
      </c>
      <c r="D575" s="5" t="s">
        <v>23</v>
      </c>
      <c r="E575" s="5" t="s">
        <v>40</v>
      </c>
      <c r="F575" s="5" t="s">
        <v>18</v>
      </c>
      <c r="G575" s="5" t="s">
        <v>14</v>
      </c>
      <c r="H575" s="5">
        <v>15900</v>
      </c>
      <c r="I575" s="5">
        <v>3</v>
      </c>
      <c r="J575" s="9">
        <v>47700</v>
      </c>
    </row>
    <row r="576" spans="1:10" x14ac:dyDescent="0.3">
      <c r="A576" s="3" t="s">
        <v>641</v>
      </c>
      <c r="B576" s="4">
        <v>43271</v>
      </c>
      <c r="C576" s="5">
        <v>18</v>
      </c>
      <c r="D576" s="5" t="s">
        <v>36</v>
      </c>
      <c r="E576" s="5" t="s">
        <v>43</v>
      </c>
      <c r="F576" s="5" t="s">
        <v>17</v>
      </c>
      <c r="G576" s="5" t="s">
        <v>12</v>
      </c>
      <c r="H576" s="5">
        <v>6900</v>
      </c>
      <c r="I576" s="5">
        <v>1</v>
      </c>
      <c r="J576" s="9">
        <v>6900</v>
      </c>
    </row>
    <row r="577" spans="1:10" x14ac:dyDescent="0.3">
      <c r="A577" s="3" t="s">
        <v>642</v>
      </c>
      <c r="B577" s="4">
        <v>43271</v>
      </c>
      <c r="C577" s="5">
        <v>4</v>
      </c>
      <c r="D577" s="5" t="s">
        <v>22</v>
      </c>
      <c r="E577" s="5" t="s">
        <v>46</v>
      </c>
      <c r="F577" s="5" t="s">
        <v>18</v>
      </c>
      <c r="G577" s="5" t="s">
        <v>12</v>
      </c>
      <c r="H577" s="5">
        <v>6900</v>
      </c>
      <c r="I577" s="5">
        <v>3</v>
      </c>
      <c r="J577" s="9">
        <v>20700</v>
      </c>
    </row>
    <row r="578" spans="1:10" x14ac:dyDescent="0.3">
      <c r="A578" s="3" t="s">
        <v>643</v>
      </c>
      <c r="B578" s="4">
        <v>43271</v>
      </c>
      <c r="C578" s="5">
        <v>12</v>
      </c>
      <c r="D578" s="5" t="s">
        <v>30</v>
      </c>
      <c r="E578" s="5" t="s">
        <v>39</v>
      </c>
      <c r="F578" s="5" t="s">
        <v>16</v>
      </c>
      <c r="G578" s="5" t="s">
        <v>14</v>
      </c>
      <c r="H578" s="5">
        <v>15900</v>
      </c>
      <c r="I578" s="5">
        <v>6</v>
      </c>
      <c r="J578" s="9">
        <v>95400</v>
      </c>
    </row>
    <row r="579" spans="1:10" x14ac:dyDescent="0.3">
      <c r="A579" s="3" t="s">
        <v>644</v>
      </c>
      <c r="B579" s="4">
        <v>43272</v>
      </c>
      <c r="C579" s="5">
        <v>14</v>
      </c>
      <c r="D579" s="5" t="s">
        <v>32</v>
      </c>
      <c r="E579" s="5" t="s">
        <v>39</v>
      </c>
      <c r="F579" s="5" t="s">
        <v>16</v>
      </c>
      <c r="G579" s="5" t="s">
        <v>10</v>
      </c>
      <c r="H579" s="5">
        <v>39900</v>
      </c>
      <c r="I579" s="5">
        <v>9</v>
      </c>
      <c r="J579" s="9">
        <v>359100</v>
      </c>
    </row>
    <row r="580" spans="1:10" x14ac:dyDescent="0.3">
      <c r="A580" s="3" t="s">
        <v>645</v>
      </c>
      <c r="B580" s="4">
        <v>43273</v>
      </c>
      <c r="C580" s="5">
        <v>7</v>
      </c>
      <c r="D580" s="5" t="s">
        <v>25</v>
      </c>
      <c r="E580" s="5" t="s">
        <v>41</v>
      </c>
      <c r="F580" s="5" t="s">
        <v>15</v>
      </c>
      <c r="G580" s="5" t="s">
        <v>10</v>
      </c>
      <c r="H580" s="5">
        <v>39900</v>
      </c>
      <c r="I580" s="5">
        <v>0</v>
      </c>
      <c r="J580" s="9">
        <v>0</v>
      </c>
    </row>
    <row r="581" spans="1:10" x14ac:dyDescent="0.3">
      <c r="A581" s="3" t="s">
        <v>646</v>
      </c>
      <c r="B581" s="4">
        <v>43273</v>
      </c>
      <c r="C581" s="5">
        <v>15</v>
      </c>
      <c r="D581" s="5" t="s">
        <v>33</v>
      </c>
      <c r="E581" s="5" t="s">
        <v>45</v>
      </c>
      <c r="F581" s="5" t="s">
        <v>16</v>
      </c>
      <c r="G581" s="5" t="s">
        <v>14</v>
      </c>
      <c r="H581" s="5">
        <v>15900</v>
      </c>
      <c r="I581" s="5">
        <v>6</v>
      </c>
      <c r="J581" s="9">
        <v>95400</v>
      </c>
    </row>
    <row r="582" spans="1:10" x14ac:dyDescent="0.3">
      <c r="A582" s="3" t="s">
        <v>647</v>
      </c>
      <c r="B582" s="4">
        <v>43273</v>
      </c>
      <c r="C582" s="5">
        <v>15</v>
      </c>
      <c r="D582" s="5" t="s">
        <v>33</v>
      </c>
      <c r="E582" s="5" t="s">
        <v>39</v>
      </c>
      <c r="F582" s="5" t="s">
        <v>16</v>
      </c>
      <c r="G582" s="5" t="s">
        <v>14</v>
      </c>
      <c r="H582" s="5">
        <v>15900</v>
      </c>
      <c r="I582" s="5">
        <v>8</v>
      </c>
      <c r="J582" s="9">
        <v>127200</v>
      </c>
    </row>
    <row r="583" spans="1:10" x14ac:dyDescent="0.3">
      <c r="A583" s="3" t="s">
        <v>648</v>
      </c>
      <c r="B583" s="4">
        <v>43273</v>
      </c>
      <c r="C583" s="5">
        <v>15</v>
      </c>
      <c r="D583" s="5" t="s">
        <v>33</v>
      </c>
      <c r="E583" s="5" t="s">
        <v>45</v>
      </c>
      <c r="F583" s="5" t="s">
        <v>16</v>
      </c>
      <c r="G583" s="5" t="s">
        <v>10</v>
      </c>
      <c r="H583" s="5">
        <v>39900</v>
      </c>
      <c r="I583" s="5">
        <v>4</v>
      </c>
      <c r="J583" s="9">
        <v>159600</v>
      </c>
    </row>
    <row r="584" spans="1:10" x14ac:dyDescent="0.3">
      <c r="A584" s="3" t="s">
        <v>649</v>
      </c>
      <c r="B584" s="4">
        <v>43273</v>
      </c>
      <c r="C584" s="5">
        <v>10</v>
      </c>
      <c r="D584" s="5" t="s">
        <v>28</v>
      </c>
      <c r="E584" s="5" t="s">
        <v>44</v>
      </c>
      <c r="F584" s="5" t="s">
        <v>15</v>
      </c>
      <c r="G584" s="5" t="s">
        <v>10</v>
      </c>
      <c r="H584" s="5">
        <v>39900</v>
      </c>
      <c r="I584" s="5">
        <v>3</v>
      </c>
      <c r="J584" s="9">
        <v>119700</v>
      </c>
    </row>
    <row r="585" spans="1:10" x14ac:dyDescent="0.3">
      <c r="A585" s="3" t="s">
        <v>650</v>
      </c>
      <c r="B585" s="4">
        <v>43273</v>
      </c>
      <c r="C585" s="5">
        <v>18</v>
      </c>
      <c r="D585" s="5" t="s">
        <v>36</v>
      </c>
      <c r="E585" s="5" t="s">
        <v>43</v>
      </c>
      <c r="F585" s="5" t="s">
        <v>17</v>
      </c>
      <c r="G585" s="5" t="s">
        <v>12</v>
      </c>
      <c r="H585" s="5">
        <v>6900</v>
      </c>
      <c r="I585" s="5">
        <v>0</v>
      </c>
      <c r="J585" s="9">
        <v>0</v>
      </c>
    </row>
    <row r="586" spans="1:10" x14ac:dyDescent="0.3">
      <c r="A586" s="3" t="s">
        <v>651</v>
      </c>
      <c r="B586" s="4">
        <v>43273</v>
      </c>
      <c r="C586" s="5">
        <v>5</v>
      </c>
      <c r="D586" s="5" t="s">
        <v>23</v>
      </c>
      <c r="E586" s="5" t="s">
        <v>40</v>
      </c>
      <c r="F586" s="5" t="s">
        <v>18</v>
      </c>
      <c r="G586" s="5" t="s">
        <v>11</v>
      </c>
      <c r="H586" s="5">
        <v>19900</v>
      </c>
      <c r="I586" s="5">
        <v>1</v>
      </c>
      <c r="J586" s="9">
        <v>19900</v>
      </c>
    </row>
    <row r="587" spans="1:10" x14ac:dyDescent="0.3">
      <c r="A587" s="3" t="s">
        <v>652</v>
      </c>
      <c r="B587" s="4">
        <v>43273</v>
      </c>
      <c r="C587" s="5">
        <v>4</v>
      </c>
      <c r="D587" s="5" t="s">
        <v>22</v>
      </c>
      <c r="E587" s="5" t="s">
        <v>40</v>
      </c>
      <c r="F587" s="5" t="s">
        <v>18</v>
      </c>
      <c r="G587" s="5" t="s">
        <v>13</v>
      </c>
      <c r="H587" s="5">
        <v>28900</v>
      </c>
      <c r="I587" s="5">
        <v>5</v>
      </c>
      <c r="J587" s="9">
        <v>144500</v>
      </c>
    </row>
    <row r="588" spans="1:10" x14ac:dyDescent="0.3">
      <c r="A588" s="3" t="s">
        <v>653</v>
      </c>
      <c r="B588" s="4">
        <v>43273</v>
      </c>
      <c r="C588" s="5">
        <v>20</v>
      </c>
      <c r="D588" s="5" t="s">
        <v>38</v>
      </c>
      <c r="E588" s="5" t="s">
        <v>43</v>
      </c>
      <c r="F588" s="5" t="s">
        <v>17</v>
      </c>
      <c r="G588" s="5" t="s">
        <v>12</v>
      </c>
      <c r="H588" s="5">
        <v>6900</v>
      </c>
      <c r="I588" s="5">
        <v>3</v>
      </c>
      <c r="J588" s="9">
        <v>20700</v>
      </c>
    </row>
    <row r="589" spans="1:10" x14ac:dyDescent="0.3">
      <c r="A589" s="3" t="s">
        <v>654</v>
      </c>
      <c r="B589" s="4">
        <v>43274</v>
      </c>
      <c r="C589" s="5">
        <v>17</v>
      </c>
      <c r="D589" s="5" t="s">
        <v>35</v>
      </c>
      <c r="E589" s="5" t="s">
        <v>42</v>
      </c>
      <c r="F589" s="5" t="s">
        <v>17</v>
      </c>
      <c r="G589" s="5" t="s">
        <v>12</v>
      </c>
      <c r="H589" s="5">
        <v>6900</v>
      </c>
      <c r="I589" s="5">
        <v>1</v>
      </c>
      <c r="J589" s="9">
        <v>6900</v>
      </c>
    </row>
    <row r="590" spans="1:10" x14ac:dyDescent="0.3">
      <c r="A590" s="3" t="s">
        <v>655</v>
      </c>
      <c r="B590" s="4">
        <v>43275</v>
      </c>
      <c r="C590" s="5">
        <v>5</v>
      </c>
      <c r="D590" s="5" t="s">
        <v>23</v>
      </c>
      <c r="E590" s="5" t="s">
        <v>40</v>
      </c>
      <c r="F590" s="5" t="s">
        <v>18</v>
      </c>
      <c r="G590" s="5" t="s">
        <v>10</v>
      </c>
      <c r="H590" s="5">
        <v>39900</v>
      </c>
      <c r="I590" s="5">
        <v>3</v>
      </c>
      <c r="J590" s="9">
        <v>119700</v>
      </c>
    </row>
    <row r="591" spans="1:10" x14ac:dyDescent="0.3">
      <c r="A591" s="3" t="s">
        <v>656</v>
      </c>
      <c r="B591" s="4">
        <v>43275</v>
      </c>
      <c r="C591" s="5">
        <v>18</v>
      </c>
      <c r="D591" s="5" t="s">
        <v>36</v>
      </c>
      <c r="E591" s="5" t="s">
        <v>43</v>
      </c>
      <c r="F591" s="5" t="s">
        <v>17</v>
      </c>
      <c r="G591" s="5" t="s">
        <v>14</v>
      </c>
      <c r="H591" s="5">
        <v>15900</v>
      </c>
      <c r="I591" s="5">
        <v>5</v>
      </c>
      <c r="J591" s="9">
        <v>79500</v>
      </c>
    </row>
    <row r="592" spans="1:10" x14ac:dyDescent="0.3">
      <c r="A592" s="3" t="s">
        <v>657</v>
      </c>
      <c r="B592" s="4">
        <v>43276</v>
      </c>
      <c r="C592" s="5">
        <v>4</v>
      </c>
      <c r="D592" s="5" t="s">
        <v>22</v>
      </c>
      <c r="E592" s="5" t="s">
        <v>46</v>
      </c>
      <c r="F592" s="5" t="s">
        <v>18</v>
      </c>
      <c r="G592" s="5" t="s">
        <v>13</v>
      </c>
      <c r="H592" s="5">
        <v>28900</v>
      </c>
      <c r="I592" s="5">
        <v>3</v>
      </c>
      <c r="J592" s="9">
        <v>86700</v>
      </c>
    </row>
    <row r="593" spans="1:10" x14ac:dyDescent="0.3">
      <c r="A593" s="3" t="s">
        <v>658</v>
      </c>
      <c r="B593" s="4">
        <v>43277</v>
      </c>
      <c r="C593" s="5">
        <v>6</v>
      </c>
      <c r="D593" s="5" t="s">
        <v>24</v>
      </c>
      <c r="E593" s="5" t="s">
        <v>44</v>
      </c>
      <c r="F593" s="5" t="s">
        <v>15</v>
      </c>
      <c r="G593" s="5" t="s">
        <v>13</v>
      </c>
      <c r="H593" s="5">
        <v>28900</v>
      </c>
      <c r="I593" s="5">
        <v>9</v>
      </c>
      <c r="J593" s="9">
        <v>260100</v>
      </c>
    </row>
    <row r="594" spans="1:10" x14ac:dyDescent="0.3">
      <c r="A594" s="3" t="s">
        <v>659</v>
      </c>
      <c r="B594" s="4">
        <v>43277</v>
      </c>
      <c r="C594" s="5">
        <v>17</v>
      </c>
      <c r="D594" s="5" t="s">
        <v>35</v>
      </c>
      <c r="E594" s="5" t="s">
        <v>42</v>
      </c>
      <c r="F594" s="5" t="s">
        <v>17</v>
      </c>
      <c r="G594" s="5" t="s">
        <v>12</v>
      </c>
      <c r="H594" s="5">
        <v>6900</v>
      </c>
      <c r="I594" s="5">
        <v>9</v>
      </c>
      <c r="J594" s="9">
        <v>62100</v>
      </c>
    </row>
    <row r="595" spans="1:10" x14ac:dyDescent="0.3">
      <c r="A595" s="3" t="s">
        <v>660</v>
      </c>
      <c r="B595" s="4">
        <v>43277</v>
      </c>
      <c r="C595" s="5">
        <v>2</v>
      </c>
      <c r="D595" s="5" t="s">
        <v>20</v>
      </c>
      <c r="E595" s="5" t="s">
        <v>46</v>
      </c>
      <c r="F595" s="5" t="s">
        <v>18</v>
      </c>
      <c r="G595" s="5" t="s">
        <v>13</v>
      </c>
      <c r="H595" s="5">
        <v>28900</v>
      </c>
      <c r="I595" s="5">
        <v>1</v>
      </c>
      <c r="J595" s="9">
        <v>28900</v>
      </c>
    </row>
    <row r="596" spans="1:10" x14ac:dyDescent="0.3">
      <c r="A596" s="3" t="s">
        <v>661</v>
      </c>
      <c r="B596" s="4">
        <v>43277</v>
      </c>
      <c r="C596" s="5">
        <v>10</v>
      </c>
      <c r="D596" s="5" t="s">
        <v>28</v>
      </c>
      <c r="E596" s="5" t="s">
        <v>44</v>
      </c>
      <c r="F596" s="5" t="s">
        <v>15</v>
      </c>
      <c r="G596" s="5" t="s">
        <v>11</v>
      </c>
      <c r="H596" s="5">
        <v>19900</v>
      </c>
      <c r="I596" s="5">
        <v>6</v>
      </c>
      <c r="J596" s="9">
        <v>119400</v>
      </c>
    </row>
    <row r="597" spans="1:10" x14ac:dyDescent="0.3">
      <c r="A597" s="3" t="s">
        <v>662</v>
      </c>
      <c r="B597" s="4">
        <v>43277</v>
      </c>
      <c r="C597" s="5">
        <v>11</v>
      </c>
      <c r="D597" s="5" t="s">
        <v>29</v>
      </c>
      <c r="E597" s="5" t="s">
        <v>45</v>
      </c>
      <c r="F597" s="5" t="s">
        <v>16</v>
      </c>
      <c r="G597" s="5" t="s">
        <v>10</v>
      </c>
      <c r="H597" s="5">
        <v>39900</v>
      </c>
      <c r="I597" s="5">
        <v>9</v>
      </c>
      <c r="J597" s="9">
        <v>359100</v>
      </c>
    </row>
    <row r="598" spans="1:10" x14ac:dyDescent="0.3">
      <c r="A598" s="3" t="s">
        <v>663</v>
      </c>
      <c r="B598" s="4">
        <v>43278</v>
      </c>
      <c r="C598" s="5">
        <v>4</v>
      </c>
      <c r="D598" s="5" t="s">
        <v>22</v>
      </c>
      <c r="E598" s="5" t="s">
        <v>40</v>
      </c>
      <c r="F598" s="5" t="s">
        <v>18</v>
      </c>
      <c r="G598" s="5" t="s">
        <v>12</v>
      </c>
      <c r="H598" s="5">
        <v>6900</v>
      </c>
      <c r="I598" s="5">
        <v>8</v>
      </c>
      <c r="J598" s="9">
        <v>55200</v>
      </c>
    </row>
    <row r="599" spans="1:10" x14ac:dyDescent="0.3">
      <c r="A599" s="3" t="s">
        <v>664</v>
      </c>
      <c r="B599" s="4">
        <v>43279</v>
      </c>
      <c r="C599" s="5">
        <v>10</v>
      </c>
      <c r="D599" s="5" t="s">
        <v>28</v>
      </c>
      <c r="E599" s="5" t="s">
        <v>41</v>
      </c>
      <c r="F599" s="5" t="s">
        <v>15</v>
      </c>
      <c r="G599" s="5" t="s">
        <v>10</v>
      </c>
      <c r="H599" s="5">
        <v>39900</v>
      </c>
      <c r="I599" s="5">
        <v>9</v>
      </c>
      <c r="J599" s="9">
        <v>359100</v>
      </c>
    </row>
    <row r="600" spans="1:10" x14ac:dyDescent="0.3">
      <c r="A600" s="3" t="s">
        <v>665</v>
      </c>
      <c r="B600" s="4">
        <v>43279</v>
      </c>
      <c r="C600" s="5">
        <v>2</v>
      </c>
      <c r="D600" s="5" t="s">
        <v>20</v>
      </c>
      <c r="E600" s="5" t="s">
        <v>40</v>
      </c>
      <c r="F600" s="5" t="s">
        <v>18</v>
      </c>
      <c r="G600" s="5" t="s">
        <v>14</v>
      </c>
      <c r="H600" s="5">
        <v>15900</v>
      </c>
      <c r="I600" s="5">
        <v>5</v>
      </c>
      <c r="J600" s="9">
        <v>79500</v>
      </c>
    </row>
    <row r="601" spans="1:10" x14ac:dyDescent="0.3">
      <c r="A601" s="3" t="s">
        <v>666</v>
      </c>
      <c r="B601" s="4">
        <v>43279</v>
      </c>
      <c r="C601" s="5">
        <v>5</v>
      </c>
      <c r="D601" s="5" t="s">
        <v>23</v>
      </c>
      <c r="E601" s="5" t="s">
        <v>40</v>
      </c>
      <c r="F601" s="5" t="s">
        <v>18</v>
      </c>
      <c r="G601" s="5" t="s">
        <v>13</v>
      </c>
      <c r="H601" s="5">
        <v>28900</v>
      </c>
      <c r="I601" s="5">
        <v>0</v>
      </c>
      <c r="J601" s="9">
        <v>0</v>
      </c>
    </row>
    <row r="602" spans="1:10" x14ac:dyDescent="0.3">
      <c r="A602" s="3" t="s">
        <v>667</v>
      </c>
      <c r="B602" s="4">
        <v>43279</v>
      </c>
      <c r="C602" s="5">
        <v>10</v>
      </c>
      <c r="D602" s="5" t="s">
        <v>28</v>
      </c>
      <c r="E602" s="5" t="s">
        <v>44</v>
      </c>
      <c r="F602" s="5" t="s">
        <v>15</v>
      </c>
      <c r="G602" s="5" t="s">
        <v>12</v>
      </c>
      <c r="H602" s="5">
        <v>6900</v>
      </c>
      <c r="I602" s="5">
        <v>3</v>
      </c>
      <c r="J602" s="9">
        <v>20700</v>
      </c>
    </row>
    <row r="603" spans="1:10" x14ac:dyDescent="0.3">
      <c r="A603" s="3" t="s">
        <v>668</v>
      </c>
      <c r="B603" s="4">
        <v>43279</v>
      </c>
      <c r="C603" s="5">
        <v>12</v>
      </c>
      <c r="D603" s="5" t="s">
        <v>30</v>
      </c>
      <c r="E603" s="5" t="s">
        <v>45</v>
      </c>
      <c r="F603" s="5" t="s">
        <v>16</v>
      </c>
      <c r="G603" s="5" t="s">
        <v>11</v>
      </c>
      <c r="H603" s="5">
        <v>19900</v>
      </c>
      <c r="I603" s="5">
        <v>3</v>
      </c>
      <c r="J603" s="9">
        <v>59700</v>
      </c>
    </row>
    <row r="604" spans="1:10" x14ac:dyDescent="0.3">
      <c r="A604" s="3" t="s">
        <v>669</v>
      </c>
      <c r="B604" s="4">
        <v>43279</v>
      </c>
      <c r="C604" s="5">
        <v>11</v>
      </c>
      <c r="D604" s="5" t="s">
        <v>29</v>
      </c>
      <c r="E604" s="5" t="s">
        <v>39</v>
      </c>
      <c r="F604" s="5" t="s">
        <v>16</v>
      </c>
      <c r="G604" s="5" t="s">
        <v>13</v>
      </c>
      <c r="H604" s="5">
        <v>28900</v>
      </c>
      <c r="I604" s="5">
        <v>7</v>
      </c>
      <c r="J604" s="9">
        <v>202300</v>
      </c>
    </row>
    <row r="605" spans="1:10" x14ac:dyDescent="0.3">
      <c r="A605" s="3" t="s">
        <v>670</v>
      </c>
      <c r="B605" s="4">
        <v>43279</v>
      </c>
      <c r="C605" s="5">
        <v>1</v>
      </c>
      <c r="D605" s="5" t="s">
        <v>19</v>
      </c>
      <c r="E605" s="5" t="s">
        <v>46</v>
      </c>
      <c r="F605" s="5" t="s">
        <v>18</v>
      </c>
      <c r="G605" s="5" t="s">
        <v>13</v>
      </c>
      <c r="H605" s="5">
        <v>28900</v>
      </c>
      <c r="I605" s="5">
        <v>8</v>
      </c>
      <c r="J605" s="9">
        <v>231200</v>
      </c>
    </row>
    <row r="606" spans="1:10" x14ac:dyDescent="0.3">
      <c r="A606" s="3" t="s">
        <v>671</v>
      </c>
      <c r="B606" s="4">
        <v>43280</v>
      </c>
      <c r="C606" s="5">
        <v>15</v>
      </c>
      <c r="D606" s="5" t="s">
        <v>33</v>
      </c>
      <c r="E606" s="5" t="s">
        <v>45</v>
      </c>
      <c r="F606" s="5" t="s">
        <v>16</v>
      </c>
      <c r="G606" s="5" t="s">
        <v>14</v>
      </c>
      <c r="H606" s="5">
        <v>15900</v>
      </c>
      <c r="I606" s="5">
        <v>5</v>
      </c>
      <c r="J606" s="9">
        <v>79500</v>
      </c>
    </row>
    <row r="607" spans="1:10" x14ac:dyDescent="0.3">
      <c r="A607" s="3" t="s">
        <v>672</v>
      </c>
      <c r="B607" s="4">
        <v>43281</v>
      </c>
      <c r="C607" s="5">
        <v>12</v>
      </c>
      <c r="D607" s="5" t="s">
        <v>30</v>
      </c>
      <c r="E607" s="5" t="s">
        <v>39</v>
      </c>
      <c r="F607" s="5" t="s">
        <v>16</v>
      </c>
      <c r="G607" s="5" t="s">
        <v>13</v>
      </c>
      <c r="H607" s="5">
        <v>28900</v>
      </c>
      <c r="I607" s="5">
        <v>3</v>
      </c>
      <c r="J607" s="9">
        <v>86700</v>
      </c>
    </row>
    <row r="608" spans="1:10" x14ac:dyDescent="0.3">
      <c r="A608" s="3" t="s">
        <v>673</v>
      </c>
      <c r="B608" s="4">
        <v>43281</v>
      </c>
      <c r="C608" s="5">
        <v>20</v>
      </c>
      <c r="D608" s="5" t="s">
        <v>38</v>
      </c>
      <c r="E608" s="5" t="s">
        <v>42</v>
      </c>
      <c r="F608" s="5" t="s">
        <v>17</v>
      </c>
      <c r="G608" s="5" t="s">
        <v>10</v>
      </c>
      <c r="H608" s="5">
        <v>39900</v>
      </c>
      <c r="I608" s="5">
        <v>7</v>
      </c>
      <c r="J608" s="9">
        <v>279300</v>
      </c>
    </row>
    <row r="609" spans="1:10" x14ac:dyDescent="0.3">
      <c r="A609" s="3" t="s">
        <v>674</v>
      </c>
      <c r="B609" s="4">
        <v>43281</v>
      </c>
      <c r="C609" s="5">
        <v>12</v>
      </c>
      <c r="D609" s="5" t="s">
        <v>30</v>
      </c>
      <c r="E609" s="5" t="s">
        <v>39</v>
      </c>
      <c r="F609" s="5" t="s">
        <v>16</v>
      </c>
      <c r="G609" s="5" t="s">
        <v>12</v>
      </c>
      <c r="H609" s="5">
        <v>6900</v>
      </c>
      <c r="I609" s="5">
        <v>4</v>
      </c>
      <c r="J609" s="9">
        <v>27600</v>
      </c>
    </row>
    <row r="610" spans="1:10" x14ac:dyDescent="0.3">
      <c r="A610" s="3" t="s">
        <v>675</v>
      </c>
      <c r="B610" s="4">
        <v>43281</v>
      </c>
      <c r="C610" s="5">
        <v>19</v>
      </c>
      <c r="D610" s="5" t="s">
        <v>37</v>
      </c>
      <c r="E610" s="5" t="s">
        <v>42</v>
      </c>
      <c r="F610" s="5" t="s">
        <v>17</v>
      </c>
      <c r="G610" s="5" t="s">
        <v>12</v>
      </c>
      <c r="H610" s="5">
        <v>6900</v>
      </c>
      <c r="I610" s="5">
        <v>4</v>
      </c>
      <c r="J610" s="9">
        <v>27600</v>
      </c>
    </row>
    <row r="611" spans="1:10" x14ac:dyDescent="0.3">
      <c r="A611" s="3" t="s">
        <v>676</v>
      </c>
      <c r="B611" s="4">
        <v>43282</v>
      </c>
      <c r="C611" s="5">
        <v>12</v>
      </c>
      <c r="D611" s="5" t="s">
        <v>30</v>
      </c>
      <c r="E611" s="5" t="s">
        <v>45</v>
      </c>
      <c r="F611" s="5" t="s">
        <v>16</v>
      </c>
      <c r="G611" s="5" t="s">
        <v>12</v>
      </c>
      <c r="H611" s="5">
        <v>6900</v>
      </c>
      <c r="I611" s="5">
        <v>8</v>
      </c>
      <c r="J611" s="9">
        <v>55200</v>
      </c>
    </row>
    <row r="612" spans="1:10" x14ac:dyDescent="0.3">
      <c r="A612" s="3" t="s">
        <v>677</v>
      </c>
      <c r="B612" s="4">
        <v>43282</v>
      </c>
      <c r="C612" s="5">
        <v>10</v>
      </c>
      <c r="D612" s="5" t="s">
        <v>28</v>
      </c>
      <c r="E612" s="5" t="s">
        <v>44</v>
      </c>
      <c r="F612" s="5" t="s">
        <v>15</v>
      </c>
      <c r="G612" s="5" t="s">
        <v>13</v>
      </c>
      <c r="H612" s="5">
        <v>28900</v>
      </c>
      <c r="I612" s="5">
        <v>9</v>
      </c>
      <c r="J612" s="9">
        <v>260100</v>
      </c>
    </row>
    <row r="613" spans="1:10" x14ac:dyDescent="0.3">
      <c r="A613" s="3" t="s">
        <v>678</v>
      </c>
      <c r="B613" s="4">
        <v>43282</v>
      </c>
      <c r="C613" s="5">
        <v>17</v>
      </c>
      <c r="D613" s="5" t="s">
        <v>35</v>
      </c>
      <c r="E613" s="5" t="s">
        <v>42</v>
      </c>
      <c r="F613" s="5" t="s">
        <v>17</v>
      </c>
      <c r="G613" s="5" t="s">
        <v>13</v>
      </c>
      <c r="H613" s="5">
        <v>28900</v>
      </c>
      <c r="I613" s="5">
        <v>9</v>
      </c>
      <c r="J613" s="9">
        <v>260100</v>
      </c>
    </row>
    <row r="614" spans="1:10" x14ac:dyDescent="0.3">
      <c r="A614" s="3" t="s">
        <v>679</v>
      </c>
      <c r="B614" s="4">
        <v>43283</v>
      </c>
      <c r="C614" s="5">
        <v>15</v>
      </c>
      <c r="D614" s="5" t="s">
        <v>33</v>
      </c>
      <c r="E614" s="5" t="s">
        <v>45</v>
      </c>
      <c r="F614" s="5" t="s">
        <v>16</v>
      </c>
      <c r="G614" s="5" t="s">
        <v>12</v>
      </c>
      <c r="H614" s="5">
        <v>6900</v>
      </c>
      <c r="I614" s="5">
        <v>2</v>
      </c>
      <c r="J614" s="9">
        <v>13800</v>
      </c>
    </row>
    <row r="615" spans="1:10" x14ac:dyDescent="0.3">
      <c r="A615" s="3" t="s">
        <v>680</v>
      </c>
      <c r="B615" s="4">
        <v>43284</v>
      </c>
      <c r="C615" s="5">
        <v>20</v>
      </c>
      <c r="D615" s="5" t="s">
        <v>38</v>
      </c>
      <c r="E615" s="5" t="s">
        <v>43</v>
      </c>
      <c r="F615" s="5" t="s">
        <v>17</v>
      </c>
      <c r="G615" s="5" t="s">
        <v>13</v>
      </c>
      <c r="H615" s="5">
        <v>28900</v>
      </c>
      <c r="I615" s="5">
        <v>0</v>
      </c>
      <c r="J615" s="9">
        <v>0</v>
      </c>
    </row>
    <row r="616" spans="1:10" x14ac:dyDescent="0.3">
      <c r="A616" s="3" t="s">
        <v>681</v>
      </c>
      <c r="B616" s="4">
        <v>43285</v>
      </c>
      <c r="C616" s="5">
        <v>10</v>
      </c>
      <c r="D616" s="5" t="s">
        <v>28</v>
      </c>
      <c r="E616" s="5" t="s">
        <v>41</v>
      </c>
      <c r="F616" s="5" t="s">
        <v>15</v>
      </c>
      <c r="G616" s="5" t="s">
        <v>14</v>
      </c>
      <c r="H616" s="5">
        <v>15900</v>
      </c>
      <c r="I616" s="5">
        <v>2</v>
      </c>
      <c r="J616" s="9">
        <v>31800</v>
      </c>
    </row>
    <row r="617" spans="1:10" x14ac:dyDescent="0.3">
      <c r="A617" s="3" t="s">
        <v>682</v>
      </c>
      <c r="B617" s="4">
        <v>43286</v>
      </c>
      <c r="C617" s="5">
        <v>11</v>
      </c>
      <c r="D617" s="5" t="s">
        <v>29</v>
      </c>
      <c r="E617" s="5" t="s">
        <v>45</v>
      </c>
      <c r="F617" s="5" t="s">
        <v>16</v>
      </c>
      <c r="G617" s="5" t="s">
        <v>12</v>
      </c>
      <c r="H617" s="5">
        <v>6900</v>
      </c>
      <c r="I617" s="5">
        <v>7</v>
      </c>
      <c r="J617" s="9">
        <v>48300</v>
      </c>
    </row>
    <row r="618" spans="1:10" x14ac:dyDescent="0.3">
      <c r="A618" s="3" t="s">
        <v>683</v>
      </c>
      <c r="B618" s="4">
        <v>43287</v>
      </c>
      <c r="C618" s="5">
        <v>19</v>
      </c>
      <c r="D618" s="5" t="s">
        <v>37</v>
      </c>
      <c r="E618" s="5" t="s">
        <v>43</v>
      </c>
      <c r="F618" s="5" t="s">
        <v>17</v>
      </c>
      <c r="G618" s="5" t="s">
        <v>11</v>
      </c>
      <c r="H618" s="5">
        <v>19900</v>
      </c>
      <c r="I618" s="5">
        <v>8</v>
      </c>
      <c r="J618" s="9">
        <v>159200</v>
      </c>
    </row>
    <row r="619" spans="1:10" x14ac:dyDescent="0.3">
      <c r="A619" s="3" t="s">
        <v>684</v>
      </c>
      <c r="B619" s="4">
        <v>43287</v>
      </c>
      <c r="C619" s="5">
        <v>19</v>
      </c>
      <c r="D619" s="5" t="s">
        <v>37</v>
      </c>
      <c r="E619" s="5" t="s">
        <v>43</v>
      </c>
      <c r="F619" s="5" t="s">
        <v>17</v>
      </c>
      <c r="G619" s="5" t="s">
        <v>10</v>
      </c>
      <c r="H619" s="5">
        <v>39900</v>
      </c>
      <c r="I619" s="5">
        <v>0</v>
      </c>
      <c r="J619" s="9">
        <v>0</v>
      </c>
    </row>
    <row r="620" spans="1:10" x14ac:dyDescent="0.3">
      <c r="A620" s="3" t="s">
        <v>685</v>
      </c>
      <c r="B620" s="4">
        <v>43288</v>
      </c>
      <c r="C620" s="5">
        <v>17</v>
      </c>
      <c r="D620" s="5" t="s">
        <v>35</v>
      </c>
      <c r="E620" s="5" t="s">
        <v>43</v>
      </c>
      <c r="F620" s="5" t="s">
        <v>17</v>
      </c>
      <c r="G620" s="5" t="s">
        <v>13</v>
      </c>
      <c r="H620" s="5">
        <v>28900</v>
      </c>
      <c r="I620" s="5">
        <v>6</v>
      </c>
      <c r="J620" s="9">
        <v>173400</v>
      </c>
    </row>
    <row r="621" spans="1:10" x14ac:dyDescent="0.3">
      <c r="A621" s="3" t="s">
        <v>686</v>
      </c>
      <c r="B621" s="4">
        <v>43288</v>
      </c>
      <c r="C621" s="5">
        <v>20</v>
      </c>
      <c r="D621" s="5" t="s">
        <v>38</v>
      </c>
      <c r="E621" s="5" t="s">
        <v>43</v>
      </c>
      <c r="F621" s="5" t="s">
        <v>17</v>
      </c>
      <c r="G621" s="5" t="s">
        <v>14</v>
      </c>
      <c r="H621" s="5">
        <v>15900</v>
      </c>
      <c r="I621" s="5">
        <v>9</v>
      </c>
      <c r="J621" s="9">
        <v>143100</v>
      </c>
    </row>
    <row r="622" spans="1:10" x14ac:dyDescent="0.3">
      <c r="A622" s="3" t="s">
        <v>687</v>
      </c>
      <c r="B622" s="4">
        <v>43288</v>
      </c>
      <c r="C622" s="5">
        <v>10</v>
      </c>
      <c r="D622" s="5" t="s">
        <v>28</v>
      </c>
      <c r="E622" s="5" t="s">
        <v>44</v>
      </c>
      <c r="F622" s="5" t="s">
        <v>15</v>
      </c>
      <c r="G622" s="5" t="s">
        <v>14</v>
      </c>
      <c r="H622" s="5">
        <v>15900</v>
      </c>
      <c r="I622" s="5">
        <v>7</v>
      </c>
      <c r="J622" s="9">
        <v>111300</v>
      </c>
    </row>
    <row r="623" spans="1:10" x14ac:dyDescent="0.3">
      <c r="A623" s="3" t="s">
        <v>688</v>
      </c>
      <c r="B623" s="4">
        <v>43288</v>
      </c>
      <c r="C623" s="5">
        <v>13</v>
      </c>
      <c r="D623" s="5" t="s">
        <v>31</v>
      </c>
      <c r="E623" s="5" t="s">
        <v>45</v>
      </c>
      <c r="F623" s="5" t="s">
        <v>16</v>
      </c>
      <c r="G623" s="5" t="s">
        <v>14</v>
      </c>
      <c r="H623" s="5">
        <v>15900</v>
      </c>
      <c r="I623" s="5">
        <v>9</v>
      </c>
      <c r="J623" s="9">
        <v>143100</v>
      </c>
    </row>
    <row r="624" spans="1:10" x14ac:dyDescent="0.3">
      <c r="A624" s="3" t="s">
        <v>689</v>
      </c>
      <c r="B624" s="4">
        <v>43288</v>
      </c>
      <c r="C624" s="5">
        <v>14</v>
      </c>
      <c r="D624" s="5" t="s">
        <v>32</v>
      </c>
      <c r="E624" s="5" t="s">
        <v>45</v>
      </c>
      <c r="F624" s="5" t="s">
        <v>16</v>
      </c>
      <c r="G624" s="5" t="s">
        <v>11</v>
      </c>
      <c r="H624" s="5">
        <v>19900</v>
      </c>
      <c r="I624" s="5">
        <v>0</v>
      </c>
      <c r="J624" s="9">
        <v>0</v>
      </c>
    </row>
    <row r="625" spans="1:10" x14ac:dyDescent="0.3">
      <c r="A625" s="3" t="s">
        <v>690</v>
      </c>
      <c r="B625" s="4">
        <v>43289</v>
      </c>
      <c r="C625" s="5">
        <v>3</v>
      </c>
      <c r="D625" s="5" t="s">
        <v>21</v>
      </c>
      <c r="E625" s="5" t="s">
        <v>46</v>
      </c>
      <c r="F625" s="5" t="s">
        <v>18</v>
      </c>
      <c r="G625" s="5" t="s">
        <v>11</v>
      </c>
      <c r="H625" s="5">
        <v>19900</v>
      </c>
      <c r="I625" s="5">
        <v>4</v>
      </c>
      <c r="J625" s="9">
        <v>79600</v>
      </c>
    </row>
    <row r="626" spans="1:10" x14ac:dyDescent="0.3">
      <c r="A626" s="3" t="s">
        <v>691</v>
      </c>
      <c r="B626" s="4">
        <v>43289</v>
      </c>
      <c r="C626" s="5">
        <v>17</v>
      </c>
      <c r="D626" s="5" t="s">
        <v>35</v>
      </c>
      <c r="E626" s="5" t="s">
        <v>42</v>
      </c>
      <c r="F626" s="5" t="s">
        <v>17</v>
      </c>
      <c r="G626" s="5" t="s">
        <v>10</v>
      </c>
      <c r="H626" s="5">
        <v>39900</v>
      </c>
      <c r="I626" s="5">
        <v>8</v>
      </c>
      <c r="J626" s="9">
        <v>319200</v>
      </c>
    </row>
    <row r="627" spans="1:10" x14ac:dyDescent="0.3">
      <c r="A627" s="3" t="s">
        <v>692</v>
      </c>
      <c r="B627" s="4">
        <v>43289</v>
      </c>
      <c r="C627" s="5">
        <v>1</v>
      </c>
      <c r="D627" s="5" t="s">
        <v>19</v>
      </c>
      <c r="E627" s="5" t="s">
        <v>40</v>
      </c>
      <c r="F627" s="5" t="s">
        <v>18</v>
      </c>
      <c r="G627" s="5" t="s">
        <v>13</v>
      </c>
      <c r="H627" s="5">
        <v>28900</v>
      </c>
      <c r="I627" s="5">
        <v>0</v>
      </c>
      <c r="J627" s="9">
        <v>0</v>
      </c>
    </row>
    <row r="628" spans="1:10" x14ac:dyDescent="0.3">
      <c r="A628" s="3" t="s">
        <v>693</v>
      </c>
      <c r="B628" s="4">
        <v>43289</v>
      </c>
      <c r="C628" s="5">
        <v>18</v>
      </c>
      <c r="D628" s="5" t="s">
        <v>36</v>
      </c>
      <c r="E628" s="5" t="s">
        <v>42</v>
      </c>
      <c r="F628" s="5" t="s">
        <v>17</v>
      </c>
      <c r="G628" s="5" t="s">
        <v>12</v>
      </c>
      <c r="H628" s="5">
        <v>6900</v>
      </c>
      <c r="I628" s="5">
        <v>4</v>
      </c>
      <c r="J628" s="9">
        <v>27600</v>
      </c>
    </row>
    <row r="629" spans="1:10" x14ac:dyDescent="0.3">
      <c r="A629" s="3" t="s">
        <v>694</v>
      </c>
      <c r="B629" s="4">
        <v>43289</v>
      </c>
      <c r="C629" s="5">
        <v>14</v>
      </c>
      <c r="D629" s="5" t="s">
        <v>32</v>
      </c>
      <c r="E629" s="5" t="s">
        <v>39</v>
      </c>
      <c r="F629" s="5" t="s">
        <v>16</v>
      </c>
      <c r="G629" s="5" t="s">
        <v>10</v>
      </c>
      <c r="H629" s="5">
        <v>39900</v>
      </c>
      <c r="I629" s="5">
        <v>5</v>
      </c>
      <c r="J629" s="9">
        <v>199500</v>
      </c>
    </row>
    <row r="630" spans="1:10" x14ac:dyDescent="0.3">
      <c r="A630" s="3" t="s">
        <v>695</v>
      </c>
      <c r="B630" s="4">
        <v>43289</v>
      </c>
      <c r="C630" s="5">
        <v>2</v>
      </c>
      <c r="D630" s="5" t="s">
        <v>20</v>
      </c>
      <c r="E630" s="5" t="s">
        <v>46</v>
      </c>
      <c r="F630" s="5" t="s">
        <v>18</v>
      </c>
      <c r="G630" s="5" t="s">
        <v>12</v>
      </c>
      <c r="H630" s="5">
        <v>6900</v>
      </c>
      <c r="I630" s="5">
        <v>6</v>
      </c>
      <c r="J630" s="9">
        <v>41400</v>
      </c>
    </row>
    <row r="631" spans="1:10" x14ac:dyDescent="0.3">
      <c r="A631" s="3" t="s">
        <v>696</v>
      </c>
      <c r="B631" s="4">
        <v>43290</v>
      </c>
      <c r="C631" s="5">
        <v>10</v>
      </c>
      <c r="D631" s="5" t="s">
        <v>28</v>
      </c>
      <c r="E631" s="5" t="s">
        <v>41</v>
      </c>
      <c r="F631" s="5" t="s">
        <v>15</v>
      </c>
      <c r="G631" s="5" t="s">
        <v>14</v>
      </c>
      <c r="H631" s="5">
        <v>15900</v>
      </c>
      <c r="I631" s="5">
        <v>3</v>
      </c>
      <c r="J631" s="9">
        <v>47700</v>
      </c>
    </row>
    <row r="632" spans="1:10" x14ac:dyDescent="0.3">
      <c r="A632" s="3" t="s">
        <v>697</v>
      </c>
      <c r="B632" s="4">
        <v>43291</v>
      </c>
      <c r="C632" s="5">
        <v>13</v>
      </c>
      <c r="D632" s="5" t="s">
        <v>31</v>
      </c>
      <c r="E632" s="5" t="s">
        <v>39</v>
      </c>
      <c r="F632" s="5" t="s">
        <v>16</v>
      </c>
      <c r="G632" s="5" t="s">
        <v>11</v>
      </c>
      <c r="H632" s="5">
        <v>19900</v>
      </c>
      <c r="I632" s="5">
        <v>4</v>
      </c>
      <c r="J632" s="9">
        <v>79600</v>
      </c>
    </row>
    <row r="633" spans="1:10" x14ac:dyDescent="0.3">
      <c r="A633" s="3" t="s">
        <v>698</v>
      </c>
      <c r="B633" s="4">
        <v>43291</v>
      </c>
      <c r="C633" s="5">
        <v>17</v>
      </c>
      <c r="D633" s="5" t="s">
        <v>35</v>
      </c>
      <c r="E633" s="5" t="s">
        <v>42</v>
      </c>
      <c r="F633" s="5" t="s">
        <v>17</v>
      </c>
      <c r="G633" s="5" t="s">
        <v>12</v>
      </c>
      <c r="H633" s="5">
        <v>6900</v>
      </c>
      <c r="I633" s="5">
        <v>3</v>
      </c>
      <c r="J633" s="9">
        <v>20700</v>
      </c>
    </row>
    <row r="634" spans="1:10" x14ac:dyDescent="0.3">
      <c r="A634" s="3" t="s">
        <v>699</v>
      </c>
      <c r="B634" s="4">
        <v>43292</v>
      </c>
      <c r="C634" s="5">
        <v>20</v>
      </c>
      <c r="D634" s="5" t="s">
        <v>38</v>
      </c>
      <c r="E634" s="5" t="s">
        <v>42</v>
      </c>
      <c r="F634" s="5" t="s">
        <v>17</v>
      </c>
      <c r="G634" s="5" t="s">
        <v>14</v>
      </c>
      <c r="H634" s="5">
        <v>15900</v>
      </c>
      <c r="I634" s="5">
        <v>3</v>
      </c>
      <c r="J634" s="9">
        <v>47700</v>
      </c>
    </row>
    <row r="635" spans="1:10" x14ac:dyDescent="0.3">
      <c r="A635" s="3" t="s">
        <v>700</v>
      </c>
      <c r="B635" s="4">
        <v>43292</v>
      </c>
      <c r="C635" s="5">
        <v>5</v>
      </c>
      <c r="D635" s="5" t="s">
        <v>23</v>
      </c>
      <c r="E635" s="5" t="s">
        <v>40</v>
      </c>
      <c r="F635" s="5" t="s">
        <v>18</v>
      </c>
      <c r="G635" s="5" t="s">
        <v>10</v>
      </c>
      <c r="H635" s="5">
        <v>39900</v>
      </c>
      <c r="I635" s="5">
        <v>0</v>
      </c>
      <c r="J635" s="9">
        <v>0</v>
      </c>
    </row>
    <row r="636" spans="1:10" x14ac:dyDescent="0.3">
      <c r="A636" s="3" t="s">
        <v>701</v>
      </c>
      <c r="B636" s="4">
        <v>43292</v>
      </c>
      <c r="C636" s="5">
        <v>3</v>
      </c>
      <c r="D636" s="5" t="s">
        <v>21</v>
      </c>
      <c r="E636" s="5" t="s">
        <v>40</v>
      </c>
      <c r="F636" s="5" t="s">
        <v>18</v>
      </c>
      <c r="G636" s="5" t="s">
        <v>14</v>
      </c>
      <c r="H636" s="5">
        <v>15900</v>
      </c>
      <c r="I636" s="5">
        <v>5</v>
      </c>
      <c r="J636" s="9">
        <v>79500</v>
      </c>
    </row>
    <row r="637" spans="1:10" x14ac:dyDescent="0.3">
      <c r="A637" s="3" t="s">
        <v>702</v>
      </c>
      <c r="B637" s="4">
        <v>43293</v>
      </c>
      <c r="C637" s="5">
        <v>16</v>
      </c>
      <c r="D637" s="5" t="s">
        <v>34</v>
      </c>
      <c r="E637" s="5" t="s">
        <v>42</v>
      </c>
      <c r="F637" s="5" t="s">
        <v>17</v>
      </c>
      <c r="G637" s="5" t="s">
        <v>12</v>
      </c>
      <c r="H637" s="5">
        <v>6900</v>
      </c>
      <c r="I637" s="5">
        <v>5</v>
      </c>
      <c r="J637" s="9">
        <v>34500</v>
      </c>
    </row>
    <row r="638" spans="1:10" x14ac:dyDescent="0.3">
      <c r="A638" s="3" t="s">
        <v>703</v>
      </c>
      <c r="B638" s="4">
        <v>43294</v>
      </c>
      <c r="C638" s="5">
        <v>17</v>
      </c>
      <c r="D638" s="5" t="s">
        <v>35</v>
      </c>
      <c r="E638" s="5" t="s">
        <v>42</v>
      </c>
      <c r="F638" s="5" t="s">
        <v>17</v>
      </c>
      <c r="G638" s="5" t="s">
        <v>14</v>
      </c>
      <c r="H638" s="5">
        <v>15900</v>
      </c>
      <c r="I638" s="5">
        <v>6</v>
      </c>
      <c r="J638" s="9">
        <v>95400</v>
      </c>
    </row>
    <row r="639" spans="1:10" x14ac:dyDescent="0.3">
      <c r="A639" s="3" t="s">
        <v>704</v>
      </c>
      <c r="B639" s="4">
        <v>43294</v>
      </c>
      <c r="C639" s="5">
        <v>11</v>
      </c>
      <c r="D639" s="5" t="s">
        <v>29</v>
      </c>
      <c r="E639" s="5" t="s">
        <v>39</v>
      </c>
      <c r="F639" s="5" t="s">
        <v>16</v>
      </c>
      <c r="G639" s="5" t="s">
        <v>14</v>
      </c>
      <c r="H639" s="5">
        <v>15900</v>
      </c>
      <c r="I639" s="5">
        <v>5</v>
      </c>
      <c r="J639" s="9">
        <v>79500</v>
      </c>
    </row>
    <row r="640" spans="1:10" x14ac:dyDescent="0.3">
      <c r="A640" s="3" t="s">
        <v>705</v>
      </c>
      <c r="B640" s="4">
        <v>43294</v>
      </c>
      <c r="C640" s="5">
        <v>16</v>
      </c>
      <c r="D640" s="5" t="s">
        <v>34</v>
      </c>
      <c r="E640" s="5" t="s">
        <v>42</v>
      </c>
      <c r="F640" s="5" t="s">
        <v>17</v>
      </c>
      <c r="G640" s="5" t="s">
        <v>10</v>
      </c>
      <c r="H640" s="5">
        <v>39900</v>
      </c>
      <c r="I640" s="5">
        <v>3</v>
      </c>
      <c r="J640" s="9">
        <v>119700</v>
      </c>
    </row>
    <row r="641" spans="1:10" x14ac:dyDescent="0.3">
      <c r="A641" s="3" t="s">
        <v>706</v>
      </c>
      <c r="B641" s="4">
        <v>43295</v>
      </c>
      <c r="C641" s="5">
        <v>20</v>
      </c>
      <c r="D641" s="5" t="s">
        <v>38</v>
      </c>
      <c r="E641" s="5" t="s">
        <v>43</v>
      </c>
      <c r="F641" s="5" t="s">
        <v>17</v>
      </c>
      <c r="G641" s="5" t="s">
        <v>13</v>
      </c>
      <c r="H641" s="5">
        <v>28900</v>
      </c>
      <c r="I641" s="5">
        <v>4</v>
      </c>
      <c r="J641" s="9">
        <v>115600</v>
      </c>
    </row>
    <row r="642" spans="1:10" x14ac:dyDescent="0.3">
      <c r="A642" s="3" t="s">
        <v>707</v>
      </c>
      <c r="B642" s="4">
        <v>43295</v>
      </c>
      <c r="C642" s="5">
        <v>10</v>
      </c>
      <c r="D642" s="5" t="s">
        <v>28</v>
      </c>
      <c r="E642" s="5" t="s">
        <v>44</v>
      </c>
      <c r="F642" s="5" t="s">
        <v>15</v>
      </c>
      <c r="G642" s="5" t="s">
        <v>10</v>
      </c>
      <c r="H642" s="5">
        <v>39900</v>
      </c>
      <c r="I642" s="5">
        <v>7</v>
      </c>
      <c r="J642" s="9">
        <v>279300</v>
      </c>
    </row>
    <row r="643" spans="1:10" x14ac:dyDescent="0.3">
      <c r="A643" s="3" t="s">
        <v>708</v>
      </c>
      <c r="B643" s="4">
        <v>43296</v>
      </c>
      <c r="C643" s="5">
        <v>10</v>
      </c>
      <c r="D643" s="5" t="s">
        <v>28</v>
      </c>
      <c r="E643" s="5" t="s">
        <v>44</v>
      </c>
      <c r="F643" s="5" t="s">
        <v>15</v>
      </c>
      <c r="G643" s="5" t="s">
        <v>10</v>
      </c>
      <c r="H643" s="5">
        <v>39900</v>
      </c>
      <c r="I643" s="5">
        <v>9</v>
      </c>
      <c r="J643" s="9">
        <v>359100</v>
      </c>
    </row>
    <row r="644" spans="1:10" x14ac:dyDescent="0.3">
      <c r="A644" s="3" t="s">
        <v>709</v>
      </c>
      <c r="B644" s="4">
        <v>43296</v>
      </c>
      <c r="C644" s="5">
        <v>13</v>
      </c>
      <c r="D644" s="5" t="s">
        <v>31</v>
      </c>
      <c r="E644" s="5" t="s">
        <v>39</v>
      </c>
      <c r="F644" s="5" t="s">
        <v>16</v>
      </c>
      <c r="G644" s="5" t="s">
        <v>10</v>
      </c>
      <c r="H644" s="5">
        <v>39900</v>
      </c>
      <c r="I644" s="5">
        <v>8</v>
      </c>
      <c r="J644" s="9">
        <v>319200</v>
      </c>
    </row>
    <row r="645" spans="1:10" x14ac:dyDescent="0.3">
      <c r="A645" s="3" t="s">
        <v>710</v>
      </c>
      <c r="B645" s="4">
        <v>43297</v>
      </c>
      <c r="C645" s="5">
        <v>6</v>
      </c>
      <c r="D645" s="5" t="s">
        <v>24</v>
      </c>
      <c r="E645" s="5" t="s">
        <v>44</v>
      </c>
      <c r="F645" s="5" t="s">
        <v>15</v>
      </c>
      <c r="G645" s="5" t="s">
        <v>11</v>
      </c>
      <c r="H645" s="5">
        <v>19900</v>
      </c>
      <c r="I645" s="5">
        <v>6</v>
      </c>
      <c r="J645" s="9">
        <v>119400</v>
      </c>
    </row>
    <row r="646" spans="1:10" x14ac:dyDescent="0.3">
      <c r="A646" s="3" t="s">
        <v>711</v>
      </c>
      <c r="B646" s="4">
        <v>43297</v>
      </c>
      <c r="C646" s="5">
        <v>1</v>
      </c>
      <c r="D646" s="5" t="s">
        <v>19</v>
      </c>
      <c r="E646" s="5" t="s">
        <v>40</v>
      </c>
      <c r="F646" s="5" t="s">
        <v>18</v>
      </c>
      <c r="G646" s="5" t="s">
        <v>12</v>
      </c>
      <c r="H646" s="5">
        <v>6900</v>
      </c>
      <c r="I646" s="5">
        <v>9</v>
      </c>
      <c r="J646" s="9">
        <v>62100</v>
      </c>
    </row>
    <row r="647" spans="1:10" x14ac:dyDescent="0.3">
      <c r="A647" s="3" t="s">
        <v>712</v>
      </c>
      <c r="B647" s="4">
        <v>43297</v>
      </c>
      <c r="C647" s="5">
        <v>14</v>
      </c>
      <c r="D647" s="5" t="s">
        <v>32</v>
      </c>
      <c r="E647" s="5" t="s">
        <v>39</v>
      </c>
      <c r="F647" s="5" t="s">
        <v>16</v>
      </c>
      <c r="G647" s="5" t="s">
        <v>11</v>
      </c>
      <c r="H647" s="5">
        <v>19900</v>
      </c>
      <c r="I647" s="5">
        <v>0</v>
      </c>
      <c r="J647" s="9">
        <v>0</v>
      </c>
    </row>
    <row r="648" spans="1:10" x14ac:dyDescent="0.3">
      <c r="A648" s="3" t="s">
        <v>713</v>
      </c>
      <c r="B648" s="4">
        <v>43297</v>
      </c>
      <c r="C648" s="5">
        <v>13</v>
      </c>
      <c r="D648" s="5" t="s">
        <v>31</v>
      </c>
      <c r="E648" s="5" t="s">
        <v>39</v>
      </c>
      <c r="F648" s="5" t="s">
        <v>16</v>
      </c>
      <c r="G648" s="5" t="s">
        <v>13</v>
      </c>
      <c r="H648" s="5">
        <v>28900</v>
      </c>
      <c r="I648" s="5">
        <v>3</v>
      </c>
      <c r="J648" s="9">
        <v>86700</v>
      </c>
    </row>
    <row r="649" spans="1:10" x14ac:dyDescent="0.3">
      <c r="A649" s="3" t="s">
        <v>714</v>
      </c>
      <c r="B649" s="4">
        <v>43297</v>
      </c>
      <c r="C649" s="5">
        <v>8</v>
      </c>
      <c r="D649" s="5" t="s">
        <v>26</v>
      </c>
      <c r="E649" s="5" t="s">
        <v>41</v>
      </c>
      <c r="F649" s="5" t="s">
        <v>15</v>
      </c>
      <c r="G649" s="5" t="s">
        <v>11</v>
      </c>
      <c r="H649" s="5">
        <v>19900</v>
      </c>
      <c r="I649" s="5">
        <v>1</v>
      </c>
      <c r="J649" s="9">
        <v>19900</v>
      </c>
    </row>
    <row r="650" spans="1:10" x14ac:dyDescent="0.3">
      <c r="A650" s="3" t="s">
        <v>715</v>
      </c>
      <c r="B650" s="4">
        <v>43298</v>
      </c>
      <c r="C650" s="5">
        <v>8</v>
      </c>
      <c r="D650" s="5" t="s">
        <v>26</v>
      </c>
      <c r="E650" s="5" t="s">
        <v>44</v>
      </c>
      <c r="F650" s="5" t="s">
        <v>15</v>
      </c>
      <c r="G650" s="5" t="s">
        <v>10</v>
      </c>
      <c r="H650" s="5">
        <v>39900</v>
      </c>
      <c r="I650" s="5">
        <v>5</v>
      </c>
      <c r="J650" s="9">
        <v>199500</v>
      </c>
    </row>
    <row r="651" spans="1:10" x14ac:dyDescent="0.3">
      <c r="A651" s="3" t="s">
        <v>716</v>
      </c>
      <c r="B651" s="4">
        <v>43298</v>
      </c>
      <c r="C651" s="5">
        <v>13</v>
      </c>
      <c r="D651" s="5" t="s">
        <v>31</v>
      </c>
      <c r="E651" s="5" t="s">
        <v>45</v>
      </c>
      <c r="F651" s="5" t="s">
        <v>16</v>
      </c>
      <c r="G651" s="5" t="s">
        <v>13</v>
      </c>
      <c r="H651" s="5">
        <v>28900</v>
      </c>
      <c r="I651" s="5">
        <v>3</v>
      </c>
      <c r="J651" s="9">
        <v>86700</v>
      </c>
    </row>
    <row r="652" spans="1:10" x14ac:dyDescent="0.3">
      <c r="A652" s="3" t="s">
        <v>717</v>
      </c>
      <c r="B652" s="4">
        <v>43298</v>
      </c>
      <c r="C652" s="5">
        <v>17</v>
      </c>
      <c r="D652" s="5" t="s">
        <v>35</v>
      </c>
      <c r="E652" s="5" t="s">
        <v>43</v>
      </c>
      <c r="F652" s="5" t="s">
        <v>17</v>
      </c>
      <c r="G652" s="5" t="s">
        <v>14</v>
      </c>
      <c r="H652" s="5">
        <v>15900</v>
      </c>
      <c r="I652" s="5">
        <v>2</v>
      </c>
      <c r="J652" s="9">
        <v>31800</v>
      </c>
    </row>
    <row r="653" spans="1:10" x14ac:dyDescent="0.3">
      <c r="A653" s="3" t="s">
        <v>718</v>
      </c>
      <c r="B653" s="4">
        <v>43298</v>
      </c>
      <c r="C653" s="5">
        <v>15</v>
      </c>
      <c r="D653" s="5" t="s">
        <v>33</v>
      </c>
      <c r="E653" s="5" t="s">
        <v>45</v>
      </c>
      <c r="F653" s="5" t="s">
        <v>16</v>
      </c>
      <c r="G653" s="5" t="s">
        <v>14</v>
      </c>
      <c r="H653" s="5">
        <v>15900</v>
      </c>
      <c r="I653" s="5">
        <v>3</v>
      </c>
      <c r="J653" s="9">
        <v>47700</v>
      </c>
    </row>
    <row r="654" spans="1:10" x14ac:dyDescent="0.3">
      <c r="A654" s="3" t="s">
        <v>719</v>
      </c>
      <c r="B654" s="4">
        <v>43299</v>
      </c>
      <c r="C654" s="5">
        <v>5</v>
      </c>
      <c r="D654" s="5" t="s">
        <v>23</v>
      </c>
      <c r="E654" s="5" t="s">
        <v>46</v>
      </c>
      <c r="F654" s="5" t="s">
        <v>18</v>
      </c>
      <c r="G654" s="5" t="s">
        <v>14</v>
      </c>
      <c r="H654" s="5">
        <v>15900</v>
      </c>
      <c r="I654" s="5">
        <v>1</v>
      </c>
      <c r="J654" s="9">
        <v>15900</v>
      </c>
    </row>
    <row r="655" spans="1:10" x14ac:dyDescent="0.3">
      <c r="A655" s="3" t="s">
        <v>720</v>
      </c>
      <c r="B655" s="4">
        <v>43299</v>
      </c>
      <c r="C655" s="5">
        <v>1</v>
      </c>
      <c r="D655" s="5" t="s">
        <v>19</v>
      </c>
      <c r="E655" s="5" t="s">
        <v>40</v>
      </c>
      <c r="F655" s="5" t="s">
        <v>18</v>
      </c>
      <c r="G655" s="5" t="s">
        <v>12</v>
      </c>
      <c r="H655" s="5">
        <v>6900</v>
      </c>
      <c r="I655" s="5">
        <v>0</v>
      </c>
      <c r="J655" s="9">
        <v>0</v>
      </c>
    </row>
    <row r="656" spans="1:10" x14ac:dyDescent="0.3">
      <c r="A656" s="3" t="s">
        <v>721</v>
      </c>
      <c r="B656" s="4">
        <v>43299</v>
      </c>
      <c r="C656" s="5">
        <v>2</v>
      </c>
      <c r="D656" s="5" t="s">
        <v>20</v>
      </c>
      <c r="E656" s="5" t="s">
        <v>40</v>
      </c>
      <c r="F656" s="5" t="s">
        <v>18</v>
      </c>
      <c r="G656" s="5" t="s">
        <v>13</v>
      </c>
      <c r="H656" s="5">
        <v>28900</v>
      </c>
      <c r="I656" s="5">
        <v>2</v>
      </c>
      <c r="J656" s="9">
        <v>57800</v>
      </c>
    </row>
    <row r="657" spans="1:10" x14ac:dyDescent="0.3">
      <c r="A657" s="3" t="s">
        <v>722</v>
      </c>
      <c r="B657" s="4">
        <v>43299</v>
      </c>
      <c r="C657" s="5">
        <v>12</v>
      </c>
      <c r="D657" s="5" t="s">
        <v>30</v>
      </c>
      <c r="E657" s="5" t="s">
        <v>45</v>
      </c>
      <c r="F657" s="5" t="s">
        <v>16</v>
      </c>
      <c r="G657" s="5" t="s">
        <v>14</v>
      </c>
      <c r="H657" s="5">
        <v>15900</v>
      </c>
      <c r="I657" s="5">
        <v>5</v>
      </c>
      <c r="J657" s="9">
        <v>79500</v>
      </c>
    </row>
    <row r="658" spans="1:10" x14ac:dyDescent="0.3">
      <c r="A658" s="3" t="s">
        <v>723</v>
      </c>
      <c r="B658" s="4">
        <v>43299</v>
      </c>
      <c r="C658" s="5">
        <v>6</v>
      </c>
      <c r="D658" s="5" t="s">
        <v>24</v>
      </c>
      <c r="E658" s="5" t="s">
        <v>44</v>
      </c>
      <c r="F658" s="5" t="s">
        <v>15</v>
      </c>
      <c r="G658" s="5" t="s">
        <v>12</v>
      </c>
      <c r="H658" s="5">
        <v>6900</v>
      </c>
      <c r="I658" s="5">
        <v>3</v>
      </c>
      <c r="J658" s="9">
        <v>20700</v>
      </c>
    </row>
    <row r="659" spans="1:10" x14ac:dyDescent="0.3">
      <c r="A659" s="3" t="s">
        <v>724</v>
      </c>
      <c r="B659" s="4">
        <v>43299</v>
      </c>
      <c r="C659" s="5">
        <v>5</v>
      </c>
      <c r="D659" s="5" t="s">
        <v>23</v>
      </c>
      <c r="E659" s="5" t="s">
        <v>40</v>
      </c>
      <c r="F659" s="5" t="s">
        <v>18</v>
      </c>
      <c r="G659" s="5" t="s">
        <v>14</v>
      </c>
      <c r="H659" s="5">
        <v>15900</v>
      </c>
      <c r="I659" s="5">
        <v>9</v>
      </c>
      <c r="J659" s="9">
        <v>143100</v>
      </c>
    </row>
    <row r="660" spans="1:10" x14ac:dyDescent="0.3">
      <c r="A660" s="3" t="s">
        <v>725</v>
      </c>
      <c r="B660" s="4">
        <v>43300</v>
      </c>
      <c r="C660" s="5">
        <v>15</v>
      </c>
      <c r="D660" s="5" t="s">
        <v>33</v>
      </c>
      <c r="E660" s="5" t="s">
        <v>45</v>
      </c>
      <c r="F660" s="5" t="s">
        <v>16</v>
      </c>
      <c r="G660" s="5" t="s">
        <v>11</v>
      </c>
      <c r="H660" s="5">
        <v>19900</v>
      </c>
      <c r="I660" s="5">
        <v>1</v>
      </c>
      <c r="J660" s="9">
        <v>19900</v>
      </c>
    </row>
    <row r="661" spans="1:10" x14ac:dyDescent="0.3">
      <c r="A661" s="3" t="s">
        <v>726</v>
      </c>
      <c r="B661" s="4">
        <v>43300</v>
      </c>
      <c r="C661" s="5">
        <v>1</v>
      </c>
      <c r="D661" s="5" t="s">
        <v>19</v>
      </c>
      <c r="E661" s="5" t="s">
        <v>40</v>
      </c>
      <c r="F661" s="5" t="s">
        <v>18</v>
      </c>
      <c r="G661" s="5" t="s">
        <v>13</v>
      </c>
      <c r="H661" s="5">
        <v>28900</v>
      </c>
      <c r="I661" s="5">
        <v>4</v>
      </c>
      <c r="J661" s="9">
        <v>115600</v>
      </c>
    </row>
    <row r="662" spans="1:10" x14ac:dyDescent="0.3">
      <c r="A662" s="3" t="s">
        <v>727</v>
      </c>
      <c r="B662" s="4">
        <v>43301</v>
      </c>
      <c r="C662" s="5">
        <v>16</v>
      </c>
      <c r="D662" s="5" t="s">
        <v>34</v>
      </c>
      <c r="E662" s="5" t="s">
        <v>42</v>
      </c>
      <c r="F662" s="5" t="s">
        <v>17</v>
      </c>
      <c r="G662" s="5" t="s">
        <v>14</v>
      </c>
      <c r="H662" s="5">
        <v>15900</v>
      </c>
      <c r="I662" s="5">
        <v>3</v>
      </c>
      <c r="J662" s="9">
        <v>47700</v>
      </c>
    </row>
    <row r="663" spans="1:10" x14ac:dyDescent="0.3">
      <c r="A663" s="3" t="s">
        <v>728</v>
      </c>
      <c r="B663" s="4">
        <v>43301</v>
      </c>
      <c r="C663" s="5">
        <v>9</v>
      </c>
      <c r="D663" s="5" t="s">
        <v>27</v>
      </c>
      <c r="E663" s="5" t="s">
        <v>44</v>
      </c>
      <c r="F663" s="5" t="s">
        <v>15</v>
      </c>
      <c r="G663" s="5" t="s">
        <v>12</v>
      </c>
      <c r="H663" s="5">
        <v>6900</v>
      </c>
      <c r="I663" s="5">
        <v>2</v>
      </c>
      <c r="J663" s="9">
        <v>13800</v>
      </c>
    </row>
    <row r="664" spans="1:10" x14ac:dyDescent="0.3">
      <c r="A664" s="3" t="s">
        <v>729</v>
      </c>
      <c r="B664" s="4">
        <v>43301</v>
      </c>
      <c r="C664" s="5">
        <v>20</v>
      </c>
      <c r="D664" s="5" t="s">
        <v>38</v>
      </c>
      <c r="E664" s="5" t="s">
        <v>42</v>
      </c>
      <c r="F664" s="5" t="s">
        <v>17</v>
      </c>
      <c r="G664" s="5" t="s">
        <v>14</v>
      </c>
      <c r="H664" s="5">
        <v>15900</v>
      </c>
      <c r="I664" s="5">
        <v>4</v>
      </c>
      <c r="J664" s="9">
        <v>63600</v>
      </c>
    </row>
    <row r="665" spans="1:10" x14ac:dyDescent="0.3">
      <c r="A665" s="3" t="s">
        <v>730</v>
      </c>
      <c r="B665" s="4">
        <v>43302</v>
      </c>
      <c r="C665" s="5">
        <v>14</v>
      </c>
      <c r="D665" s="5" t="s">
        <v>32</v>
      </c>
      <c r="E665" s="5" t="s">
        <v>45</v>
      </c>
      <c r="F665" s="5" t="s">
        <v>16</v>
      </c>
      <c r="G665" s="5" t="s">
        <v>10</v>
      </c>
      <c r="H665" s="5">
        <v>39900</v>
      </c>
      <c r="I665" s="5">
        <v>5</v>
      </c>
      <c r="J665" s="9">
        <v>199500</v>
      </c>
    </row>
    <row r="666" spans="1:10" x14ac:dyDescent="0.3">
      <c r="A666" s="3" t="s">
        <v>731</v>
      </c>
      <c r="B666" s="4">
        <v>43303</v>
      </c>
      <c r="C666" s="5">
        <v>1</v>
      </c>
      <c r="D666" s="5" t="s">
        <v>19</v>
      </c>
      <c r="E666" s="5" t="s">
        <v>40</v>
      </c>
      <c r="F666" s="5" t="s">
        <v>18</v>
      </c>
      <c r="G666" s="5" t="s">
        <v>10</v>
      </c>
      <c r="H666" s="5">
        <v>39900</v>
      </c>
      <c r="I666" s="5">
        <v>8</v>
      </c>
      <c r="J666" s="9">
        <v>319200</v>
      </c>
    </row>
    <row r="667" spans="1:10" x14ac:dyDescent="0.3">
      <c r="A667" s="3" t="s">
        <v>732</v>
      </c>
      <c r="B667" s="4">
        <v>43303</v>
      </c>
      <c r="C667" s="5">
        <v>13</v>
      </c>
      <c r="D667" s="5" t="s">
        <v>31</v>
      </c>
      <c r="E667" s="5" t="s">
        <v>45</v>
      </c>
      <c r="F667" s="5" t="s">
        <v>16</v>
      </c>
      <c r="G667" s="5" t="s">
        <v>12</v>
      </c>
      <c r="H667" s="5">
        <v>6900</v>
      </c>
      <c r="I667" s="5">
        <v>0</v>
      </c>
      <c r="J667" s="9">
        <v>0</v>
      </c>
    </row>
    <row r="668" spans="1:10" x14ac:dyDescent="0.3">
      <c r="A668" s="3" t="s">
        <v>733</v>
      </c>
      <c r="B668" s="4">
        <v>43304</v>
      </c>
      <c r="C668" s="5">
        <v>14</v>
      </c>
      <c r="D668" s="5" t="s">
        <v>32</v>
      </c>
      <c r="E668" s="5" t="s">
        <v>45</v>
      </c>
      <c r="F668" s="5" t="s">
        <v>16</v>
      </c>
      <c r="G668" s="5" t="s">
        <v>12</v>
      </c>
      <c r="H668" s="5">
        <v>6900</v>
      </c>
      <c r="I668" s="5">
        <v>8</v>
      </c>
      <c r="J668" s="9">
        <v>55200</v>
      </c>
    </row>
    <row r="669" spans="1:10" x14ac:dyDescent="0.3">
      <c r="A669" s="3" t="s">
        <v>734</v>
      </c>
      <c r="B669" s="4">
        <v>43305</v>
      </c>
      <c r="C669" s="5">
        <v>10</v>
      </c>
      <c r="D669" s="5" t="s">
        <v>28</v>
      </c>
      <c r="E669" s="5" t="s">
        <v>41</v>
      </c>
      <c r="F669" s="5" t="s">
        <v>15</v>
      </c>
      <c r="G669" s="5" t="s">
        <v>12</v>
      </c>
      <c r="H669" s="5">
        <v>6900</v>
      </c>
      <c r="I669" s="5">
        <v>2</v>
      </c>
      <c r="J669" s="9">
        <v>13800</v>
      </c>
    </row>
    <row r="670" spans="1:10" x14ac:dyDescent="0.3">
      <c r="A670" s="3" t="s">
        <v>735</v>
      </c>
      <c r="B670" s="4">
        <v>43305</v>
      </c>
      <c r="C670" s="5">
        <v>9</v>
      </c>
      <c r="D670" s="5" t="s">
        <v>27</v>
      </c>
      <c r="E670" s="5" t="s">
        <v>41</v>
      </c>
      <c r="F670" s="5" t="s">
        <v>15</v>
      </c>
      <c r="G670" s="5" t="s">
        <v>10</v>
      </c>
      <c r="H670" s="5">
        <v>39900</v>
      </c>
      <c r="I670" s="5">
        <v>6</v>
      </c>
      <c r="J670" s="9">
        <v>239400</v>
      </c>
    </row>
    <row r="671" spans="1:10" x14ac:dyDescent="0.3">
      <c r="A671" s="3" t="s">
        <v>736</v>
      </c>
      <c r="B671" s="4">
        <v>43305</v>
      </c>
      <c r="C671" s="5">
        <v>2</v>
      </c>
      <c r="D671" s="5" t="s">
        <v>20</v>
      </c>
      <c r="E671" s="5" t="s">
        <v>40</v>
      </c>
      <c r="F671" s="5" t="s">
        <v>18</v>
      </c>
      <c r="G671" s="5" t="s">
        <v>11</v>
      </c>
      <c r="H671" s="5">
        <v>19900</v>
      </c>
      <c r="I671" s="5">
        <v>1</v>
      </c>
      <c r="J671" s="9">
        <v>19900</v>
      </c>
    </row>
    <row r="672" spans="1:10" x14ac:dyDescent="0.3">
      <c r="A672" s="3" t="s">
        <v>737</v>
      </c>
      <c r="B672" s="4">
        <v>43305</v>
      </c>
      <c r="C672" s="5">
        <v>13</v>
      </c>
      <c r="D672" s="5" t="s">
        <v>31</v>
      </c>
      <c r="E672" s="5" t="s">
        <v>39</v>
      </c>
      <c r="F672" s="5" t="s">
        <v>16</v>
      </c>
      <c r="G672" s="5" t="s">
        <v>10</v>
      </c>
      <c r="H672" s="5">
        <v>39900</v>
      </c>
      <c r="I672" s="5">
        <v>1</v>
      </c>
      <c r="J672" s="9">
        <v>39900</v>
      </c>
    </row>
    <row r="673" spans="1:10" x14ac:dyDescent="0.3">
      <c r="A673" s="3" t="s">
        <v>738</v>
      </c>
      <c r="B673" s="4">
        <v>43306</v>
      </c>
      <c r="C673" s="5">
        <v>12</v>
      </c>
      <c r="D673" s="5" t="s">
        <v>30</v>
      </c>
      <c r="E673" s="5" t="s">
        <v>39</v>
      </c>
      <c r="F673" s="5" t="s">
        <v>16</v>
      </c>
      <c r="G673" s="5" t="s">
        <v>14</v>
      </c>
      <c r="H673" s="5">
        <v>15900</v>
      </c>
      <c r="I673" s="5">
        <v>7</v>
      </c>
      <c r="J673" s="9">
        <v>111300</v>
      </c>
    </row>
    <row r="674" spans="1:10" x14ac:dyDescent="0.3">
      <c r="A674" s="3" t="s">
        <v>739</v>
      </c>
      <c r="B674" s="4">
        <v>43306</v>
      </c>
      <c r="C674" s="5">
        <v>17</v>
      </c>
      <c r="D674" s="5" t="s">
        <v>35</v>
      </c>
      <c r="E674" s="5" t="s">
        <v>42</v>
      </c>
      <c r="F674" s="5" t="s">
        <v>17</v>
      </c>
      <c r="G674" s="5" t="s">
        <v>14</v>
      </c>
      <c r="H674" s="5">
        <v>15900</v>
      </c>
      <c r="I674" s="5">
        <v>8</v>
      </c>
      <c r="J674" s="9">
        <v>127200</v>
      </c>
    </row>
    <row r="675" spans="1:10" x14ac:dyDescent="0.3">
      <c r="A675" s="3" t="s">
        <v>740</v>
      </c>
      <c r="B675" s="4">
        <v>43307</v>
      </c>
      <c r="C675" s="5">
        <v>18</v>
      </c>
      <c r="D675" s="5" t="s">
        <v>36</v>
      </c>
      <c r="E675" s="5" t="s">
        <v>43</v>
      </c>
      <c r="F675" s="5" t="s">
        <v>17</v>
      </c>
      <c r="G675" s="5" t="s">
        <v>13</v>
      </c>
      <c r="H675" s="5">
        <v>28900</v>
      </c>
      <c r="I675" s="5">
        <v>8</v>
      </c>
      <c r="J675" s="9">
        <v>231200</v>
      </c>
    </row>
    <row r="676" spans="1:10" x14ac:dyDescent="0.3">
      <c r="A676" s="3" t="s">
        <v>741</v>
      </c>
      <c r="B676" s="4">
        <v>43307</v>
      </c>
      <c r="C676" s="5">
        <v>13</v>
      </c>
      <c r="D676" s="5" t="s">
        <v>31</v>
      </c>
      <c r="E676" s="5" t="s">
        <v>39</v>
      </c>
      <c r="F676" s="5" t="s">
        <v>16</v>
      </c>
      <c r="G676" s="5" t="s">
        <v>14</v>
      </c>
      <c r="H676" s="5">
        <v>15900</v>
      </c>
      <c r="I676" s="5">
        <v>4</v>
      </c>
      <c r="J676" s="9">
        <v>63600</v>
      </c>
    </row>
    <row r="677" spans="1:10" x14ac:dyDescent="0.3">
      <c r="A677" s="3" t="s">
        <v>742</v>
      </c>
      <c r="B677" s="4">
        <v>43307</v>
      </c>
      <c r="C677" s="5">
        <v>15</v>
      </c>
      <c r="D677" s="5" t="s">
        <v>33</v>
      </c>
      <c r="E677" s="5" t="s">
        <v>39</v>
      </c>
      <c r="F677" s="5" t="s">
        <v>16</v>
      </c>
      <c r="G677" s="5" t="s">
        <v>12</v>
      </c>
      <c r="H677" s="5">
        <v>6900</v>
      </c>
      <c r="I677" s="5">
        <v>4</v>
      </c>
      <c r="J677" s="9">
        <v>27600</v>
      </c>
    </row>
    <row r="678" spans="1:10" x14ac:dyDescent="0.3">
      <c r="A678" s="3" t="s">
        <v>743</v>
      </c>
      <c r="B678" s="4">
        <v>43307</v>
      </c>
      <c r="C678" s="5">
        <v>15</v>
      </c>
      <c r="D678" s="5" t="s">
        <v>33</v>
      </c>
      <c r="E678" s="5" t="s">
        <v>39</v>
      </c>
      <c r="F678" s="5" t="s">
        <v>16</v>
      </c>
      <c r="G678" s="5" t="s">
        <v>14</v>
      </c>
      <c r="H678" s="5">
        <v>15900</v>
      </c>
      <c r="I678" s="5">
        <v>9</v>
      </c>
      <c r="J678" s="9">
        <v>143100</v>
      </c>
    </row>
    <row r="679" spans="1:10" x14ac:dyDescent="0.3">
      <c r="A679" s="3" t="s">
        <v>744</v>
      </c>
      <c r="B679" s="4">
        <v>43307</v>
      </c>
      <c r="C679" s="5">
        <v>18</v>
      </c>
      <c r="D679" s="5" t="s">
        <v>36</v>
      </c>
      <c r="E679" s="5" t="s">
        <v>43</v>
      </c>
      <c r="F679" s="5" t="s">
        <v>17</v>
      </c>
      <c r="G679" s="5" t="s">
        <v>12</v>
      </c>
      <c r="H679" s="5">
        <v>6900</v>
      </c>
      <c r="I679" s="5">
        <v>6</v>
      </c>
      <c r="J679" s="9">
        <v>41400</v>
      </c>
    </row>
    <row r="680" spans="1:10" x14ac:dyDescent="0.3">
      <c r="A680" s="3" t="s">
        <v>745</v>
      </c>
      <c r="B680" s="4">
        <v>43307</v>
      </c>
      <c r="C680" s="5">
        <v>7</v>
      </c>
      <c r="D680" s="5" t="s">
        <v>25</v>
      </c>
      <c r="E680" s="5" t="s">
        <v>41</v>
      </c>
      <c r="F680" s="5" t="s">
        <v>15</v>
      </c>
      <c r="G680" s="5" t="s">
        <v>14</v>
      </c>
      <c r="H680" s="5">
        <v>15900</v>
      </c>
      <c r="I680" s="5">
        <v>6</v>
      </c>
      <c r="J680" s="9">
        <v>95400</v>
      </c>
    </row>
    <row r="681" spans="1:10" x14ac:dyDescent="0.3">
      <c r="A681" s="3" t="s">
        <v>746</v>
      </c>
      <c r="B681" s="4">
        <v>43307</v>
      </c>
      <c r="C681" s="5">
        <v>13</v>
      </c>
      <c r="D681" s="5" t="s">
        <v>31</v>
      </c>
      <c r="E681" s="5" t="s">
        <v>39</v>
      </c>
      <c r="F681" s="5" t="s">
        <v>16</v>
      </c>
      <c r="G681" s="5" t="s">
        <v>12</v>
      </c>
      <c r="H681" s="5">
        <v>6900</v>
      </c>
      <c r="I681" s="5">
        <v>3</v>
      </c>
      <c r="J681" s="9">
        <v>20700</v>
      </c>
    </row>
    <row r="682" spans="1:10" x14ac:dyDescent="0.3">
      <c r="A682" s="3" t="s">
        <v>747</v>
      </c>
      <c r="B682" s="4">
        <v>43307</v>
      </c>
      <c r="C682" s="5">
        <v>3</v>
      </c>
      <c r="D682" s="5" t="s">
        <v>21</v>
      </c>
      <c r="E682" s="5" t="s">
        <v>46</v>
      </c>
      <c r="F682" s="5" t="s">
        <v>18</v>
      </c>
      <c r="G682" s="5" t="s">
        <v>12</v>
      </c>
      <c r="H682" s="5">
        <v>6900</v>
      </c>
      <c r="I682" s="5">
        <v>4</v>
      </c>
      <c r="J682" s="9">
        <v>27600</v>
      </c>
    </row>
    <row r="683" spans="1:10" x14ac:dyDescent="0.3">
      <c r="A683" s="3" t="s">
        <v>748</v>
      </c>
      <c r="B683" s="4">
        <v>43308</v>
      </c>
      <c r="C683" s="5">
        <v>18</v>
      </c>
      <c r="D683" s="5" t="s">
        <v>36</v>
      </c>
      <c r="E683" s="5" t="s">
        <v>42</v>
      </c>
      <c r="F683" s="5" t="s">
        <v>17</v>
      </c>
      <c r="G683" s="5" t="s">
        <v>13</v>
      </c>
      <c r="H683" s="5">
        <v>28900</v>
      </c>
      <c r="I683" s="5">
        <v>3</v>
      </c>
      <c r="J683" s="9">
        <v>86700</v>
      </c>
    </row>
    <row r="684" spans="1:10" x14ac:dyDescent="0.3">
      <c r="A684" s="3" t="s">
        <v>749</v>
      </c>
      <c r="B684" s="4">
        <v>43308</v>
      </c>
      <c r="C684" s="5">
        <v>16</v>
      </c>
      <c r="D684" s="5" t="s">
        <v>34</v>
      </c>
      <c r="E684" s="5" t="s">
        <v>43</v>
      </c>
      <c r="F684" s="5" t="s">
        <v>17</v>
      </c>
      <c r="G684" s="5" t="s">
        <v>13</v>
      </c>
      <c r="H684" s="5">
        <v>28900</v>
      </c>
      <c r="I684" s="5">
        <v>6</v>
      </c>
      <c r="J684" s="9">
        <v>173400</v>
      </c>
    </row>
    <row r="685" spans="1:10" x14ac:dyDescent="0.3">
      <c r="A685" s="3" t="s">
        <v>750</v>
      </c>
      <c r="B685" s="4">
        <v>43308</v>
      </c>
      <c r="C685" s="5">
        <v>18</v>
      </c>
      <c r="D685" s="5" t="s">
        <v>36</v>
      </c>
      <c r="E685" s="5" t="s">
        <v>42</v>
      </c>
      <c r="F685" s="5" t="s">
        <v>17</v>
      </c>
      <c r="G685" s="5" t="s">
        <v>14</v>
      </c>
      <c r="H685" s="5">
        <v>15900</v>
      </c>
      <c r="I685" s="5">
        <v>3</v>
      </c>
      <c r="J685" s="9">
        <v>47700</v>
      </c>
    </row>
    <row r="686" spans="1:10" x14ac:dyDescent="0.3">
      <c r="A686" s="3" t="s">
        <v>751</v>
      </c>
      <c r="B686" s="4">
        <v>43308</v>
      </c>
      <c r="C686" s="5">
        <v>11</v>
      </c>
      <c r="D686" s="5" t="s">
        <v>29</v>
      </c>
      <c r="E686" s="5" t="s">
        <v>45</v>
      </c>
      <c r="F686" s="5" t="s">
        <v>16</v>
      </c>
      <c r="G686" s="5" t="s">
        <v>11</v>
      </c>
      <c r="H686" s="5">
        <v>19900</v>
      </c>
      <c r="I686" s="5">
        <v>4</v>
      </c>
      <c r="J686" s="9">
        <v>79600</v>
      </c>
    </row>
    <row r="687" spans="1:10" x14ac:dyDescent="0.3">
      <c r="A687" s="3" t="s">
        <v>752</v>
      </c>
      <c r="B687" s="4">
        <v>43308</v>
      </c>
      <c r="C687" s="5">
        <v>1</v>
      </c>
      <c r="D687" s="5" t="s">
        <v>19</v>
      </c>
      <c r="E687" s="5" t="s">
        <v>46</v>
      </c>
      <c r="F687" s="5" t="s">
        <v>18</v>
      </c>
      <c r="G687" s="5" t="s">
        <v>12</v>
      </c>
      <c r="H687" s="5">
        <v>6900</v>
      </c>
      <c r="I687" s="5">
        <v>1</v>
      </c>
      <c r="J687" s="9">
        <v>6900</v>
      </c>
    </row>
    <row r="688" spans="1:10" x14ac:dyDescent="0.3">
      <c r="A688" s="3" t="s">
        <v>753</v>
      </c>
      <c r="B688" s="4">
        <v>43308</v>
      </c>
      <c r="C688" s="5">
        <v>15</v>
      </c>
      <c r="D688" s="5" t="s">
        <v>33</v>
      </c>
      <c r="E688" s="5" t="s">
        <v>45</v>
      </c>
      <c r="F688" s="5" t="s">
        <v>16</v>
      </c>
      <c r="G688" s="5" t="s">
        <v>12</v>
      </c>
      <c r="H688" s="5">
        <v>6900</v>
      </c>
      <c r="I688" s="5">
        <v>0</v>
      </c>
      <c r="J688" s="9">
        <v>0</v>
      </c>
    </row>
    <row r="689" spans="1:10" x14ac:dyDescent="0.3">
      <c r="A689" s="3" t="s">
        <v>754</v>
      </c>
      <c r="B689" s="4">
        <v>43308</v>
      </c>
      <c r="C689" s="5">
        <v>19</v>
      </c>
      <c r="D689" s="5" t="s">
        <v>37</v>
      </c>
      <c r="E689" s="5" t="s">
        <v>42</v>
      </c>
      <c r="F689" s="5" t="s">
        <v>17</v>
      </c>
      <c r="G689" s="5" t="s">
        <v>11</v>
      </c>
      <c r="H689" s="5">
        <v>19900</v>
      </c>
      <c r="I689" s="5">
        <v>5</v>
      </c>
      <c r="J689" s="9">
        <v>99500</v>
      </c>
    </row>
    <row r="690" spans="1:10" x14ac:dyDescent="0.3">
      <c r="A690" s="3" t="s">
        <v>755</v>
      </c>
      <c r="B690" s="4">
        <v>43308</v>
      </c>
      <c r="C690" s="5">
        <v>19</v>
      </c>
      <c r="D690" s="5" t="s">
        <v>37</v>
      </c>
      <c r="E690" s="5" t="s">
        <v>43</v>
      </c>
      <c r="F690" s="5" t="s">
        <v>17</v>
      </c>
      <c r="G690" s="5" t="s">
        <v>14</v>
      </c>
      <c r="H690" s="5">
        <v>15900</v>
      </c>
      <c r="I690" s="5">
        <v>8</v>
      </c>
      <c r="J690" s="9">
        <v>127200</v>
      </c>
    </row>
    <row r="691" spans="1:10" x14ac:dyDescent="0.3">
      <c r="A691" s="3" t="s">
        <v>756</v>
      </c>
      <c r="B691" s="4">
        <v>43308</v>
      </c>
      <c r="C691" s="5">
        <v>5</v>
      </c>
      <c r="D691" s="5" t="s">
        <v>23</v>
      </c>
      <c r="E691" s="5" t="s">
        <v>40</v>
      </c>
      <c r="F691" s="5" t="s">
        <v>18</v>
      </c>
      <c r="G691" s="5" t="s">
        <v>10</v>
      </c>
      <c r="H691" s="5">
        <v>39900</v>
      </c>
      <c r="I691" s="5">
        <v>5</v>
      </c>
      <c r="J691" s="9">
        <v>199500</v>
      </c>
    </row>
    <row r="692" spans="1:10" x14ac:dyDescent="0.3">
      <c r="A692" s="3" t="s">
        <v>757</v>
      </c>
      <c r="B692" s="4">
        <v>43308</v>
      </c>
      <c r="C692" s="5">
        <v>19</v>
      </c>
      <c r="D692" s="5" t="s">
        <v>37</v>
      </c>
      <c r="E692" s="5" t="s">
        <v>42</v>
      </c>
      <c r="F692" s="5" t="s">
        <v>17</v>
      </c>
      <c r="G692" s="5" t="s">
        <v>13</v>
      </c>
      <c r="H692" s="5">
        <v>28900</v>
      </c>
      <c r="I692" s="5">
        <v>2</v>
      </c>
      <c r="J692" s="9">
        <v>57800</v>
      </c>
    </row>
    <row r="693" spans="1:10" x14ac:dyDescent="0.3">
      <c r="A693" s="3" t="s">
        <v>758</v>
      </c>
      <c r="B693" s="4">
        <v>43308</v>
      </c>
      <c r="C693" s="5">
        <v>7</v>
      </c>
      <c r="D693" s="5" t="s">
        <v>25</v>
      </c>
      <c r="E693" s="5" t="s">
        <v>44</v>
      </c>
      <c r="F693" s="5" t="s">
        <v>15</v>
      </c>
      <c r="G693" s="5" t="s">
        <v>13</v>
      </c>
      <c r="H693" s="5">
        <v>28900</v>
      </c>
      <c r="I693" s="5">
        <v>4</v>
      </c>
      <c r="J693" s="9">
        <v>115600</v>
      </c>
    </row>
    <row r="694" spans="1:10" x14ac:dyDescent="0.3">
      <c r="A694" s="3" t="s">
        <v>759</v>
      </c>
      <c r="B694" s="4">
        <v>43308</v>
      </c>
      <c r="C694" s="5">
        <v>11</v>
      </c>
      <c r="D694" s="5" t="s">
        <v>29</v>
      </c>
      <c r="E694" s="5" t="s">
        <v>39</v>
      </c>
      <c r="F694" s="5" t="s">
        <v>16</v>
      </c>
      <c r="G694" s="5" t="s">
        <v>11</v>
      </c>
      <c r="H694" s="5">
        <v>19900</v>
      </c>
      <c r="I694" s="5">
        <v>5</v>
      </c>
      <c r="J694" s="9">
        <v>99500</v>
      </c>
    </row>
    <row r="695" spans="1:10" x14ac:dyDescent="0.3">
      <c r="A695" s="3" t="s">
        <v>760</v>
      </c>
      <c r="B695" s="4">
        <v>43308</v>
      </c>
      <c r="C695" s="5">
        <v>8</v>
      </c>
      <c r="D695" s="5" t="s">
        <v>26</v>
      </c>
      <c r="E695" s="5" t="s">
        <v>44</v>
      </c>
      <c r="F695" s="5" t="s">
        <v>15</v>
      </c>
      <c r="G695" s="5" t="s">
        <v>14</v>
      </c>
      <c r="H695" s="5">
        <v>15900</v>
      </c>
      <c r="I695" s="5">
        <v>8</v>
      </c>
      <c r="J695" s="9">
        <v>127200</v>
      </c>
    </row>
    <row r="696" spans="1:10" x14ac:dyDescent="0.3">
      <c r="A696" s="3" t="s">
        <v>761</v>
      </c>
      <c r="B696" s="4">
        <v>43309</v>
      </c>
      <c r="C696" s="5">
        <v>12</v>
      </c>
      <c r="D696" s="5" t="s">
        <v>30</v>
      </c>
      <c r="E696" s="5" t="s">
        <v>45</v>
      </c>
      <c r="F696" s="5" t="s">
        <v>16</v>
      </c>
      <c r="G696" s="5" t="s">
        <v>13</v>
      </c>
      <c r="H696" s="5">
        <v>28900</v>
      </c>
      <c r="I696" s="5">
        <v>7</v>
      </c>
      <c r="J696" s="9">
        <v>202300</v>
      </c>
    </row>
    <row r="697" spans="1:10" x14ac:dyDescent="0.3">
      <c r="A697" s="3" t="s">
        <v>762</v>
      </c>
      <c r="B697" s="4">
        <v>43310</v>
      </c>
      <c r="C697" s="5">
        <v>3</v>
      </c>
      <c r="D697" s="5" t="s">
        <v>21</v>
      </c>
      <c r="E697" s="5" t="s">
        <v>46</v>
      </c>
      <c r="F697" s="5" t="s">
        <v>18</v>
      </c>
      <c r="G697" s="5" t="s">
        <v>11</v>
      </c>
      <c r="H697" s="5">
        <v>19900</v>
      </c>
      <c r="I697" s="5">
        <v>8</v>
      </c>
      <c r="J697" s="9">
        <v>159200</v>
      </c>
    </row>
    <row r="698" spans="1:10" x14ac:dyDescent="0.3">
      <c r="A698" s="3" t="s">
        <v>763</v>
      </c>
      <c r="B698" s="4">
        <v>43310</v>
      </c>
      <c r="C698" s="5">
        <v>5</v>
      </c>
      <c r="D698" s="5" t="s">
        <v>23</v>
      </c>
      <c r="E698" s="5" t="s">
        <v>46</v>
      </c>
      <c r="F698" s="5" t="s">
        <v>18</v>
      </c>
      <c r="G698" s="5" t="s">
        <v>14</v>
      </c>
      <c r="H698" s="5">
        <v>15900</v>
      </c>
      <c r="I698" s="5">
        <v>1</v>
      </c>
      <c r="J698" s="9">
        <v>15900</v>
      </c>
    </row>
    <row r="699" spans="1:10" x14ac:dyDescent="0.3">
      <c r="A699" s="3" t="s">
        <v>764</v>
      </c>
      <c r="B699" s="4">
        <v>43311</v>
      </c>
      <c r="C699" s="5">
        <v>8</v>
      </c>
      <c r="D699" s="5" t="s">
        <v>26</v>
      </c>
      <c r="E699" s="5" t="s">
        <v>44</v>
      </c>
      <c r="F699" s="5" t="s">
        <v>15</v>
      </c>
      <c r="G699" s="5" t="s">
        <v>13</v>
      </c>
      <c r="H699" s="5">
        <v>28900</v>
      </c>
      <c r="I699" s="5">
        <v>9</v>
      </c>
      <c r="J699" s="9">
        <v>260100</v>
      </c>
    </row>
    <row r="700" spans="1:10" x14ac:dyDescent="0.3">
      <c r="A700" s="3" t="s">
        <v>765</v>
      </c>
      <c r="B700" s="4">
        <v>43312</v>
      </c>
      <c r="C700" s="5">
        <v>5</v>
      </c>
      <c r="D700" s="5" t="s">
        <v>23</v>
      </c>
      <c r="E700" s="5" t="s">
        <v>46</v>
      </c>
      <c r="F700" s="5" t="s">
        <v>18</v>
      </c>
      <c r="G700" s="5" t="s">
        <v>11</v>
      </c>
      <c r="H700" s="5">
        <v>19900</v>
      </c>
      <c r="I700" s="5">
        <v>3</v>
      </c>
      <c r="J700" s="9">
        <v>59700</v>
      </c>
    </row>
    <row r="701" spans="1:10" x14ac:dyDescent="0.3">
      <c r="A701" s="3" t="s">
        <v>766</v>
      </c>
      <c r="B701" s="4">
        <v>43313</v>
      </c>
      <c r="C701" s="5">
        <v>20</v>
      </c>
      <c r="D701" s="5" t="s">
        <v>38</v>
      </c>
      <c r="E701" s="5" t="s">
        <v>43</v>
      </c>
      <c r="F701" s="5" t="s">
        <v>17</v>
      </c>
      <c r="G701" s="5" t="s">
        <v>13</v>
      </c>
      <c r="H701" s="5">
        <v>28900</v>
      </c>
      <c r="I701" s="5">
        <v>0</v>
      </c>
      <c r="J701" s="9">
        <v>0</v>
      </c>
    </row>
    <row r="702" spans="1:10" x14ac:dyDescent="0.3">
      <c r="A702" s="3" t="s">
        <v>767</v>
      </c>
      <c r="B702" s="4">
        <v>43314</v>
      </c>
      <c r="C702" s="5">
        <v>15</v>
      </c>
      <c r="D702" s="5" t="s">
        <v>33</v>
      </c>
      <c r="E702" s="5" t="s">
        <v>39</v>
      </c>
      <c r="F702" s="5" t="s">
        <v>16</v>
      </c>
      <c r="G702" s="5" t="s">
        <v>13</v>
      </c>
      <c r="H702" s="5">
        <v>28900</v>
      </c>
      <c r="I702" s="5">
        <v>2</v>
      </c>
      <c r="J702" s="9">
        <v>57800</v>
      </c>
    </row>
    <row r="703" spans="1:10" x14ac:dyDescent="0.3">
      <c r="A703" s="3" t="s">
        <v>768</v>
      </c>
      <c r="B703" s="4">
        <v>43315</v>
      </c>
      <c r="C703" s="5">
        <v>6</v>
      </c>
      <c r="D703" s="5" t="s">
        <v>24</v>
      </c>
      <c r="E703" s="5" t="s">
        <v>44</v>
      </c>
      <c r="F703" s="5" t="s">
        <v>15</v>
      </c>
      <c r="G703" s="5" t="s">
        <v>11</v>
      </c>
      <c r="H703" s="5">
        <v>19900</v>
      </c>
      <c r="I703" s="5">
        <v>3</v>
      </c>
      <c r="J703" s="9">
        <v>59700</v>
      </c>
    </row>
    <row r="704" spans="1:10" x14ac:dyDescent="0.3">
      <c r="A704" s="3" t="s">
        <v>769</v>
      </c>
      <c r="B704" s="4">
        <v>43315</v>
      </c>
      <c r="C704" s="5">
        <v>19</v>
      </c>
      <c r="D704" s="5" t="s">
        <v>37</v>
      </c>
      <c r="E704" s="5" t="s">
        <v>43</v>
      </c>
      <c r="F704" s="5" t="s">
        <v>17</v>
      </c>
      <c r="G704" s="5" t="s">
        <v>13</v>
      </c>
      <c r="H704" s="5">
        <v>28900</v>
      </c>
      <c r="I704" s="5">
        <v>9</v>
      </c>
      <c r="J704" s="9">
        <v>260100</v>
      </c>
    </row>
    <row r="705" spans="1:10" x14ac:dyDescent="0.3">
      <c r="A705" s="3" t="s">
        <v>770</v>
      </c>
      <c r="B705" s="4">
        <v>43315</v>
      </c>
      <c r="C705" s="5">
        <v>15</v>
      </c>
      <c r="D705" s="5" t="s">
        <v>33</v>
      </c>
      <c r="E705" s="5" t="s">
        <v>39</v>
      </c>
      <c r="F705" s="5" t="s">
        <v>16</v>
      </c>
      <c r="G705" s="5" t="s">
        <v>13</v>
      </c>
      <c r="H705" s="5">
        <v>28900</v>
      </c>
      <c r="I705" s="5">
        <v>6</v>
      </c>
      <c r="J705" s="9">
        <v>173400</v>
      </c>
    </row>
    <row r="706" spans="1:10" x14ac:dyDescent="0.3">
      <c r="A706" s="3" t="s">
        <v>771</v>
      </c>
      <c r="B706" s="4">
        <v>43315</v>
      </c>
      <c r="C706" s="5">
        <v>14</v>
      </c>
      <c r="D706" s="5" t="s">
        <v>32</v>
      </c>
      <c r="E706" s="5" t="s">
        <v>39</v>
      </c>
      <c r="F706" s="5" t="s">
        <v>16</v>
      </c>
      <c r="G706" s="5" t="s">
        <v>13</v>
      </c>
      <c r="H706" s="5">
        <v>28900</v>
      </c>
      <c r="I706" s="5">
        <v>0</v>
      </c>
      <c r="J706" s="9">
        <v>0</v>
      </c>
    </row>
    <row r="707" spans="1:10" x14ac:dyDescent="0.3">
      <c r="A707" s="3" t="s">
        <v>772</v>
      </c>
      <c r="B707" s="4">
        <v>43315</v>
      </c>
      <c r="C707" s="5">
        <v>7</v>
      </c>
      <c r="D707" s="5" t="s">
        <v>25</v>
      </c>
      <c r="E707" s="5" t="s">
        <v>44</v>
      </c>
      <c r="F707" s="5" t="s">
        <v>15</v>
      </c>
      <c r="G707" s="5" t="s">
        <v>14</v>
      </c>
      <c r="H707" s="5">
        <v>15900</v>
      </c>
      <c r="I707" s="5">
        <v>2</v>
      </c>
      <c r="J707" s="9">
        <v>31800</v>
      </c>
    </row>
    <row r="708" spans="1:10" x14ac:dyDescent="0.3">
      <c r="A708" s="3" t="s">
        <v>773</v>
      </c>
      <c r="B708" s="4">
        <v>43315</v>
      </c>
      <c r="C708" s="5">
        <v>10</v>
      </c>
      <c r="D708" s="5" t="s">
        <v>28</v>
      </c>
      <c r="E708" s="5" t="s">
        <v>44</v>
      </c>
      <c r="F708" s="5" t="s">
        <v>15</v>
      </c>
      <c r="G708" s="5" t="s">
        <v>11</v>
      </c>
      <c r="H708" s="5">
        <v>19900</v>
      </c>
      <c r="I708" s="5">
        <v>1</v>
      </c>
      <c r="J708" s="9">
        <v>19900</v>
      </c>
    </row>
    <row r="709" spans="1:10" x14ac:dyDescent="0.3">
      <c r="A709" s="3" t="s">
        <v>774</v>
      </c>
      <c r="B709" s="4">
        <v>43315</v>
      </c>
      <c r="C709" s="5">
        <v>1</v>
      </c>
      <c r="D709" s="5" t="s">
        <v>19</v>
      </c>
      <c r="E709" s="5" t="s">
        <v>40</v>
      </c>
      <c r="F709" s="5" t="s">
        <v>18</v>
      </c>
      <c r="G709" s="5" t="s">
        <v>13</v>
      </c>
      <c r="H709" s="5">
        <v>28900</v>
      </c>
      <c r="I709" s="5">
        <v>4</v>
      </c>
      <c r="J709" s="9">
        <v>115600</v>
      </c>
    </row>
    <row r="710" spans="1:10" x14ac:dyDescent="0.3">
      <c r="A710" s="3" t="s">
        <v>775</v>
      </c>
      <c r="B710" s="4">
        <v>43315</v>
      </c>
      <c r="C710" s="5">
        <v>1</v>
      </c>
      <c r="D710" s="5" t="s">
        <v>19</v>
      </c>
      <c r="E710" s="5" t="s">
        <v>40</v>
      </c>
      <c r="F710" s="5" t="s">
        <v>18</v>
      </c>
      <c r="G710" s="5" t="s">
        <v>14</v>
      </c>
      <c r="H710" s="5">
        <v>15900</v>
      </c>
      <c r="I710" s="5">
        <v>9</v>
      </c>
      <c r="J710" s="9">
        <v>143100</v>
      </c>
    </row>
    <row r="711" spans="1:10" x14ac:dyDescent="0.3">
      <c r="A711" s="3" t="s">
        <v>776</v>
      </c>
      <c r="B711" s="4">
        <v>43315</v>
      </c>
      <c r="C711" s="5">
        <v>13</v>
      </c>
      <c r="D711" s="5" t="s">
        <v>31</v>
      </c>
      <c r="E711" s="5" t="s">
        <v>39</v>
      </c>
      <c r="F711" s="5" t="s">
        <v>16</v>
      </c>
      <c r="G711" s="5" t="s">
        <v>13</v>
      </c>
      <c r="H711" s="5">
        <v>28900</v>
      </c>
      <c r="I711" s="5">
        <v>8</v>
      </c>
      <c r="J711" s="9">
        <v>231200</v>
      </c>
    </row>
    <row r="712" spans="1:10" x14ac:dyDescent="0.3">
      <c r="A712" s="3" t="s">
        <v>777</v>
      </c>
      <c r="B712" s="4">
        <v>43315</v>
      </c>
      <c r="C712" s="5">
        <v>19</v>
      </c>
      <c r="D712" s="5" t="s">
        <v>37</v>
      </c>
      <c r="E712" s="5" t="s">
        <v>42</v>
      </c>
      <c r="F712" s="5" t="s">
        <v>17</v>
      </c>
      <c r="G712" s="5" t="s">
        <v>11</v>
      </c>
      <c r="H712" s="5">
        <v>19900</v>
      </c>
      <c r="I712" s="5">
        <v>1</v>
      </c>
      <c r="J712" s="9">
        <v>19900</v>
      </c>
    </row>
    <row r="713" spans="1:10" x14ac:dyDescent="0.3">
      <c r="A713" s="3" t="s">
        <v>778</v>
      </c>
      <c r="B713" s="4">
        <v>43316</v>
      </c>
      <c r="C713" s="5">
        <v>12</v>
      </c>
      <c r="D713" s="5" t="s">
        <v>30</v>
      </c>
      <c r="E713" s="5" t="s">
        <v>39</v>
      </c>
      <c r="F713" s="5" t="s">
        <v>16</v>
      </c>
      <c r="G713" s="5" t="s">
        <v>14</v>
      </c>
      <c r="H713" s="5">
        <v>15900</v>
      </c>
      <c r="I713" s="5">
        <v>0</v>
      </c>
      <c r="J713" s="9">
        <v>0</v>
      </c>
    </row>
    <row r="714" spans="1:10" x14ac:dyDescent="0.3">
      <c r="A714" s="3" t="s">
        <v>779</v>
      </c>
      <c r="B714" s="4">
        <v>43316</v>
      </c>
      <c r="C714" s="5">
        <v>19</v>
      </c>
      <c r="D714" s="5" t="s">
        <v>37</v>
      </c>
      <c r="E714" s="5" t="s">
        <v>42</v>
      </c>
      <c r="F714" s="5" t="s">
        <v>17</v>
      </c>
      <c r="G714" s="5" t="s">
        <v>14</v>
      </c>
      <c r="H714" s="5">
        <v>15900</v>
      </c>
      <c r="I714" s="5">
        <v>8</v>
      </c>
      <c r="J714" s="9">
        <v>127200</v>
      </c>
    </row>
    <row r="715" spans="1:10" x14ac:dyDescent="0.3">
      <c r="A715" s="3" t="s">
        <v>780</v>
      </c>
      <c r="B715" s="4">
        <v>43317</v>
      </c>
      <c r="C715" s="5">
        <v>4</v>
      </c>
      <c r="D715" s="5" t="s">
        <v>22</v>
      </c>
      <c r="E715" s="5" t="s">
        <v>40</v>
      </c>
      <c r="F715" s="5" t="s">
        <v>18</v>
      </c>
      <c r="G715" s="5" t="s">
        <v>13</v>
      </c>
      <c r="H715" s="5">
        <v>28900</v>
      </c>
      <c r="I715" s="5">
        <v>6</v>
      </c>
      <c r="J715" s="9">
        <v>173400</v>
      </c>
    </row>
    <row r="716" spans="1:10" x14ac:dyDescent="0.3">
      <c r="A716" s="3" t="s">
        <v>781</v>
      </c>
      <c r="B716" s="4">
        <v>43317</v>
      </c>
      <c r="C716" s="5">
        <v>13</v>
      </c>
      <c r="D716" s="5" t="s">
        <v>31</v>
      </c>
      <c r="E716" s="5" t="s">
        <v>45</v>
      </c>
      <c r="F716" s="5" t="s">
        <v>16</v>
      </c>
      <c r="G716" s="5" t="s">
        <v>14</v>
      </c>
      <c r="H716" s="5">
        <v>15900</v>
      </c>
      <c r="I716" s="5">
        <v>5</v>
      </c>
      <c r="J716" s="9">
        <v>79500</v>
      </c>
    </row>
    <row r="717" spans="1:10" x14ac:dyDescent="0.3">
      <c r="A717" s="3" t="s">
        <v>782</v>
      </c>
      <c r="B717" s="4">
        <v>43317</v>
      </c>
      <c r="C717" s="5">
        <v>4</v>
      </c>
      <c r="D717" s="5" t="s">
        <v>22</v>
      </c>
      <c r="E717" s="5" t="s">
        <v>40</v>
      </c>
      <c r="F717" s="5" t="s">
        <v>18</v>
      </c>
      <c r="G717" s="5" t="s">
        <v>12</v>
      </c>
      <c r="H717" s="5">
        <v>6900</v>
      </c>
      <c r="I717" s="5">
        <v>8</v>
      </c>
      <c r="J717" s="9">
        <v>55200</v>
      </c>
    </row>
    <row r="718" spans="1:10" x14ac:dyDescent="0.3">
      <c r="A718" s="3" t="s">
        <v>783</v>
      </c>
      <c r="B718" s="4">
        <v>43317</v>
      </c>
      <c r="C718" s="5">
        <v>12</v>
      </c>
      <c r="D718" s="5" t="s">
        <v>30</v>
      </c>
      <c r="E718" s="5" t="s">
        <v>39</v>
      </c>
      <c r="F718" s="5" t="s">
        <v>16</v>
      </c>
      <c r="G718" s="5" t="s">
        <v>11</v>
      </c>
      <c r="H718" s="5">
        <v>19900</v>
      </c>
      <c r="I718" s="5">
        <v>2</v>
      </c>
      <c r="J718" s="9">
        <v>39800</v>
      </c>
    </row>
    <row r="719" spans="1:10" x14ac:dyDescent="0.3">
      <c r="A719" s="3" t="s">
        <v>784</v>
      </c>
      <c r="B719" s="4">
        <v>43318</v>
      </c>
      <c r="C719" s="5">
        <v>13</v>
      </c>
      <c r="D719" s="5" t="s">
        <v>31</v>
      </c>
      <c r="E719" s="5" t="s">
        <v>45</v>
      </c>
      <c r="F719" s="5" t="s">
        <v>16</v>
      </c>
      <c r="G719" s="5" t="s">
        <v>14</v>
      </c>
      <c r="H719" s="5">
        <v>15900</v>
      </c>
      <c r="I719" s="5">
        <v>3</v>
      </c>
      <c r="J719" s="9">
        <v>47700</v>
      </c>
    </row>
    <row r="720" spans="1:10" x14ac:dyDescent="0.3">
      <c r="A720" s="3" t="s">
        <v>785</v>
      </c>
      <c r="B720" s="4">
        <v>43318</v>
      </c>
      <c r="C720" s="5">
        <v>2</v>
      </c>
      <c r="D720" s="5" t="s">
        <v>20</v>
      </c>
      <c r="E720" s="5" t="s">
        <v>46</v>
      </c>
      <c r="F720" s="5" t="s">
        <v>18</v>
      </c>
      <c r="G720" s="5" t="s">
        <v>14</v>
      </c>
      <c r="H720" s="5">
        <v>15900</v>
      </c>
      <c r="I720" s="5">
        <v>4</v>
      </c>
      <c r="J720" s="9">
        <v>63600</v>
      </c>
    </row>
    <row r="721" spans="1:10" x14ac:dyDescent="0.3">
      <c r="A721" s="3" t="s">
        <v>786</v>
      </c>
      <c r="B721" s="4">
        <v>43319</v>
      </c>
      <c r="C721" s="5">
        <v>9</v>
      </c>
      <c r="D721" s="5" t="s">
        <v>27</v>
      </c>
      <c r="E721" s="5" t="s">
        <v>44</v>
      </c>
      <c r="F721" s="5" t="s">
        <v>15</v>
      </c>
      <c r="G721" s="5" t="s">
        <v>13</v>
      </c>
      <c r="H721" s="5">
        <v>28900</v>
      </c>
      <c r="I721" s="5">
        <v>9</v>
      </c>
      <c r="J721" s="9">
        <v>260100</v>
      </c>
    </row>
    <row r="722" spans="1:10" x14ac:dyDescent="0.3">
      <c r="A722" s="3" t="s">
        <v>787</v>
      </c>
      <c r="B722" s="4">
        <v>43319</v>
      </c>
      <c r="C722" s="5">
        <v>7</v>
      </c>
      <c r="D722" s="5" t="s">
        <v>25</v>
      </c>
      <c r="E722" s="5" t="s">
        <v>44</v>
      </c>
      <c r="F722" s="5" t="s">
        <v>15</v>
      </c>
      <c r="G722" s="5" t="s">
        <v>14</v>
      </c>
      <c r="H722" s="5">
        <v>15900</v>
      </c>
      <c r="I722" s="5">
        <v>5</v>
      </c>
      <c r="J722" s="9">
        <v>79500</v>
      </c>
    </row>
    <row r="723" spans="1:10" x14ac:dyDescent="0.3">
      <c r="A723" s="3" t="s">
        <v>788</v>
      </c>
      <c r="B723" s="4">
        <v>43319</v>
      </c>
      <c r="C723" s="5">
        <v>11</v>
      </c>
      <c r="D723" s="5" t="s">
        <v>29</v>
      </c>
      <c r="E723" s="5" t="s">
        <v>45</v>
      </c>
      <c r="F723" s="5" t="s">
        <v>16</v>
      </c>
      <c r="G723" s="5" t="s">
        <v>14</v>
      </c>
      <c r="H723" s="5">
        <v>15900</v>
      </c>
      <c r="I723" s="5">
        <v>4</v>
      </c>
      <c r="J723" s="9">
        <v>63600</v>
      </c>
    </row>
    <row r="724" spans="1:10" x14ac:dyDescent="0.3">
      <c r="A724" s="3" t="s">
        <v>789</v>
      </c>
      <c r="B724" s="4">
        <v>43320</v>
      </c>
      <c r="C724" s="5">
        <v>8</v>
      </c>
      <c r="D724" s="5" t="s">
        <v>26</v>
      </c>
      <c r="E724" s="5" t="s">
        <v>44</v>
      </c>
      <c r="F724" s="5" t="s">
        <v>15</v>
      </c>
      <c r="G724" s="5" t="s">
        <v>10</v>
      </c>
      <c r="H724" s="5">
        <v>39900</v>
      </c>
      <c r="I724" s="5">
        <v>2</v>
      </c>
      <c r="J724" s="9">
        <v>79800</v>
      </c>
    </row>
    <row r="725" spans="1:10" x14ac:dyDescent="0.3">
      <c r="A725" s="3" t="s">
        <v>790</v>
      </c>
      <c r="B725" s="4">
        <v>43320</v>
      </c>
      <c r="C725" s="5">
        <v>7</v>
      </c>
      <c r="D725" s="5" t="s">
        <v>25</v>
      </c>
      <c r="E725" s="5" t="s">
        <v>44</v>
      </c>
      <c r="F725" s="5" t="s">
        <v>15</v>
      </c>
      <c r="G725" s="5" t="s">
        <v>13</v>
      </c>
      <c r="H725" s="5">
        <v>28900</v>
      </c>
      <c r="I725" s="5">
        <v>5</v>
      </c>
      <c r="J725" s="9">
        <v>144500</v>
      </c>
    </row>
    <row r="726" spans="1:10" x14ac:dyDescent="0.3">
      <c r="A726" s="3" t="s">
        <v>791</v>
      </c>
      <c r="B726" s="4">
        <v>43320</v>
      </c>
      <c r="C726" s="5">
        <v>8</v>
      </c>
      <c r="D726" s="5" t="s">
        <v>26</v>
      </c>
      <c r="E726" s="5" t="s">
        <v>41</v>
      </c>
      <c r="F726" s="5" t="s">
        <v>15</v>
      </c>
      <c r="G726" s="5" t="s">
        <v>13</v>
      </c>
      <c r="H726" s="5">
        <v>28900</v>
      </c>
      <c r="I726" s="5">
        <v>2</v>
      </c>
      <c r="J726" s="9">
        <v>57800</v>
      </c>
    </row>
    <row r="727" spans="1:10" x14ac:dyDescent="0.3">
      <c r="A727" s="3" t="s">
        <v>792</v>
      </c>
      <c r="B727" s="4">
        <v>43320</v>
      </c>
      <c r="C727" s="5">
        <v>8</v>
      </c>
      <c r="D727" s="5" t="s">
        <v>26</v>
      </c>
      <c r="E727" s="5" t="s">
        <v>44</v>
      </c>
      <c r="F727" s="5" t="s">
        <v>15</v>
      </c>
      <c r="G727" s="5" t="s">
        <v>13</v>
      </c>
      <c r="H727" s="5">
        <v>28900</v>
      </c>
      <c r="I727" s="5">
        <v>1</v>
      </c>
      <c r="J727" s="9">
        <v>28900</v>
      </c>
    </row>
    <row r="728" spans="1:10" x14ac:dyDescent="0.3">
      <c r="A728" s="3" t="s">
        <v>793</v>
      </c>
      <c r="B728" s="4">
        <v>43320</v>
      </c>
      <c r="C728" s="5">
        <v>17</v>
      </c>
      <c r="D728" s="5" t="s">
        <v>35</v>
      </c>
      <c r="E728" s="5" t="s">
        <v>43</v>
      </c>
      <c r="F728" s="5" t="s">
        <v>17</v>
      </c>
      <c r="G728" s="5" t="s">
        <v>12</v>
      </c>
      <c r="H728" s="5">
        <v>6900</v>
      </c>
      <c r="I728" s="5">
        <v>3</v>
      </c>
      <c r="J728" s="9">
        <v>20700</v>
      </c>
    </row>
    <row r="729" spans="1:10" x14ac:dyDescent="0.3">
      <c r="A729" s="3" t="s">
        <v>794</v>
      </c>
      <c r="B729" s="4">
        <v>43321</v>
      </c>
      <c r="C729" s="5">
        <v>10</v>
      </c>
      <c r="D729" s="5" t="s">
        <v>28</v>
      </c>
      <c r="E729" s="5" t="s">
        <v>41</v>
      </c>
      <c r="F729" s="5" t="s">
        <v>15</v>
      </c>
      <c r="G729" s="5" t="s">
        <v>13</v>
      </c>
      <c r="H729" s="5">
        <v>28900</v>
      </c>
      <c r="I729" s="5">
        <v>7</v>
      </c>
      <c r="J729" s="9">
        <v>202300</v>
      </c>
    </row>
    <row r="730" spans="1:10" x14ac:dyDescent="0.3">
      <c r="A730" s="3" t="s">
        <v>795</v>
      </c>
      <c r="B730" s="4">
        <v>43321</v>
      </c>
      <c r="C730" s="5">
        <v>6</v>
      </c>
      <c r="D730" s="5" t="s">
        <v>24</v>
      </c>
      <c r="E730" s="5" t="s">
        <v>44</v>
      </c>
      <c r="F730" s="5" t="s">
        <v>15</v>
      </c>
      <c r="G730" s="5" t="s">
        <v>11</v>
      </c>
      <c r="H730" s="5">
        <v>19900</v>
      </c>
      <c r="I730" s="5">
        <v>7</v>
      </c>
      <c r="J730" s="9">
        <v>139300</v>
      </c>
    </row>
    <row r="731" spans="1:10" x14ac:dyDescent="0.3">
      <c r="A731" s="3" t="s">
        <v>796</v>
      </c>
      <c r="B731" s="4">
        <v>43322</v>
      </c>
      <c r="C731" s="5">
        <v>18</v>
      </c>
      <c r="D731" s="5" t="s">
        <v>36</v>
      </c>
      <c r="E731" s="5" t="s">
        <v>43</v>
      </c>
      <c r="F731" s="5" t="s">
        <v>17</v>
      </c>
      <c r="G731" s="5" t="s">
        <v>10</v>
      </c>
      <c r="H731" s="5">
        <v>39900</v>
      </c>
      <c r="I731" s="5">
        <v>4</v>
      </c>
      <c r="J731" s="9">
        <v>159600</v>
      </c>
    </row>
    <row r="732" spans="1:10" x14ac:dyDescent="0.3">
      <c r="A732" s="3" t="s">
        <v>797</v>
      </c>
      <c r="B732" s="4">
        <v>43322</v>
      </c>
      <c r="C732" s="5">
        <v>13</v>
      </c>
      <c r="D732" s="5" t="s">
        <v>31</v>
      </c>
      <c r="E732" s="5" t="s">
        <v>39</v>
      </c>
      <c r="F732" s="5" t="s">
        <v>16</v>
      </c>
      <c r="G732" s="5" t="s">
        <v>10</v>
      </c>
      <c r="H732" s="5">
        <v>39900</v>
      </c>
      <c r="I732" s="5">
        <v>4</v>
      </c>
      <c r="J732" s="9">
        <v>159600</v>
      </c>
    </row>
    <row r="733" spans="1:10" x14ac:dyDescent="0.3">
      <c r="A733" s="3" t="s">
        <v>798</v>
      </c>
      <c r="B733" s="4">
        <v>43322</v>
      </c>
      <c r="C733" s="5">
        <v>1</v>
      </c>
      <c r="D733" s="5" t="s">
        <v>19</v>
      </c>
      <c r="E733" s="5" t="s">
        <v>46</v>
      </c>
      <c r="F733" s="5" t="s">
        <v>18</v>
      </c>
      <c r="G733" s="5" t="s">
        <v>13</v>
      </c>
      <c r="H733" s="5">
        <v>28900</v>
      </c>
      <c r="I733" s="5">
        <v>6</v>
      </c>
      <c r="J733" s="9">
        <v>173400</v>
      </c>
    </row>
    <row r="734" spans="1:10" x14ac:dyDescent="0.3">
      <c r="A734" s="3" t="s">
        <v>799</v>
      </c>
      <c r="B734" s="4">
        <v>43322</v>
      </c>
      <c r="C734" s="5">
        <v>17</v>
      </c>
      <c r="D734" s="5" t="s">
        <v>35</v>
      </c>
      <c r="E734" s="5" t="s">
        <v>43</v>
      </c>
      <c r="F734" s="5" t="s">
        <v>17</v>
      </c>
      <c r="G734" s="5" t="s">
        <v>14</v>
      </c>
      <c r="H734" s="5">
        <v>15900</v>
      </c>
      <c r="I734" s="5">
        <v>4</v>
      </c>
      <c r="J734" s="9">
        <v>63600</v>
      </c>
    </row>
    <row r="735" spans="1:10" x14ac:dyDescent="0.3">
      <c r="A735" s="3" t="s">
        <v>800</v>
      </c>
      <c r="B735" s="4">
        <v>43322</v>
      </c>
      <c r="C735" s="5">
        <v>3</v>
      </c>
      <c r="D735" s="5" t="s">
        <v>21</v>
      </c>
      <c r="E735" s="5" t="s">
        <v>40</v>
      </c>
      <c r="F735" s="5" t="s">
        <v>18</v>
      </c>
      <c r="G735" s="5" t="s">
        <v>13</v>
      </c>
      <c r="H735" s="5">
        <v>28900</v>
      </c>
      <c r="I735" s="5">
        <v>2</v>
      </c>
      <c r="J735" s="9">
        <v>57800</v>
      </c>
    </row>
    <row r="736" spans="1:10" x14ac:dyDescent="0.3">
      <c r="A736" s="3" t="s">
        <v>801</v>
      </c>
      <c r="B736" s="4">
        <v>43323</v>
      </c>
      <c r="C736" s="5">
        <v>3</v>
      </c>
      <c r="D736" s="5" t="s">
        <v>21</v>
      </c>
      <c r="E736" s="5" t="s">
        <v>46</v>
      </c>
      <c r="F736" s="5" t="s">
        <v>18</v>
      </c>
      <c r="G736" s="5" t="s">
        <v>10</v>
      </c>
      <c r="H736" s="5">
        <v>39900</v>
      </c>
      <c r="I736" s="5">
        <v>0</v>
      </c>
      <c r="J736" s="9">
        <v>0</v>
      </c>
    </row>
    <row r="737" spans="1:10" x14ac:dyDescent="0.3">
      <c r="A737" s="3" t="s">
        <v>802</v>
      </c>
      <c r="B737" s="4">
        <v>43323</v>
      </c>
      <c r="C737" s="5">
        <v>14</v>
      </c>
      <c r="D737" s="5" t="s">
        <v>32</v>
      </c>
      <c r="E737" s="5" t="s">
        <v>39</v>
      </c>
      <c r="F737" s="5" t="s">
        <v>16</v>
      </c>
      <c r="G737" s="5" t="s">
        <v>14</v>
      </c>
      <c r="H737" s="5">
        <v>15900</v>
      </c>
      <c r="I737" s="5">
        <v>6</v>
      </c>
      <c r="J737" s="9">
        <v>95400</v>
      </c>
    </row>
    <row r="738" spans="1:10" x14ac:dyDescent="0.3">
      <c r="A738" s="3" t="s">
        <v>803</v>
      </c>
      <c r="B738" s="4">
        <v>43323</v>
      </c>
      <c r="C738" s="5">
        <v>12</v>
      </c>
      <c r="D738" s="5" t="s">
        <v>30</v>
      </c>
      <c r="E738" s="5" t="s">
        <v>45</v>
      </c>
      <c r="F738" s="5" t="s">
        <v>16</v>
      </c>
      <c r="G738" s="5" t="s">
        <v>14</v>
      </c>
      <c r="H738" s="5">
        <v>15900</v>
      </c>
      <c r="I738" s="5">
        <v>5</v>
      </c>
      <c r="J738" s="9">
        <v>79500</v>
      </c>
    </row>
    <row r="739" spans="1:10" x14ac:dyDescent="0.3">
      <c r="A739" s="3" t="s">
        <v>804</v>
      </c>
      <c r="B739" s="4">
        <v>43324</v>
      </c>
      <c r="C739" s="5">
        <v>8</v>
      </c>
      <c r="D739" s="5" t="s">
        <v>26</v>
      </c>
      <c r="E739" s="5" t="s">
        <v>41</v>
      </c>
      <c r="F739" s="5" t="s">
        <v>15</v>
      </c>
      <c r="G739" s="5" t="s">
        <v>10</v>
      </c>
      <c r="H739" s="5">
        <v>39900</v>
      </c>
      <c r="I739" s="5">
        <v>7</v>
      </c>
      <c r="J739" s="9">
        <v>279300</v>
      </c>
    </row>
    <row r="740" spans="1:10" x14ac:dyDescent="0.3">
      <c r="A740" s="3" t="s">
        <v>805</v>
      </c>
      <c r="B740" s="4">
        <v>43325</v>
      </c>
      <c r="C740" s="5">
        <v>1</v>
      </c>
      <c r="D740" s="5" t="s">
        <v>19</v>
      </c>
      <c r="E740" s="5" t="s">
        <v>46</v>
      </c>
      <c r="F740" s="5" t="s">
        <v>18</v>
      </c>
      <c r="G740" s="5" t="s">
        <v>12</v>
      </c>
      <c r="H740" s="5">
        <v>6900</v>
      </c>
      <c r="I740" s="5">
        <v>6</v>
      </c>
      <c r="J740" s="9">
        <v>41400</v>
      </c>
    </row>
    <row r="741" spans="1:10" x14ac:dyDescent="0.3">
      <c r="A741" s="3" t="s">
        <v>806</v>
      </c>
      <c r="B741" s="4">
        <v>43325</v>
      </c>
      <c r="C741" s="5">
        <v>19</v>
      </c>
      <c r="D741" s="5" t="s">
        <v>37</v>
      </c>
      <c r="E741" s="5" t="s">
        <v>43</v>
      </c>
      <c r="F741" s="5" t="s">
        <v>17</v>
      </c>
      <c r="G741" s="5" t="s">
        <v>11</v>
      </c>
      <c r="H741" s="5">
        <v>19900</v>
      </c>
      <c r="I741" s="5">
        <v>4</v>
      </c>
      <c r="J741" s="9">
        <v>79600</v>
      </c>
    </row>
    <row r="742" spans="1:10" x14ac:dyDescent="0.3">
      <c r="A742" s="3" t="s">
        <v>807</v>
      </c>
      <c r="B742" s="4">
        <v>43326</v>
      </c>
      <c r="C742" s="5">
        <v>1</v>
      </c>
      <c r="D742" s="5" t="s">
        <v>19</v>
      </c>
      <c r="E742" s="5" t="s">
        <v>46</v>
      </c>
      <c r="F742" s="5" t="s">
        <v>18</v>
      </c>
      <c r="G742" s="5" t="s">
        <v>13</v>
      </c>
      <c r="H742" s="5">
        <v>28900</v>
      </c>
      <c r="I742" s="5">
        <v>7</v>
      </c>
      <c r="J742" s="9">
        <v>202300</v>
      </c>
    </row>
    <row r="743" spans="1:10" x14ac:dyDescent="0.3">
      <c r="A743" s="3" t="s">
        <v>808</v>
      </c>
      <c r="B743" s="4">
        <v>43326</v>
      </c>
      <c r="C743" s="5">
        <v>18</v>
      </c>
      <c r="D743" s="5" t="s">
        <v>36</v>
      </c>
      <c r="E743" s="5" t="s">
        <v>43</v>
      </c>
      <c r="F743" s="5" t="s">
        <v>17</v>
      </c>
      <c r="G743" s="5" t="s">
        <v>13</v>
      </c>
      <c r="H743" s="5">
        <v>28900</v>
      </c>
      <c r="I743" s="5">
        <v>0</v>
      </c>
      <c r="J743" s="9">
        <v>0</v>
      </c>
    </row>
    <row r="744" spans="1:10" x14ac:dyDescent="0.3">
      <c r="A744" s="3" t="s">
        <v>809</v>
      </c>
      <c r="B744" s="4">
        <v>43327</v>
      </c>
      <c r="C744" s="5">
        <v>19</v>
      </c>
      <c r="D744" s="5" t="s">
        <v>37</v>
      </c>
      <c r="E744" s="5" t="s">
        <v>42</v>
      </c>
      <c r="F744" s="5" t="s">
        <v>17</v>
      </c>
      <c r="G744" s="5" t="s">
        <v>12</v>
      </c>
      <c r="H744" s="5">
        <v>6900</v>
      </c>
      <c r="I744" s="5">
        <v>9</v>
      </c>
      <c r="J744" s="9">
        <v>62100</v>
      </c>
    </row>
    <row r="745" spans="1:10" x14ac:dyDescent="0.3">
      <c r="A745" s="3" t="s">
        <v>810</v>
      </c>
      <c r="B745" s="4">
        <v>43328</v>
      </c>
      <c r="C745" s="5">
        <v>12</v>
      </c>
      <c r="D745" s="5" t="s">
        <v>30</v>
      </c>
      <c r="E745" s="5" t="s">
        <v>45</v>
      </c>
      <c r="F745" s="5" t="s">
        <v>16</v>
      </c>
      <c r="G745" s="5" t="s">
        <v>12</v>
      </c>
      <c r="H745" s="5">
        <v>6900</v>
      </c>
      <c r="I745" s="5">
        <v>5</v>
      </c>
      <c r="J745" s="9">
        <v>34500</v>
      </c>
    </row>
    <row r="746" spans="1:10" x14ac:dyDescent="0.3">
      <c r="A746" s="3" t="s">
        <v>811</v>
      </c>
      <c r="B746" s="4">
        <v>43328</v>
      </c>
      <c r="C746" s="5">
        <v>8</v>
      </c>
      <c r="D746" s="5" t="s">
        <v>26</v>
      </c>
      <c r="E746" s="5" t="s">
        <v>41</v>
      </c>
      <c r="F746" s="5" t="s">
        <v>15</v>
      </c>
      <c r="G746" s="5" t="s">
        <v>10</v>
      </c>
      <c r="H746" s="5">
        <v>39900</v>
      </c>
      <c r="I746" s="5">
        <v>0</v>
      </c>
      <c r="J746" s="9">
        <v>0</v>
      </c>
    </row>
    <row r="747" spans="1:10" x14ac:dyDescent="0.3">
      <c r="A747" s="3" t="s">
        <v>812</v>
      </c>
      <c r="B747" s="4">
        <v>43329</v>
      </c>
      <c r="C747" s="5">
        <v>2</v>
      </c>
      <c r="D747" s="5" t="s">
        <v>20</v>
      </c>
      <c r="E747" s="5" t="s">
        <v>46</v>
      </c>
      <c r="F747" s="5" t="s">
        <v>18</v>
      </c>
      <c r="G747" s="5" t="s">
        <v>14</v>
      </c>
      <c r="H747" s="5">
        <v>15900</v>
      </c>
      <c r="I747" s="5">
        <v>8</v>
      </c>
      <c r="J747" s="9">
        <v>127200</v>
      </c>
    </row>
    <row r="748" spans="1:10" x14ac:dyDescent="0.3">
      <c r="A748" s="3" t="s">
        <v>813</v>
      </c>
      <c r="B748" s="4">
        <v>43329</v>
      </c>
      <c r="C748" s="5">
        <v>6</v>
      </c>
      <c r="D748" s="5" t="s">
        <v>24</v>
      </c>
      <c r="E748" s="5" t="s">
        <v>41</v>
      </c>
      <c r="F748" s="5" t="s">
        <v>15</v>
      </c>
      <c r="G748" s="5" t="s">
        <v>11</v>
      </c>
      <c r="H748" s="5">
        <v>19900</v>
      </c>
      <c r="I748" s="5">
        <v>3</v>
      </c>
      <c r="J748" s="9">
        <v>59700</v>
      </c>
    </row>
    <row r="749" spans="1:10" x14ac:dyDescent="0.3">
      <c r="A749" s="3" t="s">
        <v>814</v>
      </c>
      <c r="B749" s="4">
        <v>43330</v>
      </c>
      <c r="C749" s="5">
        <v>8</v>
      </c>
      <c r="D749" s="5" t="s">
        <v>26</v>
      </c>
      <c r="E749" s="5" t="s">
        <v>41</v>
      </c>
      <c r="F749" s="5" t="s">
        <v>15</v>
      </c>
      <c r="G749" s="5" t="s">
        <v>11</v>
      </c>
      <c r="H749" s="5">
        <v>19900</v>
      </c>
      <c r="I749" s="5">
        <v>7</v>
      </c>
      <c r="J749" s="9">
        <v>139300</v>
      </c>
    </row>
    <row r="750" spans="1:10" x14ac:dyDescent="0.3">
      <c r="A750" s="3" t="s">
        <v>815</v>
      </c>
      <c r="B750" s="4">
        <v>43330</v>
      </c>
      <c r="C750" s="5">
        <v>11</v>
      </c>
      <c r="D750" s="5" t="s">
        <v>29</v>
      </c>
      <c r="E750" s="5" t="s">
        <v>45</v>
      </c>
      <c r="F750" s="5" t="s">
        <v>16</v>
      </c>
      <c r="G750" s="5" t="s">
        <v>13</v>
      </c>
      <c r="H750" s="5">
        <v>28900</v>
      </c>
      <c r="I750" s="5">
        <v>3</v>
      </c>
      <c r="J750" s="9">
        <v>86700</v>
      </c>
    </row>
    <row r="751" spans="1:10" x14ac:dyDescent="0.3">
      <c r="A751" s="3" t="s">
        <v>816</v>
      </c>
      <c r="B751" s="4">
        <v>43330</v>
      </c>
      <c r="C751" s="5">
        <v>20</v>
      </c>
      <c r="D751" s="5" t="s">
        <v>38</v>
      </c>
      <c r="E751" s="5" t="s">
        <v>43</v>
      </c>
      <c r="F751" s="5" t="s">
        <v>17</v>
      </c>
      <c r="G751" s="5" t="s">
        <v>14</v>
      </c>
      <c r="H751" s="5">
        <v>15900</v>
      </c>
      <c r="I751" s="5">
        <v>9</v>
      </c>
      <c r="J751" s="9">
        <v>143100</v>
      </c>
    </row>
    <row r="752" spans="1:10" x14ac:dyDescent="0.3">
      <c r="A752" s="3" t="s">
        <v>817</v>
      </c>
      <c r="B752" s="4">
        <v>43330</v>
      </c>
      <c r="C752" s="5">
        <v>10</v>
      </c>
      <c r="D752" s="5" t="s">
        <v>28</v>
      </c>
      <c r="E752" s="5" t="s">
        <v>41</v>
      </c>
      <c r="F752" s="5" t="s">
        <v>15</v>
      </c>
      <c r="G752" s="5" t="s">
        <v>13</v>
      </c>
      <c r="H752" s="5">
        <v>28900</v>
      </c>
      <c r="I752" s="5">
        <v>5</v>
      </c>
      <c r="J752" s="9">
        <v>144500</v>
      </c>
    </row>
    <row r="753" spans="1:10" x14ac:dyDescent="0.3">
      <c r="A753" s="3" t="s">
        <v>818</v>
      </c>
      <c r="B753" s="4">
        <v>43331</v>
      </c>
      <c r="C753" s="5">
        <v>8</v>
      </c>
      <c r="D753" s="5" t="s">
        <v>26</v>
      </c>
      <c r="E753" s="5" t="s">
        <v>44</v>
      </c>
      <c r="F753" s="5" t="s">
        <v>15</v>
      </c>
      <c r="G753" s="5" t="s">
        <v>10</v>
      </c>
      <c r="H753" s="5">
        <v>39900</v>
      </c>
      <c r="I753" s="5">
        <v>1</v>
      </c>
      <c r="J753" s="9">
        <v>39900</v>
      </c>
    </row>
    <row r="754" spans="1:10" x14ac:dyDescent="0.3">
      <c r="A754" s="3" t="s">
        <v>819</v>
      </c>
      <c r="B754" s="4">
        <v>43331</v>
      </c>
      <c r="C754" s="5">
        <v>5</v>
      </c>
      <c r="D754" s="5" t="s">
        <v>23</v>
      </c>
      <c r="E754" s="5" t="s">
        <v>40</v>
      </c>
      <c r="F754" s="5" t="s">
        <v>18</v>
      </c>
      <c r="G754" s="5" t="s">
        <v>10</v>
      </c>
      <c r="H754" s="5">
        <v>39900</v>
      </c>
      <c r="I754" s="5">
        <v>6</v>
      </c>
      <c r="J754" s="9">
        <v>239400</v>
      </c>
    </row>
    <row r="755" spans="1:10" x14ac:dyDescent="0.3">
      <c r="A755" s="3" t="s">
        <v>820</v>
      </c>
      <c r="B755" s="4">
        <v>43332</v>
      </c>
      <c r="C755" s="5">
        <v>14</v>
      </c>
      <c r="D755" s="5" t="s">
        <v>32</v>
      </c>
      <c r="E755" s="5" t="s">
        <v>45</v>
      </c>
      <c r="F755" s="5" t="s">
        <v>16</v>
      </c>
      <c r="G755" s="5" t="s">
        <v>11</v>
      </c>
      <c r="H755" s="5">
        <v>19900</v>
      </c>
      <c r="I755" s="5">
        <v>2</v>
      </c>
      <c r="J755" s="9">
        <v>39800</v>
      </c>
    </row>
    <row r="756" spans="1:10" x14ac:dyDescent="0.3">
      <c r="A756" s="3" t="s">
        <v>821</v>
      </c>
      <c r="B756" s="4">
        <v>43332</v>
      </c>
      <c r="C756" s="5">
        <v>20</v>
      </c>
      <c r="D756" s="5" t="s">
        <v>38</v>
      </c>
      <c r="E756" s="5" t="s">
        <v>42</v>
      </c>
      <c r="F756" s="5" t="s">
        <v>17</v>
      </c>
      <c r="G756" s="5" t="s">
        <v>11</v>
      </c>
      <c r="H756" s="5">
        <v>19900</v>
      </c>
      <c r="I756" s="5">
        <v>6</v>
      </c>
      <c r="J756" s="9">
        <v>119400</v>
      </c>
    </row>
    <row r="757" spans="1:10" x14ac:dyDescent="0.3">
      <c r="A757" s="3" t="s">
        <v>822</v>
      </c>
      <c r="B757" s="4">
        <v>43332</v>
      </c>
      <c r="C757" s="5">
        <v>17</v>
      </c>
      <c r="D757" s="5" t="s">
        <v>35</v>
      </c>
      <c r="E757" s="5" t="s">
        <v>42</v>
      </c>
      <c r="F757" s="5" t="s">
        <v>17</v>
      </c>
      <c r="G757" s="5" t="s">
        <v>10</v>
      </c>
      <c r="H757" s="5">
        <v>39900</v>
      </c>
      <c r="I757" s="5">
        <v>6</v>
      </c>
      <c r="J757" s="9">
        <v>239400</v>
      </c>
    </row>
    <row r="758" spans="1:10" x14ac:dyDescent="0.3">
      <c r="A758" s="3" t="s">
        <v>823</v>
      </c>
      <c r="B758" s="4">
        <v>43332</v>
      </c>
      <c r="C758" s="5">
        <v>13</v>
      </c>
      <c r="D758" s="5" t="s">
        <v>31</v>
      </c>
      <c r="E758" s="5" t="s">
        <v>45</v>
      </c>
      <c r="F758" s="5" t="s">
        <v>16</v>
      </c>
      <c r="G758" s="5" t="s">
        <v>13</v>
      </c>
      <c r="H758" s="5">
        <v>28900</v>
      </c>
      <c r="I758" s="5">
        <v>0</v>
      </c>
      <c r="J758" s="9">
        <v>0</v>
      </c>
    </row>
    <row r="759" spans="1:10" x14ac:dyDescent="0.3">
      <c r="A759" s="3" t="s">
        <v>824</v>
      </c>
      <c r="B759" s="4">
        <v>43332</v>
      </c>
      <c r="C759" s="5">
        <v>10</v>
      </c>
      <c r="D759" s="5" t="s">
        <v>28</v>
      </c>
      <c r="E759" s="5" t="s">
        <v>44</v>
      </c>
      <c r="F759" s="5" t="s">
        <v>15</v>
      </c>
      <c r="G759" s="5" t="s">
        <v>10</v>
      </c>
      <c r="H759" s="5">
        <v>39900</v>
      </c>
      <c r="I759" s="5">
        <v>4</v>
      </c>
      <c r="J759" s="9">
        <v>159600</v>
      </c>
    </row>
    <row r="760" spans="1:10" x14ac:dyDescent="0.3">
      <c r="A760" s="3" t="s">
        <v>825</v>
      </c>
      <c r="B760" s="4">
        <v>43332</v>
      </c>
      <c r="C760" s="5">
        <v>3</v>
      </c>
      <c r="D760" s="5" t="s">
        <v>21</v>
      </c>
      <c r="E760" s="5" t="s">
        <v>46</v>
      </c>
      <c r="F760" s="5" t="s">
        <v>18</v>
      </c>
      <c r="G760" s="5" t="s">
        <v>13</v>
      </c>
      <c r="H760" s="5">
        <v>28900</v>
      </c>
      <c r="I760" s="5">
        <v>1</v>
      </c>
      <c r="J760" s="9">
        <v>28900</v>
      </c>
    </row>
    <row r="761" spans="1:10" x14ac:dyDescent="0.3">
      <c r="A761" s="3" t="s">
        <v>826</v>
      </c>
      <c r="B761" s="4">
        <v>43333</v>
      </c>
      <c r="C761" s="5">
        <v>19</v>
      </c>
      <c r="D761" s="5" t="s">
        <v>37</v>
      </c>
      <c r="E761" s="5" t="s">
        <v>43</v>
      </c>
      <c r="F761" s="5" t="s">
        <v>17</v>
      </c>
      <c r="G761" s="5" t="s">
        <v>10</v>
      </c>
      <c r="H761" s="5">
        <v>39900</v>
      </c>
      <c r="I761" s="5">
        <v>6</v>
      </c>
      <c r="J761" s="9">
        <v>239400</v>
      </c>
    </row>
    <row r="762" spans="1:10" x14ac:dyDescent="0.3">
      <c r="A762" s="3" t="s">
        <v>827</v>
      </c>
      <c r="B762" s="4">
        <v>43333</v>
      </c>
      <c r="C762" s="5">
        <v>16</v>
      </c>
      <c r="D762" s="5" t="s">
        <v>34</v>
      </c>
      <c r="E762" s="5" t="s">
        <v>43</v>
      </c>
      <c r="F762" s="5" t="s">
        <v>17</v>
      </c>
      <c r="G762" s="5" t="s">
        <v>14</v>
      </c>
      <c r="H762" s="5">
        <v>15900</v>
      </c>
      <c r="I762" s="5">
        <v>6</v>
      </c>
      <c r="J762" s="9">
        <v>95400</v>
      </c>
    </row>
    <row r="763" spans="1:10" x14ac:dyDescent="0.3">
      <c r="A763" s="3" t="s">
        <v>828</v>
      </c>
      <c r="B763" s="4">
        <v>43333</v>
      </c>
      <c r="C763" s="5">
        <v>16</v>
      </c>
      <c r="D763" s="5" t="s">
        <v>34</v>
      </c>
      <c r="E763" s="5" t="s">
        <v>43</v>
      </c>
      <c r="F763" s="5" t="s">
        <v>17</v>
      </c>
      <c r="G763" s="5" t="s">
        <v>13</v>
      </c>
      <c r="H763" s="5">
        <v>28900</v>
      </c>
      <c r="I763" s="5">
        <v>2</v>
      </c>
      <c r="J763" s="9">
        <v>57800</v>
      </c>
    </row>
    <row r="764" spans="1:10" x14ac:dyDescent="0.3">
      <c r="A764" s="3" t="s">
        <v>829</v>
      </c>
      <c r="B764" s="4">
        <v>43333</v>
      </c>
      <c r="C764" s="5">
        <v>17</v>
      </c>
      <c r="D764" s="5" t="s">
        <v>35</v>
      </c>
      <c r="E764" s="5" t="s">
        <v>42</v>
      </c>
      <c r="F764" s="5" t="s">
        <v>17</v>
      </c>
      <c r="G764" s="5" t="s">
        <v>12</v>
      </c>
      <c r="H764" s="5">
        <v>6900</v>
      </c>
      <c r="I764" s="5">
        <v>8</v>
      </c>
      <c r="J764" s="9">
        <v>55200</v>
      </c>
    </row>
    <row r="765" spans="1:10" x14ac:dyDescent="0.3">
      <c r="A765" s="3" t="s">
        <v>830</v>
      </c>
      <c r="B765" s="4">
        <v>43334</v>
      </c>
      <c r="C765" s="5">
        <v>8</v>
      </c>
      <c r="D765" s="5" t="s">
        <v>26</v>
      </c>
      <c r="E765" s="5" t="s">
        <v>44</v>
      </c>
      <c r="F765" s="5" t="s">
        <v>15</v>
      </c>
      <c r="G765" s="5" t="s">
        <v>10</v>
      </c>
      <c r="H765" s="5">
        <v>39900</v>
      </c>
      <c r="I765" s="5">
        <v>2</v>
      </c>
      <c r="J765" s="9">
        <v>79800</v>
      </c>
    </row>
    <row r="766" spans="1:10" x14ac:dyDescent="0.3">
      <c r="A766" s="3" t="s">
        <v>831</v>
      </c>
      <c r="B766" s="4">
        <v>43334</v>
      </c>
      <c r="C766" s="5">
        <v>19</v>
      </c>
      <c r="D766" s="5" t="s">
        <v>37</v>
      </c>
      <c r="E766" s="5" t="s">
        <v>43</v>
      </c>
      <c r="F766" s="5" t="s">
        <v>17</v>
      </c>
      <c r="G766" s="5" t="s">
        <v>14</v>
      </c>
      <c r="H766" s="5">
        <v>15900</v>
      </c>
      <c r="I766" s="5">
        <v>8</v>
      </c>
      <c r="J766" s="9">
        <v>127200</v>
      </c>
    </row>
    <row r="767" spans="1:10" x14ac:dyDescent="0.3">
      <c r="A767" s="3" t="s">
        <v>832</v>
      </c>
      <c r="B767" s="4">
        <v>43334</v>
      </c>
      <c r="C767" s="5">
        <v>14</v>
      </c>
      <c r="D767" s="5" t="s">
        <v>32</v>
      </c>
      <c r="E767" s="5" t="s">
        <v>45</v>
      </c>
      <c r="F767" s="5" t="s">
        <v>16</v>
      </c>
      <c r="G767" s="5" t="s">
        <v>10</v>
      </c>
      <c r="H767" s="5">
        <v>39900</v>
      </c>
      <c r="I767" s="5">
        <v>9</v>
      </c>
      <c r="J767" s="9">
        <v>359100</v>
      </c>
    </row>
    <row r="768" spans="1:10" x14ac:dyDescent="0.3">
      <c r="A768" s="3" t="s">
        <v>833</v>
      </c>
      <c r="B768" s="4">
        <v>43335</v>
      </c>
      <c r="C768" s="5">
        <v>13</v>
      </c>
      <c r="D768" s="5" t="s">
        <v>31</v>
      </c>
      <c r="E768" s="5" t="s">
        <v>39</v>
      </c>
      <c r="F768" s="5" t="s">
        <v>16</v>
      </c>
      <c r="G768" s="5" t="s">
        <v>11</v>
      </c>
      <c r="H768" s="5">
        <v>19900</v>
      </c>
      <c r="I768" s="5">
        <v>1</v>
      </c>
      <c r="J768" s="9">
        <v>19900</v>
      </c>
    </row>
    <row r="769" spans="1:10" x14ac:dyDescent="0.3">
      <c r="A769" s="3" t="s">
        <v>834</v>
      </c>
      <c r="B769" s="4">
        <v>43336</v>
      </c>
      <c r="C769" s="5">
        <v>15</v>
      </c>
      <c r="D769" s="5" t="s">
        <v>33</v>
      </c>
      <c r="E769" s="5" t="s">
        <v>45</v>
      </c>
      <c r="F769" s="5" t="s">
        <v>16</v>
      </c>
      <c r="G769" s="5" t="s">
        <v>14</v>
      </c>
      <c r="H769" s="5">
        <v>15900</v>
      </c>
      <c r="I769" s="5">
        <v>1</v>
      </c>
      <c r="J769" s="9">
        <v>15900</v>
      </c>
    </row>
    <row r="770" spans="1:10" x14ac:dyDescent="0.3">
      <c r="A770" s="3" t="s">
        <v>835</v>
      </c>
      <c r="B770" s="4">
        <v>43337</v>
      </c>
      <c r="C770" s="5">
        <v>7</v>
      </c>
      <c r="D770" s="5" t="s">
        <v>25</v>
      </c>
      <c r="E770" s="5" t="s">
        <v>41</v>
      </c>
      <c r="F770" s="5" t="s">
        <v>15</v>
      </c>
      <c r="G770" s="5" t="s">
        <v>10</v>
      </c>
      <c r="H770" s="5">
        <v>39900</v>
      </c>
      <c r="I770" s="5">
        <v>6</v>
      </c>
      <c r="J770" s="9">
        <v>239400</v>
      </c>
    </row>
    <row r="771" spans="1:10" x14ac:dyDescent="0.3">
      <c r="A771" s="3" t="s">
        <v>836</v>
      </c>
      <c r="B771" s="4">
        <v>43337</v>
      </c>
      <c r="C771" s="5">
        <v>11</v>
      </c>
      <c r="D771" s="5" t="s">
        <v>29</v>
      </c>
      <c r="E771" s="5" t="s">
        <v>39</v>
      </c>
      <c r="F771" s="5" t="s">
        <v>16</v>
      </c>
      <c r="G771" s="5" t="s">
        <v>10</v>
      </c>
      <c r="H771" s="5">
        <v>39900</v>
      </c>
      <c r="I771" s="5">
        <v>0</v>
      </c>
      <c r="J771" s="9">
        <v>0</v>
      </c>
    </row>
    <row r="772" spans="1:10" x14ac:dyDescent="0.3">
      <c r="A772" s="3" t="s">
        <v>837</v>
      </c>
      <c r="B772" s="4">
        <v>43338</v>
      </c>
      <c r="C772" s="5">
        <v>4</v>
      </c>
      <c r="D772" s="5" t="s">
        <v>22</v>
      </c>
      <c r="E772" s="5" t="s">
        <v>40</v>
      </c>
      <c r="F772" s="5" t="s">
        <v>18</v>
      </c>
      <c r="G772" s="5" t="s">
        <v>13</v>
      </c>
      <c r="H772" s="5">
        <v>28900</v>
      </c>
      <c r="I772" s="5">
        <v>2</v>
      </c>
      <c r="J772" s="9">
        <v>57800</v>
      </c>
    </row>
    <row r="773" spans="1:10" x14ac:dyDescent="0.3">
      <c r="A773" s="3" t="s">
        <v>838</v>
      </c>
      <c r="B773" s="4">
        <v>43338</v>
      </c>
      <c r="C773" s="5">
        <v>6</v>
      </c>
      <c r="D773" s="5" t="s">
        <v>24</v>
      </c>
      <c r="E773" s="5" t="s">
        <v>44</v>
      </c>
      <c r="F773" s="5" t="s">
        <v>15</v>
      </c>
      <c r="G773" s="5" t="s">
        <v>13</v>
      </c>
      <c r="H773" s="5">
        <v>28900</v>
      </c>
      <c r="I773" s="5">
        <v>3</v>
      </c>
      <c r="J773" s="9">
        <v>86700</v>
      </c>
    </row>
    <row r="774" spans="1:10" x14ac:dyDescent="0.3">
      <c r="A774" s="3" t="s">
        <v>839</v>
      </c>
      <c r="B774" s="4">
        <v>43338</v>
      </c>
      <c r="C774" s="5">
        <v>20</v>
      </c>
      <c r="D774" s="5" t="s">
        <v>38</v>
      </c>
      <c r="E774" s="5" t="s">
        <v>43</v>
      </c>
      <c r="F774" s="5" t="s">
        <v>17</v>
      </c>
      <c r="G774" s="5" t="s">
        <v>12</v>
      </c>
      <c r="H774" s="5">
        <v>6900</v>
      </c>
      <c r="I774" s="5">
        <v>0</v>
      </c>
      <c r="J774" s="9">
        <v>0</v>
      </c>
    </row>
    <row r="775" spans="1:10" x14ac:dyDescent="0.3">
      <c r="A775" s="3" t="s">
        <v>840</v>
      </c>
      <c r="B775" s="4">
        <v>43338</v>
      </c>
      <c r="C775" s="5">
        <v>15</v>
      </c>
      <c r="D775" s="5" t="s">
        <v>33</v>
      </c>
      <c r="E775" s="5" t="s">
        <v>39</v>
      </c>
      <c r="F775" s="5" t="s">
        <v>16</v>
      </c>
      <c r="G775" s="5" t="s">
        <v>12</v>
      </c>
      <c r="H775" s="5">
        <v>6900</v>
      </c>
      <c r="I775" s="5">
        <v>2</v>
      </c>
      <c r="J775" s="9">
        <v>13800</v>
      </c>
    </row>
    <row r="776" spans="1:10" x14ac:dyDescent="0.3">
      <c r="A776" s="3" t="s">
        <v>841</v>
      </c>
      <c r="B776" s="4">
        <v>43338</v>
      </c>
      <c r="C776" s="5">
        <v>13</v>
      </c>
      <c r="D776" s="5" t="s">
        <v>31</v>
      </c>
      <c r="E776" s="5" t="s">
        <v>45</v>
      </c>
      <c r="F776" s="5" t="s">
        <v>16</v>
      </c>
      <c r="G776" s="5" t="s">
        <v>10</v>
      </c>
      <c r="H776" s="5">
        <v>39900</v>
      </c>
      <c r="I776" s="5">
        <v>1</v>
      </c>
      <c r="J776" s="9">
        <v>39900</v>
      </c>
    </row>
    <row r="777" spans="1:10" x14ac:dyDescent="0.3">
      <c r="A777" s="3" t="s">
        <v>842</v>
      </c>
      <c r="B777" s="4">
        <v>43339</v>
      </c>
      <c r="C777" s="5">
        <v>17</v>
      </c>
      <c r="D777" s="5" t="s">
        <v>35</v>
      </c>
      <c r="E777" s="5" t="s">
        <v>43</v>
      </c>
      <c r="F777" s="5" t="s">
        <v>17</v>
      </c>
      <c r="G777" s="5" t="s">
        <v>10</v>
      </c>
      <c r="H777" s="5">
        <v>39900</v>
      </c>
      <c r="I777" s="5">
        <v>2</v>
      </c>
      <c r="J777" s="9">
        <v>79800</v>
      </c>
    </row>
    <row r="778" spans="1:10" x14ac:dyDescent="0.3">
      <c r="A778" s="3" t="s">
        <v>843</v>
      </c>
      <c r="B778" s="4">
        <v>43339</v>
      </c>
      <c r="C778" s="5">
        <v>4</v>
      </c>
      <c r="D778" s="5" t="s">
        <v>22</v>
      </c>
      <c r="E778" s="5" t="s">
        <v>46</v>
      </c>
      <c r="F778" s="5" t="s">
        <v>18</v>
      </c>
      <c r="G778" s="5" t="s">
        <v>10</v>
      </c>
      <c r="H778" s="5">
        <v>39900</v>
      </c>
      <c r="I778" s="5">
        <v>3</v>
      </c>
      <c r="J778" s="9">
        <v>119700</v>
      </c>
    </row>
    <row r="779" spans="1:10" x14ac:dyDescent="0.3">
      <c r="A779" s="3" t="s">
        <v>844</v>
      </c>
      <c r="B779" s="4">
        <v>43339</v>
      </c>
      <c r="C779" s="5">
        <v>2</v>
      </c>
      <c r="D779" s="5" t="s">
        <v>20</v>
      </c>
      <c r="E779" s="5" t="s">
        <v>40</v>
      </c>
      <c r="F779" s="5" t="s">
        <v>18</v>
      </c>
      <c r="G779" s="5" t="s">
        <v>13</v>
      </c>
      <c r="H779" s="5">
        <v>28900</v>
      </c>
      <c r="I779" s="5">
        <v>5</v>
      </c>
      <c r="J779" s="9">
        <v>144500</v>
      </c>
    </row>
    <row r="780" spans="1:10" x14ac:dyDescent="0.3">
      <c r="A780" s="3" t="s">
        <v>845</v>
      </c>
      <c r="B780" s="4">
        <v>43339</v>
      </c>
      <c r="C780" s="5">
        <v>14</v>
      </c>
      <c r="D780" s="5" t="s">
        <v>32</v>
      </c>
      <c r="E780" s="5" t="s">
        <v>45</v>
      </c>
      <c r="F780" s="5" t="s">
        <v>16</v>
      </c>
      <c r="G780" s="5" t="s">
        <v>13</v>
      </c>
      <c r="H780" s="5">
        <v>28900</v>
      </c>
      <c r="I780" s="5">
        <v>6</v>
      </c>
      <c r="J780" s="9">
        <v>173400</v>
      </c>
    </row>
    <row r="781" spans="1:10" x14ac:dyDescent="0.3">
      <c r="A781" s="3" t="s">
        <v>846</v>
      </c>
      <c r="B781" s="4">
        <v>43339</v>
      </c>
      <c r="C781" s="5">
        <v>7</v>
      </c>
      <c r="D781" s="5" t="s">
        <v>25</v>
      </c>
      <c r="E781" s="5" t="s">
        <v>41</v>
      </c>
      <c r="F781" s="5" t="s">
        <v>15</v>
      </c>
      <c r="G781" s="5" t="s">
        <v>10</v>
      </c>
      <c r="H781" s="5">
        <v>39900</v>
      </c>
      <c r="I781" s="5">
        <v>8</v>
      </c>
      <c r="J781" s="9">
        <v>319200</v>
      </c>
    </row>
    <row r="782" spans="1:10" x14ac:dyDescent="0.3">
      <c r="A782" s="3" t="s">
        <v>847</v>
      </c>
      <c r="B782" s="4">
        <v>43340</v>
      </c>
      <c r="C782" s="5">
        <v>11</v>
      </c>
      <c r="D782" s="5" t="s">
        <v>29</v>
      </c>
      <c r="E782" s="5" t="s">
        <v>45</v>
      </c>
      <c r="F782" s="5" t="s">
        <v>16</v>
      </c>
      <c r="G782" s="5" t="s">
        <v>12</v>
      </c>
      <c r="H782" s="5">
        <v>6900</v>
      </c>
      <c r="I782" s="5">
        <v>6</v>
      </c>
      <c r="J782" s="9">
        <v>41400</v>
      </c>
    </row>
    <row r="783" spans="1:10" x14ac:dyDescent="0.3">
      <c r="A783" s="3" t="s">
        <v>848</v>
      </c>
      <c r="B783" s="4">
        <v>43341</v>
      </c>
      <c r="C783" s="5">
        <v>1</v>
      </c>
      <c r="D783" s="5" t="s">
        <v>19</v>
      </c>
      <c r="E783" s="5" t="s">
        <v>40</v>
      </c>
      <c r="F783" s="5" t="s">
        <v>18</v>
      </c>
      <c r="G783" s="5" t="s">
        <v>14</v>
      </c>
      <c r="H783" s="5">
        <v>15900</v>
      </c>
      <c r="I783" s="5">
        <v>9</v>
      </c>
      <c r="J783" s="9">
        <v>143100</v>
      </c>
    </row>
    <row r="784" spans="1:10" x14ac:dyDescent="0.3">
      <c r="A784" s="3" t="s">
        <v>849</v>
      </c>
      <c r="B784" s="4">
        <v>43341</v>
      </c>
      <c r="C784" s="5">
        <v>8</v>
      </c>
      <c r="D784" s="5" t="s">
        <v>26</v>
      </c>
      <c r="E784" s="5" t="s">
        <v>41</v>
      </c>
      <c r="F784" s="5" t="s">
        <v>15</v>
      </c>
      <c r="G784" s="5" t="s">
        <v>10</v>
      </c>
      <c r="H784" s="5">
        <v>39900</v>
      </c>
      <c r="I784" s="5">
        <v>3</v>
      </c>
      <c r="J784" s="9">
        <v>119700</v>
      </c>
    </row>
    <row r="785" spans="1:10" x14ac:dyDescent="0.3">
      <c r="A785" s="3" t="s">
        <v>850</v>
      </c>
      <c r="B785" s="4">
        <v>43341</v>
      </c>
      <c r="C785" s="5">
        <v>2</v>
      </c>
      <c r="D785" s="5" t="s">
        <v>20</v>
      </c>
      <c r="E785" s="5" t="s">
        <v>40</v>
      </c>
      <c r="F785" s="5" t="s">
        <v>18</v>
      </c>
      <c r="G785" s="5" t="s">
        <v>11</v>
      </c>
      <c r="H785" s="5">
        <v>19900</v>
      </c>
      <c r="I785" s="5">
        <v>5</v>
      </c>
      <c r="J785" s="9">
        <v>99500</v>
      </c>
    </row>
    <row r="786" spans="1:10" x14ac:dyDescent="0.3">
      <c r="A786" s="3" t="s">
        <v>851</v>
      </c>
      <c r="B786" s="4">
        <v>43341</v>
      </c>
      <c r="C786" s="5">
        <v>5</v>
      </c>
      <c r="D786" s="5" t="s">
        <v>23</v>
      </c>
      <c r="E786" s="5" t="s">
        <v>46</v>
      </c>
      <c r="F786" s="5" t="s">
        <v>18</v>
      </c>
      <c r="G786" s="5" t="s">
        <v>10</v>
      </c>
      <c r="H786" s="5">
        <v>39900</v>
      </c>
      <c r="I786" s="5">
        <v>6</v>
      </c>
      <c r="J786" s="9">
        <v>239400</v>
      </c>
    </row>
    <row r="787" spans="1:10" x14ac:dyDescent="0.3">
      <c r="A787" s="3" t="s">
        <v>852</v>
      </c>
      <c r="B787" s="4">
        <v>43341</v>
      </c>
      <c r="C787" s="5">
        <v>4</v>
      </c>
      <c r="D787" s="5" t="s">
        <v>22</v>
      </c>
      <c r="E787" s="5" t="s">
        <v>46</v>
      </c>
      <c r="F787" s="5" t="s">
        <v>18</v>
      </c>
      <c r="G787" s="5" t="s">
        <v>13</v>
      </c>
      <c r="H787" s="5">
        <v>28900</v>
      </c>
      <c r="I787" s="5">
        <v>6</v>
      </c>
      <c r="J787" s="9">
        <v>173400</v>
      </c>
    </row>
    <row r="788" spans="1:10" x14ac:dyDescent="0.3">
      <c r="A788" s="3" t="s">
        <v>853</v>
      </c>
      <c r="B788" s="4">
        <v>43342</v>
      </c>
      <c r="C788" s="5">
        <v>14</v>
      </c>
      <c r="D788" s="5" t="s">
        <v>32</v>
      </c>
      <c r="E788" s="5" t="s">
        <v>39</v>
      </c>
      <c r="F788" s="5" t="s">
        <v>16</v>
      </c>
      <c r="G788" s="5" t="s">
        <v>12</v>
      </c>
      <c r="H788" s="5">
        <v>6900</v>
      </c>
      <c r="I788" s="5">
        <v>1</v>
      </c>
      <c r="J788" s="9">
        <v>6900</v>
      </c>
    </row>
    <row r="789" spans="1:10" x14ac:dyDescent="0.3">
      <c r="A789" s="3" t="s">
        <v>854</v>
      </c>
      <c r="B789" s="4">
        <v>43342</v>
      </c>
      <c r="C789" s="5">
        <v>14</v>
      </c>
      <c r="D789" s="5" t="s">
        <v>32</v>
      </c>
      <c r="E789" s="5" t="s">
        <v>45</v>
      </c>
      <c r="F789" s="5" t="s">
        <v>16</v>
      </c>
      <c r="G789" s="5" t="s">
        <v>11</v>
      </c>
      <c r="H789" s="5">
        <v>19900</v>
      </c>
      <c r="I789" s="5">
        <v>6</v>
      </c>
      <c r="J789" s="9">
        <v>119400</v>
      </c>
    </row>
    <row r="790" spans="1:10" x14ac:dyDescent="0.3">
      <c r="A790" s="3" t="s">
        <v>855</v>
      </c>
      <c r="B790" s="4">
        <v>43342</v>
      </c>
      <c r="C790" s="5">
        <v>6</v>
      </c>
      <c r="D790" s="5" t="s">
        <v>24</v>
      </c>
      <c r="E790" s="5" t="s">
        <v>44</v>
      </c>
      <c r="F790" s="5" t="s">
        <v>15</v>
      </c>
      <c r="G790" s="5" t="s">
        <v>14</v>
      </c>
      <c r="H790" s="5">
        <v>15900</v>
      </c>
      <c r="I790" s="5">
        <v>8</v>
      </c>
      <c r="J790" s="9">
        <v>127200</v>
      </c>
    </row>
    <row r="791" spans="1:10" x14ac:dyDescent="0.3">
      <c r="A791" s="3" t="s">
        <v>856</v>
      </c>
      <c r="B791" s="4">
        <v>43342</v>
      </c>
      <c r="C791" s="5">
        <v>13</v>
      </c>
      <c r="D791" s="5" t="s">
        <v>31</v>
      </c>
      <c r="E791" s="5" t="s">
        <v>45</v>
      </c>
      <c r="F791" s="5" t="s">
        <v>16</v>
      </c>
      <c r="G791" s="5" t="s">
        <v>14</v>
      </c>
      <c r="H791" s="5">
        <v>15900</v>
      </c>
      <c r="I791" s="5">
        <v>8</v>
      </c>
      <c r="J791" s="9">
        <v>127200</v>
      </c>
    </row>
    <row r="792" spans="1:10" x14ac:dyDescent="0.3">
      <c r="A792" s="3" t="s">
        <v>857</v>
      </c>
      <c r="B792" s="4">
        <v>43343</v>
      </c>
      <c r="C792" s="5">
        <v>18</v>
      </c>
      <c r="D792" s="5" t="s">
        <v>36</v>
      </c>
      <c r="E792" s="5" t="s">
        <v>42</v>
      </c>
      <c r="F792" s="5" t="s">
        <v>17</v>
      </c>
      <c r="G792" s="5" t="s">
        <v>10</v>
      </c>
      <c r="H792" s="5">
        <v>39900</v>
      </c>
      <c r="I792" s="5">
        <v>3</v>
      </c>
      <c r="J792" s="9">
        <v>119700</v>
      </c>
    </row>
    <row r="793" spans="1:10" x14ac:dyDescent="0.3">
      <c r="A793" s="3" t="s">
        <v>858</v>
      </c>
      <c r="B793" s="4">
        <v>43343</v>
      </c>
      <c r="C793" s="5">
        <v>16</v>
      </c>
      <c r="D793" s="5" t="s">
        <v>34</v>
      </c>
      <c r="E793" s="5" t="s">
        <v>42</v>
      </c>
      <c r="F793" s="5" t="s">
        <v>17</v>
      </c>
      <c r="G793" s="5" t="s">
        <v>14</v>
      </c>
      <c r="H793" s="5">
        <v>15900</v>
      </c>
      <c r="I793" s="5">
        <v>9</v>
      </c>
      <c r="J793" s="9">
        <v>143100</v>
      </c>
    </row>
    <row r="794" spans="1:10" x14ac:dyDescent="0.3">
      <c r="A794" s="3" t="s">
        <v>859</v>
      </c>
      <c r="B794" s="4">
        <v>43344</v>
      </c>
      <c r="C794" s="5">
        <v>10</v>
      </c>
      <c r="D794" s="5" t="s">
        <v>28</v>
      </c>
      <c r="E794" s="5" t="s">
        <v>44</v>
      </c>
      <c r="F794" s="5" t="s">
        <v>15</v>
      </c>
      <c r="G794" s="5" t="s">
        <v>10</v>
      </c>
      <c r="H794" s="5">
        <v>39900</v>
      </c>
      <c r="I794" s="5">
        <v>3</v>
      </c>
      <c r="J794" s="9">
        <v>119700</v>
      </c>
    </row>
    <row r="795" spans="1:10" x14ac:dyDescent="0.3">
      <c r="A795" s="3" t="s">
        <v>860</v>
      </c>
      <c r="B795" s="4">
        <v>43344</v>
      </c>
      <c r="C795" s="5">
        <v>11</v>
      </c>
      <c r="D795" s="5" t="s">
        <v>29</v>
      </c>
      <c r="E795" s="5" t="s">
        <v>39</v>
      </c>
      <c r="F795" s="5" t="s">
        <v>16</v>
      </c>
      <c r="G795" s="5" t="s">
        <v>11</v>
      </c>
      <c r="H795" s="5">
        <v>19900</v>
      </c>
      <c r="I795" s="5">
        <v>8</v>
      </c>
      <c r="J795" s="9">
        <v>159200</v>
      </c>
    </row>
    <row r="796" spans="1:10" x14ac:dyDescent="0.3">
      <c r="A796" s="3" t="s">
        <v>861</v>
      </c>
      <c r="B796" s="4">
        <v>43344</v>
      </c>
      <c r="C796" s="5">
        <v>13</v>
      </c>
      <c r="D796" s="5" t="s">
        <v>31</v>
      </c>
      <c r="E796" s="5" t="s">
        <v>45</v>
      </c>
      <c r="F796" s="5" t="s">
        <v>16</v>
      </c>
      <c r="G796" s="5" t="s">
        <v>11</v>
      </c>
      <c r="H796" s="5">
        <v>19900</v>
      </c>
      <c r="I796" s="5">
        <v>9</v>
      </c>
      <c r="J796" s="9">
        <v>179100</v>
      </c>
    </row>
    <row r="797" spans="1:10" x14ac:dyDescent="0.3">
      <c r="A797" s="3" t="s">
        <v>862</v>
      </c>
      <c r="B797" s="4">
        <v>43344</v>
      </c>
      <c r="C797" s="5">
        <v>18</v>
      </c>
      <c r="D797" s="5" t="s">
        <v>36</v>
      </c>
      <c r="E797" s="5" t="s">
        <v>43</v>
      </c>
      <c r="F797" s="5" t="s">
        <v>17</v>
      </c>
      <c r="G797" s="5" t="s">
        <v>13</v>
      </c>
      <c r="H797" s="5">
        <v>28900</v>
      </c>
      <c r="I797" s="5">
        <v>4</v>
      </c>
      <c r="J797" s="9">
        <v>115600</v>
      </c>
    </row>
    <row r="798" spans="1:10" x14ac:dyDescent="0.3">
      <c r="A798" s="3" t="s">
        <v>863</v>
      </c>
      <c r="B798" s="4">
        <v>43345</v>
      </c>
      <c r="C798" s="5">
        <v>4</v>
      </c>
      <c r="D798" s="5" t="s">
        <v>22</v>
      </c>
      <c r="E798" s="5" t="s">
        <v>46</v>
      </c>
      <c r="F798" s="5" t="s">
        <v>18</v>
      </c>
      <c r="G798" s="5" t="s">
        <v>12</v>
      </c>
      <c r="H798" s="5">
        <v>6900</v>
      </c>
      <c r="I798" s="5">
        <v>2</v>
      </c>
      <c r="J798" s="9">
        <v>13800</v>
      </c>
    </row>
    <row r="799" spans="1:10" x14ac:dyDescent="0.3">
      <c r="A799" s="3" t="s">
        <v>864</v>
      </c>
      <c r="B799" s="4">
        <v>43345</v>
      </c>
      <c r="C799" s="5">
        <v>20</v>
      </c>
      <c r="D799" s="5" t="s">
        <v>38</v>
      </c>
      <c r="E799" s="5" t="s">
        <v>43</v>
      </c>
      <c r="F799" s="5" t="s">
        <v>17</v>
      </c>
      <c r="G799" s="5" t="s">
        <v>12</v>
      </c>
      <c r="H799" s="5">
        <v>6900</v>
      </c>
      <c r="I799" s="5">
        <v>6</v>
      </c>
      <c r="J799" s="9">
        <v>41400</v>
      </c>
    </row>
    <row r="800" spans="1:10" x14ac:dyDescent="0.3">
      <c r="A800" s="3" t="s">
        <v>865</v>
      </c>
      <c r="B800" s="4">
        <v>43346</v>
      </c>
      <c r="C800" s="5">
        <v>16</v>
      </c>
      <c r="D800" s="5" t="s">
        <v>34</v>
      </c>
      <c r="E800" s="5" t="s">
        <v>43</v>
      </c>
      <c r="F800" s="5" t="s">
        <v>17</v>
      </c>
      <c r="G800" s="5" t="s">
        <v>10</v>
      </c>
      <c r="H800" s="5">
        <v>39900</v>
      </c>
      <c r="I800" s="5">
        <v>5</v>
      </c>
      <c r="J800" s="9">
        <v>199500</v>
      </c>
    </row>
    <row r="801" spans="1:10" x14ac:dyDescent="0.3">
      <c r="A801" s="3" t="s">
        <v>866</v>
      </c>
      <c r="B801" s="4">
        <v>43346</v>
      </c>
      <c r="C801" s="5">
        <v>3</v>
      </c>
      <c r="D801" s="5" t="s">
        <v>21</v>
      </c>
      <c r="E801" s="5" t="s">
        <v>46</v>
      </c>
      <c r="F801" s="5" t="s">
        <v>18</v>
      </c>
      <c r="G801" s="5" t="s">
        <v>14</v>
      </c>
      <c r="H801" s="5">
        <v>15900</v>
      </c>
      <c r="I801" s="5">
        <v>4</v>
      </c>
      <c r="J801" s="9">
        <v>63600</v>
      </c>
    </row>
    <row r="802" spans="1:10" x14ac:dyDescent="0.3">
      <c r="A802" s="3" t="s">
        <v>867</v>
      </c>
      <c r="B802" s="4">
        <v>43346</v>
      </c>
      <c r="C802" s="5">
        <v>10</v>
      </c>
      <c r="D802" s="5" t="s">
        <v>28</v>
      </c>
      <c r="E802" s="5" t="s">
        <v>44</v>
      </c>
      <c r="F802" s="5" t="s">
        <v>15</v>
      </c>
      <c r="G802" s="5" t="s">
        <v>13</v>
      </c>
      <c r="H802" s="5">
        <v>28900</v>
      </c>
      <c r="I802" s="5">
        <v>7</v>
      </c>
      <c r="J802" s="9">
        <v>202300</v>
      </c>
    </row>
    <row r="803" spans="1:10" x14ac:dyDescent="0.3">
      <c r="A803" s="3" t="s">
        <v>868</v>
      </c>
      <c r="B803" s="4">
        <v>43346</v>
      </c>
      <c r="C803" s="5">
        <v>6</v>
      </c>
      <c r="D803" s="5" t="s">
        <v>24</v>
      </c>
      <c r="E803" s="5" t="s">
        <v>44</v>
      </c>
      <c r="F803" s="5" t="s">
        <v>15</v>
      </c>
      <c r="G803" s="5" t="s">
        <v>10</v>
      </c>
      <c r="H803" s="5">
        <v>39900</v>
      </c>
      <c r="I803" s="5">
        <v>8</v>
      </c>
      <c r="J803" s="9">
        <v>319200</v>
      </c>
    </row>
    <row r="804" spans="1:10" x14ac:dyDescent="0.3">
      <c r="A804" s="3" t="s">
        <v>869</v>
      </c>
      <c r="B804" s="4">
        <v>43346</v>
      </c>
      <c r="C804" s="5">
        <v>17</v>
      </c>
      <c r="D804" s="5" t="s">
        <v>35</v>
      </c>
      <c r="E804" s="5" t="s">
        <v>43</v>
      </c>
      <c r="F804" s="5" t="s">
        <v>17</v>
      </c>
      <c r="G804" s="5" t="s">
        <v>11</v>
      </c>
      <c r="H804" s="5">
        <v>19900</v>
      </c>
      <c r="I804" s="5">
        <v>5</v>
      </c>
      <c r="J804" s="9">
        <v>99500</v>
      </c>
    </row>
    <row r="805" spans="1:10" x14ac:dyDescent="0.3">
      <c r="A805" s="3" t="s">
        <v>870</v>
      </c>
      <c r="B805" s="4">
        <v>43347</v>
      </c>
      <c r="C805" s="5">
        <v>16</v>
      </c>
      <c r="D805" s="5" t="s">
        <v>34</v>
      </c>
      <c r="E805" s="5" t="s">
        <v>42</v>
      </c>
      <c r="F805" s="5" t="s">
        <v>17</v>
      </c>
      <c r="G805" s="5" t="s">
        <v>12</v>
      </c>
      <c r="H805" s="5">
        <v>6900</v>
      </c>
      <c r="I805" s="5">
        <v>1</v>
      </c>
      <c r="J805" s="9">
        <v>6900</v>
      </c>
    </row>
    <row r="806" spans="1:10" x14ac:dyDescent="0.3">
      <c r="A806" s="3" t="s">
        <v>871</v>
      </c>
      <c r="B806" s="4">
        <v>43348</v>
      </c>
      <c r="C806" s="5">
        <v>19</v>
      </c>
      <c r="D806" s="5" t="s">
        <v>37</v>
      </c>
      <c r="E806" s="5" t="s">
        <v>43</v>
      </c>
      <c r="F806" s="5" t="s">
        <v>17</v>
      </c>
      <c r="G806" s="5" t="s">
        <v>10</v>
      </c>
      <c r="H806" s="5">
        <v>39900</v>
      </c>
      <c r="I806" s="5">
        <v>7</v>
      </c>
      <c r="J806" s="9">
        <v>279300</v>
      </c>
    </row>
    <row r="807" spans="1:10" x14ac:dyDescent="0.3">
      <c r="A807" s="3" t="s">
        <v>872</v>
      </c>
      <c r="B807" s="4">
        <v>43348</v>
      </c>
      <c r="C807" s="5">
        <v>5</v>
      </c>
      <c r="D807" s="5" t="s">
        <v>23</v>
      </c>
      <c r="E807" s="5" t="s">
        <v>40</v>
      </c>
      <c r="F807" s="5" t="s">
        <v>18</v>
      </c>
      <c r="G807" s="5" t="s">
        <v>10</v>
      </c>
      <c r="H807" s="5">
        <v>39900</v>
      </c>
      <c r="I807" s="5">
        <v>6</v>
      </c>
      <c r="J807" s="9">
        <v>239400</v>
      </c>
    </row>
    <row r="808" spans="1:10" x14ac:dyDescent="0.3">
      <c r="A808" s="3" t="s">
        <v>873</v>
      </c>
      <c r="B808" s="4">
        <v>43348</v>
      </c>
      <c r="C808" s="5">
        <v>11</v>
      </c>
      <c r="D808" s="5" t="s">
        <v>29</v>
      </c>
      <c r="E808" s="5" t="s">
        <v>39</v>
      </c>
      <c r="F808" s="5" t="s">
        <v>16</v>
      </c>
      <c r="G808" s="5" t="s">
        <v>14</v>
      </c>
      <c r="H808" s="5">
        <v>15900</v>
      </c>
      <c r="I808" s="5">
        <v>5</v>
      </c>
      <c r="J808" s="9">
        <v>79500</v>
      </c>
    </row>
    <row r="809" spans="1:10" x14ac:dyDescent="0.3">
      <c r="A809" s="3" t="s">
        <v>874</v>
      </c>
      <c r="B809" s="4">
        <v>43349</v>
      </c>
      <c r="C809" s="5">
        <v>13</v>
      </c>
      <c r="D809" s="5" t="s">
        <v>31</v>
      </c>
      <c r="E809" s="5" t="s">
        <v>45</v>
      </c>
      <c r="F809" s="5" t="s">
        <v>16</v>
      </c>
      <c r="G809" s="5" t="s">
        <v>12</v>
      </c>
      <c r="H809" s="5">
        <v>6900</v>
      </c>
      <c r="I809" s="5">
        <v>5</v>
      </c>
      <c r="J809" s="9">
        <v>34500</v>
      </c>
    </row>
    <row r="810" spans="1:10" x14ac:dyDescent="0.3">
      <c r="A810" s="3" t="s">
        <v>875</v>
      </c>
      <c r="B810" s="4">
        <v>43349</v>
      </c>
      <c r="C810" s="5">
        <v>19</v>
      </c>
      <c r="D810" s="5" t="s">
        <v>37</v>
      </c>
      <c r="E810" s="5" t="s">
        <v>42</v>
      </c>
      <c r="F810" s="5" t="s">
        <v>17</v>
      </c>
      <c r="G810" s="5" t="s">
        <v>11</v>
      </c>
      <c r="H810" s="5">
        <v>19900</v>
      </c>
      <c r="I810" s="5">
        <v>9</v>
      </c>
      <c r="J810" s="9">
        <v>179100</v>
      </c>
    </row>
    <row r="811" spans="1:10" x14ac:dyDescent="0.3">
      <c r="A811" s="3" t="s">
        <v>876</v>
      </c>
      <c r="B811" s="4">
        <v>43349</v>
      </c>
      <c r="C811" s="5">
        <v>15</v>
      </c>
      <c r="D811" s="5" t="s">
        <v>33</v>
      </c>
      <c r="E811" s="5" t="s">
        <v>39</v>
      </c>
      <c r="F811" s="5" t="s">
        <v>16</v>
      </c>
      <c r="G811" s="5" t="s">
        <v>12</v>
      </c>
      <c r="H811" s="5">
        <v>6900</v>
      </c>
      <c r="I811" s="5">
        <v>5</v>
      </c>
      <c r="J811" s="9">
        <v>34500</v>
      </c>
    </row>
    <row r="812" spans="1:10" x14ac:dyDescent="0.3">
      <c r="A812" s="3" t="s">
        <v>877</v>
      </c>
      <c r="B812" s="4">
        <v>43349</v>
      </c>
      <c r="C812" s="5">
        <v>14</v>
      </c>
      <c r="D812" s="5" t="s">
        <v>32</v>
      </c>
      <c r="E812" s="5" t="s">
        <v>39</v>
      </c>
      <c r="F812" s="5" t="s">
        <v>16</v>
      </c>
      <c r="G812" s="5" t="s">
        <v>12</v>
      </c>
      <c r="H812" s="5">
        <v>6900</v>
      </c>
      <c r="I812" s="5">
        <v>9</v>
      </c>
      <c r="J812" s="9">
        <v>62100</v>
      </c>
    </row>
    <row r="813" spans="1:10" x14ac:dyDescent="0.3">
      <c r="A813" s="3" t="s">
        <v>878</v>
      </c>
      <c r="B813" s="4">
        <v>43350</v>
      </c>
      <c r="C813" s="5">
        <v>16</v>
      </c>
      <c r="D813" s="5" t="s">
        <v>34</v>
      </c>
      <c r="E813" s="5" t="s">
        <v>43</v>
      </c>
      <c r="F813" s="5" t="s">
        <v>17</v>
      </c>
      <c r="G813" s="5" t="s">
        <v>10</v>
      </c>
      <c r="H813" s="5">
        <v>39900</v>
      </c>
      <c r="I813" s="5">
        <v>1</v>
      </c>
      <c r="J813" s="9">
        <v>39900</v>
      </c>
    </row>
    <row r="814" spans="1:10" x14ac:dyDescent="0.3">
      <c r="A814" s="3" t="s">
        <v>879</v>
      </c>
      <c r="B814" s="4">
        <v>43351</v>
      </c>
      <c r="C814" s="5">
        <v>16</v>
      </c>
      <c r="D814" s="5" t="s">
        <v>34</v>
      </c>
      <c r="E814" s="5" t="s">
        <v>43</v>
      </c>
      <c r="F814" s="5" t="s">
        <v>17</v>
      </c>
      <c r="G814" s="5" t="s">
        <v>14</v>
      </c>
      <c r="H814" s="5">
        <v>15900</v>
      </c>
      <c r="I814" s="5">
        <v>8</v>
      </c>
      <c r="J814" s="9">
        <v>127200</v>
      </c>
    </row>
    <row r="815" spans="1:10" x14ac:dyDescent="0.3">
      <c r="A815" s="3" t="s">
        <v>880</v>
      </c>
      <c r="B815" s="4">
        <v>43351</v>
      </c>
      <c r="C815" s="5">
        <v>16</v>
      </c>
      <c r="D815" s="5" t="s">
        <v>34</v>
      </c>
      <c r="E815" s="5" t="s">
        <v>42</v>
      </c>
      <c r="F815" s="5" t="s">
        <v>17</v>
      </c>
      <c r="G815" s="5" t="s">
        <v>14</v>
      </c>
      <c r="H815" s="5">
        <v>15900</v>
      </c>
      <c r="I815" s="5">
        <v>4</v>
      </c>
      <c r="J815" s="9">
        <v>63600</v>
      </c>
    </row>
    <row r="816" spans="1:10" x14ac:dyDescent="0.3">
      <c r="A816" s="3" t="s">
        <v>881</v>
      </c>
      <c r="B816" s="4">
        <v>43351</v>
      </c>
      <c r="C816" s="5">
        <v>3</v>
      </c>
      <c r="D816" s="5" t="s">
        <v>21</v>
      </c>
      <c r="E816" s="5" t="s">
        <v>40</v>
      </c>
      <c r="F816" s="5" t="s">
        <v>18</v>
      </c>
      <c r="G816" s="5" t="s">
        <v>14</v>
      </c>
      <c r="H816" s="5">
        <v>15900</v>
      </c>
      <c r="I816" s="5">
        <v>8</v>
      </c>
      <c r="J816" s="9">
        <v>127200</v>
      </c>
    </row>
    <row r="817" spans="1:10" x14ac:dyDescent="0.3">
      <c r="A817" s="3" t="s">
        <v>882</v>
      </c>
      <c r="B817" s="4">
        <v>43351</v>
      </c>
      <c r="C817" s="5">
        <v>15</v>
      </c>
      <c r="D817" s="5" t="s">
        <v>33</v>
      </c>
      <c r="E817" s="5" t="s">
        <v>45</v>
      </c>
      <c r="F817" s="5" t="s">
        <v>16</v>
      </c>
      <c r="G817" s="5" t="s">
        <v>10</v>
      </c>
      <c r="H817" s="5">
        <v>39900</v>
      </c>
      <c r="I817" s="5">
        <v>4</v>
      </c>
      <c r="J817" s="9">
        <v>159600</v>
      </c>
    </row>
    <row r="818" spans="1:10" x14ac:dyDescent="0.3">
      <c r="A818" s="3" t="s">
        <v>883</v>
      </c>
      <c r="B818" s="4">
        <v>43351</v>
      </c>
      <c r="C818" s="5">
        <v>20</v>
      </c>
      <c r="D818" s="5" t="s">
        <v>38</v>
      </c>
      <c r="E818" s="5" t="s">
        <v>42</v>
      </c>
      <c r="F818" s="5" t="s">
        <v>17</v>
      </c>
      <c r="G818" s="5" t="s">
        <v>12</v>
      </c>
      <c r="H818" s="5">
        <v>6900</v>
      </c>
      <c r="I818" s="5">
        <v>5</v>
      </c>
      <c r="J818" s="9">
        <v>34500</v>
      </c>
    </row>
    <row r="819" spans="1:10" x14ac:dyDescent="0.3">
      <c r="A819" s="3" t="s">
        <v>884</v>
      </c>
      <c r="B819" s="4">
        <v>43352</v>
      </c>
      <c r="C819" s="5">
        <v>13</v>
      </c>
      <c r="D819" s="5" t="s">
        <v>31</v>
      </c>
      <c r="E819" s="5" t="s">
        <v>39</v>
      </c>
      <c r="F819" s="5" t="s">
        <v>16</v>
      </c>
      <c r="G819" s="5" t="s">
        <v>10</v>
      </c>
      <c r="H819" s="5">
        <v>39900</v>
      </c>
      <c r="I819" s="5">
        <v>3</v>
      </c>
      <c r="J819" s="9">
        <v>119700</v>
      </c>
    </row>
    <row r="820" spans="1:10" x14ac:dyDescent="0.3">
      <c r="A820" s="3" t="s">
        <v>885</v>
      </c>
      <c r="B820" s="4">
        <v>43352</v>
      </c>
      <c r="C820" s="5">
        <v>6</v>
      </c>
      <c r="D820" s="5" t="s">
        <v>24</v>
      </c>
      <c r="E820" s="5" t="s">
        <v>41</v>
      </c>
      <c r="F820" s="5" t="s">
        <v>15</v>
      </c>
      <c r="G820" s="5" t="s">
        <v>13</v>
      </c>
      <c r="H820" s="5">
        <v>28900</v>
      </c>
      <c r="I820" s="5">
        <v>0</v>
      </c>
      <c r="J820" s="9">
        <v>0</v>
      </c>
    </row>
    <row r="821" spans="1:10" x14ac:dyDescent="0.3">
      <c r="A821" s="3" t="s">
        <v>886</v>
      </c>
      <c r="B821" s="4">
        <v>43353</v>
      </c>
      <c r="C821" s="5">
        <v>11</v>
      </c>
      <c r="D821" s="5" t="s">
        <v>29</v>
      </c>
      <c r="E821" s="5" t="s">
        <v>45</v>
      </c>
      <c r="F821" s="5" t="s">
        <v>16</v>
      </c>
      <c r="G821" s="5" t="s">
        <v>14</v>
      </c>
      <c r="H821" s="5">
        <v>15900</v>
      </c>
      <c r="I821" s="5">
        <v>4</v>
      </c>
      <c r="J821" s="9">
        <v>63600</v>
      </c>
    </row>
    <row r="822" spans="1:10" x14ac:dyDescent="0.3">
      <c r="A822" s="3" t="s">
        <v>887</v>
      </c>
      <c r="B822" s="4">
        <v>43353</v>
      </c>
      <c r="C822" s="5">
        <v>12</v>
      </c>
      <c r="D822" s="5" t="s">
        <v>30</v>
      </c>
      <c r="E822" s="5" t="s">
        <v>39</v>
      </c>
      <c r="F822" s="5" t="s">
        <v>16</v>
      </c>
      <c r="G822" s="5" t="s">
        <v>14</v>
      </c>
      <c r="H822" s="5">
        <v>15900</v>
      </c>
      <c r="I822" s="5">
        <v>4</v>
      </c>
      <c r="J822" s="9">
        <v>63600</v>
      </c>
    </row>
    <row r="823" spans="1:10" x14ac:dyDescent="0.3">
      <c r="A823" s="3" t="s">
        <v>888</v>
      </c>
      <c r="B823" s="4">
        <v>43353</v>
      </c>
      <c r="C823" s="5">
        <v>19</v>
      </c>
      <c r="D823" s="5" t="s">
        <v>37</v>
      </c>
      <c r="E823" s="5" t="s">
        <v>42</v>
      </c>
      <c r="F823" s="5" t="s">
        <v>17</v>
      </c>
      <c r="G823" s="5" t="s">
        <v>10</v>
      </c>
      <c r="H823" s="5">
        <v>39900</v>
      </c>
      <c r="I823" s="5">
        <v>4</v>
      </c>
      <c r="J823" s="9">
        <v>159600</v>
      </c>
    </row>
    <row r="824" spans="1:10" x14ac:dyDescent="0.3">
      <c r="A824" s="3" t="s">
        <v>889</v>
      </c>
      <c r="B824" s="4">
        <v>43353</v>
      </c>
      <c r="C824" s="5">
        <v>11</v>
      </c>
      <c r="D824" s="5" t="s">
        <v>29</v>
      </c>
      <c r="E824" s="5" t="s">
        <v>45</v>
      </c>
      <c r="F824" s="5" t="s">
        <v>16</v>
      </c>
      <c r="G824" s="5" t="s">
        <v>12</v>
      </c>
      <c r="H824" s="5">
        <v>6900</v>
      </c>
      <c r="I824" s="5">
        <v>8</v>
      </c>
      <c r="J824" s="9">
        <v>55200</v>
      </c>
    </row>
    <row r="825" spans="1:10" x14ac:dyDescent="0.3">
      <c r="A825" s="3" t="s">
        <v>890</v>
      </c>
      <c r="B825" s="4">
        <v>43353</v>
      </c>
      <c r="C825" s="5">
        <v>8</v>
      </c>
      <c r="D825" s="5" t="s">
        <v>26</v>
      </c>
      <c r="E825" s="5" t="s">
        <v>41</v>
      </c>
      <c r="F825" s="5" t="s">
        <v>15</v>
      </c>
      <c r="G825" s="5" t="s">
        <v>13</v>
      </c>
      <c r="H825" s="5">
        <v>28900</v>
      </c>
      <c r="I825" s="5">
        <v>0</v>
      </c>
      <c r="J825" s="9">
        <v>0</v>
      </c>
    </row>
    <row r="826" spans="1:10" x14ac:dyDescent="0.3">
      <c r="A826" s="3" t="s">
        <v>891</v>
      </c>
      <c r="B826" s="4">
        <v>43354</v>
      </c>
      <c r="C826" s="5">
        <v>20</v>
      </c>
      <c r="D826" s="5" t="s">
        <v>38</v>
      </c>
      <c r="E826" s="5" t="s">
        <v>43</v>
      </c>
      <c r="F826" s="5" t="s">
        <v>17</v>
      </c>
      <c r="G826" s="5" t="s">
        <v>10</v>
      </c>
      <c r="H826" s="5">
        <v>39900</v>
      </c>
      <c r="I826" s="5">
        <v>9</v>
      </c>
      <c r="J826" s="9">
        <v>359100</v>
      </c>
    </row>
    <row r="827" spans="1:10" x14ac:dyDescent="0.3">
      <c r="A827" s="3" t="s">
        <v>892</v>
      </c>
      <c r="B827" s="4">
        <v>43354</v>
      </c>
      <c r="C827" s="5">
        <v>15</v>
      </c>
      <c r="D827" s="5" t="s">
        <v>33</v>
      </c>
      <c r="E827" s="5" t="s">
        <v>45</v>
      </c>
      <c r="F827" s="5" t="s">
        <v>16</v>
      </c>
      <c r="G827" s="5" t="s">
        <v>13</v>
      </c>
      <c r="H827" s="5">
        <v>28900</v>
      </c>
      <c r="I827" s="5">
        <v>1</v>
      </c>
      <c r="J827" s="9">
        <v>28900</v>
      </c>
    </row>
    <row r="828" spans="1:10" x14ac:dyDescent="0.3">
      <c r="A828" s="3" t="s">
        <v>893</v>
      </c>
      <c r="B828" s="4">
        <v>43354</v>
      </c>
      <c r="C828" s="5">
        <v>1</v>
      </c>
      <c r="D828" s="5" t="s">
        <v>19</v>
      </c>
      <c r="E828" s="5" t="s">
        <v>40</v>
      </c>
      <c r="F828" s="5" t="s">
        <v>18</v>
      </c>
      <c r="G828" s="5" t="s">
        <v>14</v>
      </c>
      <c r="H828" s="5">
        <v>15900</v>
      </c>
      <c r="I828" s="5">
        <v>3</v>
      </c>
      <c r="J828" s="9">
        <v>47700</v>
      </c>
    </row>
    <row r="829" spans="1:10" x14ac:dyDescent="0.3">
      <c r="A829" s="3" t="s">
        <v>894</v>
      </c>
      <c r="B829" s="4">
        <v>43355</v>
      </c>
      <c r="C829" s="5">
        <v>5</v>
      </c>
      <c r="D829" s="5" t="s">
        <v>23</v>
      </c>
      <c r="E829" s="5" t="s">
        <v>40</v>
      </c>
      <c r="F829" s="5" t="s">
        <v>18</v>
      </c>
      <c r="G829" s="5" t="s">
        <v>11</v>
      </c>
      <c r="H829" s="5">
        <v>19900</v>
      </c>
      <c r="I829" s="5">
        <v>3</v>
      </c>
      <c r="J829" s="9">
        <v>59700</v>
      </c>
    </row>
    <row r="830" spans="1:10" x14ac:dyDescent="0.3">
      <c r="A830" s="3" t="s">
        <v>895</v>
      </c>
      <c r="B830" s="4">
        <v>43355</v>
      </c>
      <c r="C830" s="5">
        <v>14</v>
      </c>
      <c r="D830" s="5" t="s">
        <v>32</v>
      </c>
      <c r="E830" s="5" t="s">
        <v>39</v>
      </c>
      <c r="F830" s="5" t="s">
        <v>16</v>
      </c>
      <c r="G830" s="5" t="s">
        <v>12</v>
      </c>
      <c r="H830" s="5">
        <v>6900</v>
      </c>
      <c r="I830" s="5">
        <v>4</v>
      </c>
      <c r="J830" s="9">
        <v>27600</v>
      </c>
    </row>
    <row r="831" spans="1:10" x14ac:dyDescent="0.3">
      <c r="A831" s="3" t="s">
        <v>896</v>
      </c>
      <c r="B831" s="4">
        <v>43356</v>
      </c>
      <c r="C831" s="5">
        <v>1</v>
      </c>
      <c r="D831" s="5" t="s">
        <v>19</v>
      </c>
      <c r="E831" s="5" t="s">
        <v>40</v>
      </c>
      <c r="F831" s="5" t="s">
        <v>18</v>
      </c>
      <c r="G831" s="5" t="s">
        <v>10</v>
      </c>
      <c r="H831" s="5">
        <v>39900</v>
      </c>
      <c r="I831" s="5">
        <v>6</v>
      </c>
      <c r="J831" s="9">
        <v>239400</v>
      </c>
    </row>
    <row r="832" spans="1:10" x14ac:dyDescent="0.3">
      <c r="A832" s="3" t="s">
        <v>897</v>
      </c>
      <c r="B832" s="4">
        <v>43357</v>
      </c>
      <c r="C832" s="5">
        <v>1</v>
      </c>
      <c r="D832" s="5" t="s">
        <v>19</v>
      </c>
      <c r="E832" s="5" t="s">
        <v>40</v>
      </c>
      <c r="F832" s="5" t="s">
        <v>18</v>
      </c>
      <c r="G832" s="5" t="s">
        <v>11</v>
      </c>
      <c r="H832" s="5">
        <v>19900</v>
      </c>
      <c r="I832" s="5">
        <v>1</v>
      </c>
      <c r="J832" s="9">
        <v>19900</v>
      </c>
    </row>
    <row r="833" spans="1:10" x14ac:dyDescent="0.3">
      <c r="A833" s="3" t="s">
        <v>898</v>
      </c>
      <c r="B833" s="4">
        <v>43357</v>
      </c>
      <c r="C833" s="5">
        <v>3</v>
      </c>
      <c r="D833" s="5" t="s">
        <v>21</v>
      </c>
      <c r="E833" s="5" t="s">
        <v>46</v>
      </c>
      <c r="F833" s="5" t="s">
        <v>18</v>
      </c>
      <c r="G833" s="5" t="s">
        <v>13</v>
      </c>
      <c r="H833" s="5">
        <v>28900</v>
      </c>
      <c r="I833" s="5">
        <v>1</v>
      </c>
      <c r="J833" s="9">
        <v>28900</v>
      </c>
    </row>
    <row r="834" spans="1:10" x14ac:dyDescent="0.3">
      <c r="A834" s="3" t="s">
        <v>899</v>
      </c>
      <c r="B834" s="4">
        <v>43358</v>
      </c>
      <c r="C834" s="5">
        <v>16</v>
      </c>
      <c r="D834" s="5" t="s">
        <v>34</v>
      </c>
      <c r="E834" s="5" t="s">
        <v>43</v>
      </c>
      <c r="F834" s="5" t="s">
        <v>17</v>
      </c>
      <c r="G834" s="5" t="s">
        <v>10</v>
      </c>
      <c r="H834" s="5">
        <v>39900</v>
      </c>
      <c r="I834" s="5">
        <v>9</v>
      </c>
      <c r="J834" s="9">
        <v>359100</v>
      </c>
    </row>
    <row r="835" spans="1:10" x14ac:dyDescent="0.3">
      <c r="A835" s="3" t="s">
        <v>900</v>
      </c>
      <c r="B835" s="4">
        <v>43358</v>
      </c>
      <c r="C835" s="5">
        <v>6</v>
      </c>
      <c r="D835" s="5" t="s">
        <v>24</v>
      </c>
      <c r="E835" s="5" t="s">
        <v>44</v>
      </c>
      <c r="F835" s="5" t="s">
        <v>15</v>
      </c>
      <c r="G835" s="5" t="s">
        <v>12</v>
      </c>
      <c r="H835" s="5">
        <v>6900</v>
      </c>
      <c r="I835" s="5">
        <v>6</v>
      </c>
      <c r="J835" s="9">
        <v>41400</v>
      </c>
    </row>
    <row r="836" spans="1:10" x14ac:dyDescent="0.3">
      <c r="A836" s="3" t="s">
        <v>901</v>
      </c>
      <c r="B836" s="4">
        <v>43358</v>
      </c>
      <c r="C836" s="5">
        <v>19</v>
      </c>
      <c r="D836" s="5" t="s">
        <v>37</v>
      </c>
      <c r="E836" s="5" t="s">
        <v>43</v>
      </c>
      <c r="F836" s="5" t="s">
        <v>17</v>
      </c>
      <c r="G836" s="5" t="s">
        <v>10</v>
      </c>
      <c r="H836" s="5">
        <v>39900</v>
      </c>
      <c r="I836" s="5">
        <v>2</v>
      </c>
      <c r="J836" s="9">
        <v>79800</v>
      </c>
    </row>
    <row r="837" spans="1:10" x14ac:dyDescent="0.3">
      <c r="A837" s="3" t="s">
        <v>902</v>
      </c>
      <c r="B837" s="4">
        <v>43359</v>
      </c>
      <c r="C837" s="5">
        <v>5</v>
      </c>
      <c r="D837" s="5" t="s">
        <v>23</v>
      </c>
      <c r="E837" s="5" t="s">
        <v>40</v>
      </c>
      <c r="F837" s="5" t="s">
        <v>18</v>
      </c>
      <c r="G837" s="5" t="s">
        <v>12</v>
      </c>
      <c r="H837" s="5">
        <v>6900</v>
      </c>
      <c r="I837" s="5">
        <v>6</v>
      </c>
      <c r="J837" s="9">
        <v>41400</v>
      </c>
    </row>
    <row r="838" spans="1:10" x14ac:dyDescent="0.3">
      <c r="A838" s="3" t="s">
        <v>903</v>
      </c>
      <c r="B838" s="4">
        <v>43360</v>
      </c>
      <c r="C838" s="5">
        <v>3</v>
      </c>
      <c r="D838" s="5" t="s">
        <v>21</v>
      </c>
      <c r="E838" s="5" t="s">
        <v>46</v>
      </c>
      <c r="F838" s="5" t="s">
        <v>18</v>
      </c>
      <c r="G838" s="5" t="s">
        <v>11</v>
      </c>
      <c r="H838" s="5">
        <v>19900</v>
      </c>
      <c r="I838" s="5">
        <v>6</v>
      </c>
      <c r="J838" s="9">
        <v>119400</v>
      </c>
    </row>
    <row r="839" spans="1:10" x14ac:dyDescent="0.3">
      <c r="A839" s="3" t="s">
        <v>904</v>
      </c>
      <c r="B839" s="4">
        <v>43361</v>
      </c>
      <c r="C839" s="5">
        <v>7</v>
      </c>
      <c r="D839" s="5" t="s">
        <v>25</v>
      </c>
      <c r="E839" s="5" t="s">
        <v>44</v>
      </c>
      <c r="F839" s="5" t="s">
        <v>15</v>
      </c>
      <c r="G839" s="5" t="s">
        <v>10</v>
      </c>
      <c r="H839" s="5">
        <v>39900</v>
      </c>
      <c r="I839" s="5">
        <v>3</v>
      </c>
      <c r="J839" s="9">
        <v>119700</v>
      </c>
    </row>
    <row r="840" spans="1:10" x14ac:dyDescent="0.3">
      <c r="A840" s="3" t="s">
        <v>905</v>
      </c>
      <c r="B840" s="4">
        <v>43362</v>
      </c>
      <c r="C840" s="5">
        <v>20</v>
      </c>
      <c r="D840" s="5" t="s">
        <v>38</v>
      </c>
      <c r="E840" s="5" t="s">
        <v>43</v>
      </c>
      <c r="F840" s="5" t="s">
        <v>17</v>
      </c>
      <c r="G840" s="5" t="s">
        <v>13</v>
      </c>
      <c r="H840" s="5">
        <v>28900</v>
      </c>
      <c r="I840" s="5">
        <v>4</v>
      </c>
      <c r="J840" s="9">
        <v>115600</v>
      </c>
    </row>
    <row r="841" spans="1:10" x14ac:dyDescent="0.3">
      <c r="A841" s="3" t="s">
        <v>906</v>
      </c>
      <c r="B841" s="4">
        <v>43363</v>
      </c>
      <c r="C841" s="5">
        <v>6</v>
      </c>
      <c r="D841" s="5" t="s">
        <v>24</v>
      </c>
      <c r="E841" s="5" t="s">
        <v>44</v>
      </c>
      <c r="F841" s="5" t="s">
        <v>15</v>
      </c>
      <c r="G841" s="5" t="s">
        <v>14</v>
      </c>
      <c r="H841" s="5">
        <v>15900</v>
      </c>
      <c r="I841" s="5">
        <v>8</v>
      </c>
      <c r="J841" s="9">
        <v>127200</v>
      </c>
    </row>
    <row r="842" spans="1:10" x14ac:dyDescent="0.3">
      <c r="A842" s="3" t="s">
        <v>907</v>
      </c>
      <c r="B842" s="4">
        <v>43363</v>
      </c>
      <c r="C842" s="5">
        <v>7</v>
      </c>
      <c r="D842" s="5" t="s">
        <v>25</v>
      </c>
      <c r="E842" s="5" t="s">
        <v>41</v>
      </c>
      <c r="F842" s="5" t="s">
        <v>15</v>
      </c>
      <c r="G842" s="5" t="s">
        <v>13</v>
      </c>
      <c r="H842" s="5">
        <v>28900</v>
      </c>
      <c r="I842" s="5">
        <v>2</v>
      </c>
      <c r="J842" s="9">
        <v>57800</v>
      </c>
    </row>
    <row r="843" spans="1:10" x14ac:dyDescent="0.3">
      <c r="A843" s="3" t="s">
        <v>908</v>
      </c>
      <c r="B843" s="4">
        <v>43363</v>
      </c>
      <c r="C843" s="5">
        <v>12</v>
      </c>
      <c r="D843" s="5" t="s">
        <v>30</v>
      </c>
      <c r="E843" s="5" t="s">
        <v>45</v>
      </c>
      <c r="F843" s="5" t="s">
        <v>16</v>
      </c>
      <c r="G843" s="5" t="s">
        <v>11</v>
      </c>
      <c r="H843" s="5">
        <v>19900</v>
      </c>
      <c r="I843" s="5">
        <v>4</v>
      </c>
      <c r="J843" s="9">
        <v>79600</v>
      </c>
    </row>
    <row r="844" spans="1:10" x14ac:dyDescent="0.3">
      <c r="A844" s="3" t="s">
        <v>909</v>
      </c>
      <c r="B844" s="4">
        <v>43363</v>
      </c>
      <c r="C844" s="5">
        <v>4</v>
      </c>
      <c r="D844" s="5" t="s">
        <v>22</v>
      </c>
      <c r="E844" s="5" t="s">
        <v>40</v>
      </c>
      <c r="F844" s="5" t="s">
        <v>18</v>
      </c>
      <c r="G844" s="5" t="s">
        <v>11</v>
      </c>
      <c r="H844" s="5">
        <v>19900</v>
      </c>
      <c r="I844" s="5">
        <v>7</v>
      </c>
      <c r="J844" s="9">
        <v>139300</v>
      </c>
    </row>
    <row r="845" spans="1:10" x14ac:dyDescent="0.3">
      <c r="A845" s="3" t="s">
        <v>910</v>
      </c>
      <c r="B845" s="4">
        <v>43364</v>
      </c>
      <c r="C845" s="5">
        <v>11</v>
      </c>
      <c r="D845" s="5" t="s">
        <v>29</v>
      </c>
      <c r="E845" s="5" t="s">
        <v>39</v>
      </c>
      <c r="F845" s="5" t="s">
        <v>16</v>
      </c>
      <c r="G845" s="5" t="s">
        <v>13</v>
      </c>
      <c r="H845" s="5">
        <v>28900</v>
      </c>
      <c r="I845" s="5">
        <v>6</v>
      </c>
      <c r="J845" s="9">
        <v>173400</v>
      </c>
    </row>
    <row r="846" spans="1:10" x14ac:dyDescent="0.3">
      <c r="A846" s="3" t="s">
        <v>911</v>
      </c>
      <c r="B846" s="4">
        <v>43364</v>
      </c>
      <c r="C846" s="5">
        <v>8</v>
      </c>
      <c r="D846" s="5" t="s">
        <v>26</v>
      </c>
      <c r="E846" s="5" t="s">
        <v>44</v>
      </c>
      <c r="F846" s="5" t="s">
        <v>15</v>
      </c>
      <c r="G846" s="5" t="s">
        <v>14</v>
      </c>
      <c r="H846" s="5">
        <v>15900</v>
      </c>
      <c r="I846" s="5">
        <v>7</v>
      </c>
      <c r="J846" s="9">
        <v>111300</v>
      </c>
    </row>
    <row r="847" spans="1:10" x14ac:dyDescent="0.3">
      <c r="A847" s="3" t="s">
        <v>912</v>
      </c>
      <c r="B847" s="4">
        <v>43365</v>
      </c>
      <c r="C847" s="5">
        <v>8</v>
      </c>
      <c r="D847" s="5" t="s">
        <v>26</v>
      </c>
      <c r="E847" s="5" t="s">
        <v>44</v>
      </c>
      <c r="F847" s="5" t="s">
        <v>15</v>
      </c>
      <c r="G847" s="5" t="s">
        <v>11</v>
      </c>
      <c r="H847" s="5">
        <v>19900</v>
      </c>
      <c r="I847" s="5">
        <v>8</v>
      </c>
      <c r="J847" s="9">
        <v>159200</v>
      </c>
    </row>
    <row r="848" spans="1:10" x14ac:dyDescent="0.3">
      <c r="A848" s="3" t="s">
        <v>913</v>
      </c>
      <c r="B848" s="4">
        <v>43365</v>
      </c>
      <c r="C848" s="5">
        <v>5</v>
      </c>
      <c r="D848" s="5" t="s">
        <v>23</v>
      </c>
      <c r="E848" s="5" t="s">
        <v>40</v>
      </c>
      <c r="F848" s="5" t="s">
        <v>18</v>
      </c>
      <c r="G848" s="5" t="s">
        <v>14</v>
      </c>
      <c r="H848" s="5">
        <v>15900</v>
      </c>
      <c r="I848" s="5">
        <v>0</v>
      </c>
      <c r="J848" s="9">
        <v>0</v>
      </c>
    </row>
    <row r="849" spans="1:10" x14ac:dyDescent="0.3">
      <c r="A849" s="3" t="s">
        <v>914</v>
      </c>
      <c r="B849" s="4">
        <v>43365</v>
      </c>
      <c r="C849" s="5">
        <v>15</v>
      </c>
      <c r="D849" s="5" t="s">
        <v>33</v>
      </c>
      <c r="E849" s="5" t="s">
        <v>39</v>
      </c>
      <c r="F849" s="5" t="s">
        <v>16</v>
      </c>
      <c r="G849" s="5" t="s">
        <v>13</v>
      </c>
      <c r="H849" s="5">
        <v>28900</v>
      </c>
      <c r="I849" s="5">
        <v>3</v>
      </c>
      <c r="J849" s="9">
        <v>86700</v>
      </c>
    </row>
    <row r="850" spans="1:10" x14ac:dyDescent="0.3">
      <c r="A850" s="3" t="s">
        <v>915</v>
      </c>
      <c r="B850" s="4">
        <v>43365</v>
      </c>
      <c r="C850" s="5">
        <v>4</v>
      </c>
      <c r="D850" s="5" t="s">
        <v>22</v>
      </c>
      <c r="E850" s="5" t="s">
        <v>40</v>
      </c>
      <c r="F850" s="5" t="s">
        <v>18</v>
      </c>
      <c r="G850" s="5" t="s">
        <v>11</v>
      </c>
      <c r="H850" s="5">
        <v>19900</v>
      </c>
      <c r="I850" s="5">
        <v>8</v>
      </c>
      <c r="J850" s="9">
        <v>159200</v>
      </c>
    </row>
    <row r="851" spans="1:10" x14ac:dyDescent="0.3">
      <c r="A851" s="3" t="s">
        <v>916</v>
      </c>
      <c r="B851" s="4">
        <v>43365</v>
      </c>
      <c r="C851" s="5">
        <v>10</v>
      </c>
      <c r="D851" s="5" t="s">
        <v>28</v>
      </c>
      <c r="E851" s="5" t="s">
        <v>44</v>
      </c>
      <c r="F851" s="5" t="s">
        <v>15</v>
      </c>
      <c r="G851" s="5" t="s">
        <v>13</v>
      </c>
      <c r="H851" s="5">
        <v>28900</v>
      </c>
      <c r="I851" s="5">
        <v>0</v>
      </c>
      <c r="J851" s="9">
        <v>0</v>
      </c>
    </row>
    <row r="852" spans="1:10" x14ac:dyDescent="0.3">
      <c r="A852" s="3" t="s">
        <v>917</v>
      </c>
      <c r="B852" s="4">
        <v>43365</v>
      </c>
      <c r="C852" s="5">
        <v>17</v>
      </c>
      <c r="D852" s="5" t="s">
        <v>35</v>
      </c>
      <c r="E852" s="5" t="s">
        <v>42</v>
      </c>
      <c r="F852" s="5" t="s">
        <v>17</v>
      </c>
      <c r="G852" s="5" t="s">
        <v>13</v>
      </c>
      <c r="H852" s="5">
        <v>28900</v>
      </c>
      <c r="I852" s="5">
        <v>0</v>
      </c>
      <c r="J852" s="9">
        <v>0</v>
      </c>
    </row>
    <row r="853" spans="1:10" x14ac:dyDescent="0.3">
      <c r="A853" s="3" t="s">
        <v>918</v>
      </c>
      <c r="B853" s="4">
        <v>43365</v>
      </c>
      <c r="C853" s="5">
        <v>6</v>
      </c>
      <c r="D853" s="5" t="s">
        <v>24</v>
      </c>
      <c r="E853" s="5" t="s">
        <v>44</v>
      </c>
      <c r="F853" s="5" t="s">
        <v>15</v>
      </c>
      <c r="G853" s="5" t="s">
        <v>10</v>
      </c>
      <c r="H853" s="5">
        <v>39900</v>
      </c>
      <c r="I853" s="5">
        <v>9</v>
      </c>
      <c r="J853" s="9">
        <v>359100</v>
      </c>
    </row>
    <row r="854" spans="1:10" x14ac:dyDescent="0.3">
      <c r="A854" s="3" t="s">
        <v>919</v>
      </c>
      <c r="B854" s="4">
        <v>43365</v>
      </c>
      <c r="C854" s="5">
        <v>14</v>
      </c>
      <c r="D854" s="5" t="s">
        <v>32</v>
      </c>
      <c r="E854" s="5" t="s">
        <v>45</v>
      </c>
      <c r="F854" s="5" t="s">
        <v>16</v>
      </c>
      <c r="G854" s="5" t="s">
        <v>10</v>
      </c>
      <c r="H854" s="5">
        <v>39900</v>
      </c>
      <c r="I854" s="5">
        <v>4</v>
      </c>
      <c r="J854" s="9">
        <v>159600</v>
      </c>
    </row>
    <row r="855" spans="1:10" x14ac:dyDescent="0.3">
      <c r="A855" s="3" t="s">
        <v>920</v>
      </c>
      <c r="B855" s="4">
        <v>43365</v>
      </c>
      <c r="C855" s="5">
        <v>7</v>
      </c>
      <c r="D855" s="5" t="s">
        <v>25</v>
      </c>
      <c r="E855" s="5" t="s">
        <v>41</v>
      </c>
      <c r="F855" s="5" t="s">
        <v>15</v>
      </c>
      <c r="G855" s="5" t="s">
        <v>11</v>
      </c>
      <c r="H855" s="5">
        <v>19900</v>
      </c>
      <c r="I855" s="5">
        <v>5</v>
      </c>
      <c r="J855" s="9">
        <v>99500</v>
      </c>
    </row>
    <row r="856" spans="1:10" x14ac:dyDescent="0.3">
      <c r="A856" s="3" t="s">
        <v>921</v>
      </c>
      <c r="B856" s="4">
        <v>43365</v>
      </c>
      <c r="C856" s="5">
        <v>9</v>
      </c>
      <c r="D856" s="5" t="s">
        <v>27</v>
      </c>
      <c r="E856" s="5" t="s">
        <v>41</v>
      </c>
      <c r="F856" s="5" t="s">
        <v>15</v>
      </c>
      <c r="G856" s="5" t="s">
        <v>13</v>
      </c>
      <c r="H856" s="5">
        <v>28900</v>
      </c>
      <c r="I856" s="5">
        <v>7</v>
      </c>
      <c r="J856" s="9">
        <v>202300</v>
      </c>
    </row>
    <row r="857" spans="1:10" x14ac:dyDescent="0.3">
      <c r="A857" s="3" t="s">
        <v>922</v>
      </c>
      <c r="B857" s="4">
        <v>43365</v>
      </c>
      <c r="C857" s="5">
        <v>19</v>
      </c>
      <c r="D857" s="5" t="s">
        <v>37</v>
      </c>
      <c r="E857" s="5" t="s">
        <v>43</v>
      </c>
      <c r="F857" s="5" t="s">
        <v>17</v>
      </c>
      <c r="G857" s="5" t="s">
        <v>14</v>
      </c>
      <c r="H857" s="5">
        <v>15900</v>
      </c>
      <c r="I857" s="5">
        <v>3</v>
      </c>
      <c r="J857" s="9">
        <v>47700</v>
      </c>
    </row>
    <row r="858" spans="1:10" x14ac:dyDescent="0.3">
      <c r="A858" s="3" t="s">
        <v>923</v>
      </c>
      <c r="B858" s="4">
        <v>43366</v>
      </c>
      <c r="C858" s="5">
        <v>19</v>
      </c>
      <c r="D858" s="5" t="s">
        <v>37</v>
      </c>
      <c r="E858" s="5" t="s">
        <v>42</v>
      </c>
      <c r="F858" s="5" t="s">
        <v>17</v>
      </c>
      <c r="G858" s="5" t="s">
        <v>13</v>
      </c>
      <c r="H858" s="5">
        <v>28900</v>
      </c>
      <c r="I858" s="5">
        <v>8</v>
      </c>
      <c r="J858" s="9">
        <v>231200</v>
      </c>
    </row>
    <row r="859" spans="1:10" x14ac:dyDescent="0.3">
      <c r="A859" s="3" t="s">
        <v>924</v>
      </c>
      <c r="B859" s="4">
        <v>43367</v>
      </c>
      <c r="C859" s="5">
        <v>17</v>
      </c>
      <c r="D859" s="5" t="s">
        <v>35</v>
      </c>
      <c r="E859" s="5" t="s">
        <v>42</v>
      </c>
      <c r="F859" s="5" t="s">
        <v>17</v>
      </c>
      <c r="G859" s="5" t="s">
        <v>12</v>
      </c>
      <c r="H859" s="5">
        <v>6900</v>
      </c>
      <c r="I859" s="5">
        <v>5</v>
      </c>
      <c r="J859" s="9">
        <v>34500</v>
      </c>
    </row>
    <row r="860" spans="1:10" x14ac:dyDescent="0.3">
      <c r="A860" s="3" t="s">
        <v>925</v>
      </c>
      <c r="B860" s="4">
        <v>43367</v>
      </c>
      <c r="C860" s="5">
        <v>19</v>
      </c>
      <c r="D860" s="5" t="s">
        <v>37</v>
      </c>
      <c r="E860" s="5" t="s">
        <v>43</v>
      </c>
      <c r="F860" s="5" t="s">
        <v>17</v>
      </c>
      <c r="G860" s="5" t="s">
        <v>13</v>
      </c>
      <c r="H860" s="5">
        <v>28900</v>
      </c>
      <c r="I860" s="5">
        <v>4</v>
      </c>
      <c r="J860" s="9">
        <v>115600</v>
      </c>
    </row>
    <row r="861" spans="1:10" x14ac:dyDescent="0.3">
      <c r="A861" s="3" t="s">
        <v>926</v>
      </c>
      <c r="B861" s="4">
        <v>43367</v>
      </c>
      <c r="C861" s="5">
        <v>6</v>
      </c>
      <c r="D861" s="5" t="s">
        <v>24</v>
      </c>
      <c r="E861" s="5" t="s">
        <v>44</v>
      </c>
      <c r="F861" s="5" t="s">
        <v>15</v>
      </c>
      <c r="G861" s="5" t="s">
        <v>11</v>
      </c>
      <c r="H861" s="5">
        <v>19900</v>
      </c>
      <c r="I861" s="5">
        <v>8</v>
      </c>
      <c r="J861" s="9">
        <v>159200</v>
      </c>
    </row>
    <row r="862" spans="1:10" x14ac:dyDescent="0.3">
      <c r="A862" s="3" t="s">
        <v>927</v>
      </c>
      <c r="B862" s="4">
        <v>43367</v>
      </c>
      <c r="C862" s="5">
        <v>14</v>
      </c>
      <c r="D862" s="5" t="s">
        <v>32</v>
      </c>
      <c r="E862" s="5" t="s">
        <v>39</v>
      </c>
      <c r="F862" s="5" t="s">
        <v>16</v>
      </c>
      <c r="G862" s="5" t="s">
        <v>10</v>
      </c>
      <c r="H862" s="5">
        <v>39900</v>
      </c>
      <c r="I862" s="5">
        <v>2</v>
      </c>
      <c r="J862" s="9">
        <v>79800</v>
      </c>
    </row>
    <row r="863" spans="1:10" x14ac:dyDescent="0.3">
      <c r="A863" s="3" t="s">
        <v>928</v>
      </c>
      <c r="B863" s="4">
        <v>43368</v>
      </c>
      <c r="C863" s="5">
        <v>17</v>
      </c>
      <c r="D863" s="5" t="s">
        <v>35</v>
      </c>
      <c r="E863" s="5" t="s">
        <v>42</v>
      </c>
      <c r="F863" s="5" t="s">
        <v>17</v>
      </c>
      <c r="G863" s="5" t="s">
        <v>12</v>
      </c>
      <c r="H863" s="5">
        <v>6900</v>
      </c>
      <c r="I863" s="5">
        <v>8</v>
      </c>
      <c r="J863" s="9">
        <v>55200</v>
      </c>
    </row>
    <row r="864" spans="1:10" x14ac:dyDescent="0.3">
      <c r="A864" s="3" t="s">
        <v>929</v>
      </c>
      <c r="B864" s="4">
        <v>43368</v>
      </c>
      <c r="C864" s="5">
        <v>16</v>
      </c>
      <c r="D864" s="5" t="s">
        <v>34</v>
      </c>
      <c r="E864" s="5" t="s">
        <v>42</v>
      </c>
      <c r="F864" s="5" t="s">
        <v>17</v>
      </c>
      <c r="G864" s="5" t="s">
        <v>11</v>
      </c>
      <c r="H864" s="5">
        <v>19900</v>
      </c>
      <c r="I864" s="5">
        <v>0</v>
      </c>
      <c r="J864" s="9">
        <v>0</v>
      </c>
    </row>
    <row r="865" spans="1:10" x14ac:dyDescent="0.3">
      <c r="A865" s="3" t="s">
        <v>930</v>
      </c>
      <c r="B865" s="4">
        <v>43368</v>
      </c>
      <c r="C865" s="5">
        <v>3</v>
      </c>
      <c r="D865" s="5" t="s">
        <v>21</v>
      </c>
      <c r="E865" s="5" t="s">
        <v>46</v>
      </c>
      <c r="F865" s="5" t="s">
        <v>18</v>
      </c>
      <c r="G865" s="5" t="s">
        <v>13</v>
      </c>
      <c r="H865" s="5">
        <v>28900</v>
      </c>
      <c r="I865" s="5">
        <v>4</v>
      </c>
      <c r="J865" s="9">
        <v>115600</v>
      </c>
    </row>
    <row r="866" spans="1:10" x14ac:dyDescent="0.3">
      <c r="A866" s="3" t="s">
        <v>931</v>
      </c>
      <c r="B866" s="4">
        <v>43369</v>
      </c>
      <c r="C866" s="5">
        <v>16</v>
      </c>
      <c r="D866" s="5" t="s">
        <v>34</v>
      </c>
      <c r="E866" s="5" t="s">
        <v>42</v>
      </c>
      <c r="F866" s="5" t="s">
        <v>17</v>
      </c>
      <c r="G866" s="5" t="s">
        <v>12</v>
      </c>
      <c r="H866" s="5">
        <v>6900</v>
      </c>
      <c r="I866" s="5">
        <v>6</v>
      </c>
      <c r="J866" s="9">
        <v>41400</v>
      </c>
    </row>
    <row r="867" spans="1:10" x14ac:dyDescent="0.3">
      <c r="A867" s="3" t="s">
        <v>932</v>
      </c>
      <c r="B867" s="4">
        <v>43369</v>
      </c>
      <c r="C867" s="5">
        <v>19</v>
      </c>
      <c r="D867" s="5" t="s">
        <v>37</v>
      </c>
      <c r="E867" s="5" t="s">
        <v>43</v>
      </c>
      <c r="F867" s="5" t="s">
        <v>17</v>
      </c>
      <c r="G867" s="5" t="s">
        <v>12</v>
      </c>
      <c r="H867" s="5">
        <v>6900</v>
      </c>
      <c r="I867" s="5">
        <v>2</v>
      </c>
      <c r="J867" s="9">
        <v>13800</v>
      </c>
    </row>
    <row r="868" spans="1:10" x14ac:dyDescent="0.3">
      <c r="A868" s="3" t="s">
        <v>933</v>
      </c>
      <c r="B868" s="4">
        <v>43370</v>
      </c>
      <c r="C868" s="5">
        <v>7</v>
      </c>
      <c r="D868" s="5" t="s">
        <v>25</v>
      </c>
      <c r="E868" s="5" t="s">
        <v>44</v>
      </c>
      <c r="F868" s="5" t="s">
        <v>15</v>
      </c>
      <c r="G868" s="5" t="s">
        <v>11</v>
      </c>
      <c r="H868" s="5">
        <v>19900</v>
      </c>
      <c r="I868" s="5">
        <v>6</v>
      </c>
      <c r="J868" s="9">
        <v>119400</v>
      </c>
    </row>
    <row r="869" spans="1:10" x14ac:dyDescent="0.3">
      <c r="A869" s="3" t="s">
        <v>934</v>
      </c>
      <c r="B869" s="4">
        <v>43370</v>
      </c>
      <c r="C869" s="5">
        <v>9</v>
      </c>
      <c r="D869" s="5" t="s">
        <v>27</v>
      </c>
      <c r="E869" s="5" t="s">
        <v>44</v>
      </c>
      <c r="F869" s="5" t="s">
        <v>15</v>
      </c>
      <c r="G869" s="5" t="s">
        <v>12</v>
      </c>
      <c r="H869" s="5">
        <v>6900</v>
      </c>
      <c r="I869" s="5">
        <v>7</v>
      </c>
      <c r="J869" s="9">
        <v>48300</v>
      </c>
    </row>
    <row r="870" spans="1:10" x14ac:dyDescent="0.3">
      <c r="A870" s="3" t="s">
        <v>935</v>
      </c>
      <c r="B870" s="4">
        <v>43371</v>
      </c>
      <c r="C870" s="5">
        <v>14</v>
      </c>
      <c r="D870" s="5" t="s">
        <v>32</v>
      </c>
      <c r="E870" s="5" t="s">
        <v>45</v>
      </c>
      <c r="F870" s="5" t="s">
        <v>16</v>
      </c>
      <c r="G870" s="5" t="s">
        <v>10</v>
      </c>
      <c r="H870" s="5">
        <v>39900</v>
      </c>
      <c r="I870" s="5">
        <v>3</v>
      </c>
      <c r="J870" s="9">
        <v>119700</v>
      </c>
    </row>
    <row r="871" spans="1:10" x14ac:dyDescent="0.3">
      <c r="A871" s="3" t="s">
        <v>936</v>
      </c>
      <c r="B871" s="4">
        <v>43371</v>
      </c>
      <c r="C871" s="5">
        <v>3</v>
      </c>
      <c r="D871" s="5" t="s">
        <v>21</v>
      </c>
      <c r="E871" s="5" t="s">
        <v>46</v>
      </c>
      <c r="F871" s="5" t="s">
        <v>18</v>
      </c>
      <c r="G871" s="5" t="s">
        <v>14</v>
      </c>
      <c r="H871" s="5">
        <v>15900</v>
      </c>
      <c r="I871" s="5">
        <v>5</v>
      </c>
      <c r="J871" s="9">
        <v>79500</v>
      </c>
    </row>
    <row r="872" spans="1:10" x14ac:dyDescent="0.3">
      <c r="A872" s="3" t="s">
        <v>937</v>
      </c>
      <c r="B872" s="4">
        <v>43371</v>
      </c>
      <c r="C872" s="5">
        <v>9</v>
      </c>
      <c r="D872" s="5" t="s">
        <v>27</v>
      </c>
      <c r="E872" s="5" t="s">
        <v>44</v>
      </c>
      <c r="F872" s="5" t="s">
        <v>15</v>
      </c>
      <c r="G872" s="5" t="s">
        <v>12</v>
      </c>
      <c r="H872" s="5">
        <v>6900</v>
      </c>
      <c r="I872" s="5">
        <v>6</v>
      </c>
      <c r="J872" s="9">
        <v>41400</v>
      </c>
    </row>
    <row r="873" spans="1:10" x14ac:dyDescent="0.3">
      <c r="A873" s="3" t="s">
        <v>938</v>
      </c>
      <c r="B873" s="4">
        <v>43371</v>
      </c>
      <c r="C873" s="5">
        <v>1</v>
      </c>
      <c r="D873" s="5" t="s">
        <v>19</v>
      </c>
      <c r="E873" s="5" t="s">
        <v>40</v>
      </c>
      <c r="F873" s="5" t="s">
        <v>18</v>
      </c>
      <c r="G873" s="5" t="s">
        <v>14</v>
      </c>
      <c r="H873" s="5">
        <v>15900</v>
      </c>
      <c r="I873" s="5">
        <v>5</v>
      </c>
      <c r="J873" s="9">
        <v>79500</v>
      </c>
    </row>
    <row r="874" spans="1:10" x14ac:dyDescent="0.3">
      <c r="A874" s="3" t="s">
        <v>939</v>
      </c>
      <c r="B874" s="4">
        <v>43372</v>
      </c>
      <c r="C874" s="5">
        <v>20</v>
      </c>
      <c r="D874" s="5" t="s">
        <v>38</v>
      </c>
      <c r="E874" s="5" t="s">
        <v>42</v>
      </c>
      <c r="F874" s="5" t="s">
        <v>17</v>
      </c>
      <c r="G874" s="5" t="s">
        <v>11</v>
      </c>
      <c r="H874" s="5">
        <v>19900</v>
      </c>
      <c r="I874" s="5">
        <v>3</v>
      </c>
      <c r="J874" s="9">
        <v>59700</v>
      </c>
    </row>
    <row r="875" spans="1:10" x14ac:dyDescent="0.3">
      <c r="A875" s="3" t="s">
        <v>940</v>
      </c>
      <c r="B875" s="4">
        <v>43372</v>
      </c>
      <c r="C875" s="5">
        <v>3</v>
      </c>
      <c r="D875" s="5" t="s">
        <v>21</v>
      </c>
      <c r="E875" s="5" t="s">
        <v>46</v>
      </c>
      <c r="F875" s="5" t="s">
        <v>18</v>
      </c>
      <c r="G875" s="5" t="s">
        <v>13</v>
      </c>
      <c r="H875" s="5">
        <v>28900</v>
      </c>
      <c r="I875" s="5">
        <v>8</v>
      </c>
      <c r="J875" s="9">
        <v>231200</v>
      </c>
    </row>
    <row r="876" spans="1:10" x14ac:dyDescent="0.3">
      <c r="A876" s="3" t="s">
        <v>941</v>
      </c>
      <c r="B876" s="4">
        <v>43372</v>
      </c>
      <c r="C876" s="5">
        <v>4</v>
      </c>
      <c r="D876" s="5" t="s">
        <v>22</v>
      </c>
      <c r="E876" s="5" t="s">
        <v>46</v>
      </c>
      <c r="F876" s="5" t="s">
        <v>18</v>
      </c>
      <c r="G876" s="5" t="s">
        <v>12</v>
      </c>
      <c r="H876" s="5">
        <v>6900</v>
      </c>
      <c r="I876" s="5">
        <v>6</v>
      </c>
      <c r="J876" s="9">
        <v>41400</v>
      </c>
    </row>
    <row r="877" spans="1:10" x14ac:dyDescent="0.3">
      <c r="A877" s="3" t="s">
        <v>942</v>
      </c>
      <c r="B877" s="4">
        <v>43372</v>
      </c>
      <c r="C877" s="5">
        <v>7</v>
      </c>
      <c r="D877" s="5" t="s">
        <v>25</v>
      </c>
      <c r="E877" s="5" t="s">
        <v>44</v>
      </c>
      <c r="F877" s="5" t="s">
        <v>15</v>
      </c>
      <c r="G877" s="5" t="s">
        <v>13</v>
      </c>
      <c r="H877" s="5">
        <v>28900</v>
      </c>
      <c r="I877" s="5">
        <v>0</v>
      </c>
      <c r="J877" s="9">
        <v>0</v>
      </c>
    </row>
    <row r="878" spans="1:10" x14ac:dyDescent="0.3">
      <c r="A878" s="3" t="s">
        <v>943</v>
      </c>
      <c r="B878" s="4">
        <v>43373</v>
      </c>
      <c r="C878" s="5">
        <v>11</v>
      </c>
      <c r="D878" s="5" t="s">
        <v>29</v>
      </c>
      <c r="E878" s="5" t="s">
        <v>39</v>
      </c>
      <c r="F878" s="5" t="s">
        <v>16</v>
      </c>
      <c r="G878" s="5" t="s">
        <v>13</v>
      </c>
      <c r="H878" s="5">
        <v>28900</v>
      </c>
      <c r="I878" s="5">
        <v>1</v>
      </c>
      <c r="J878" s="9">
        <v>28900</v>
      </c>
    </row>
    <row r="879" spans="1:10" x14ac:dyDescent="0.3">
      <c r="A879" s="3" t="s">
        <v>944</v>
      </c>
      <c r="B879" s="4">
        <v>43373</v>
      </c>
      <c r="C879" s="5">
        <v>15</v>
      </c>
      <c r="D879" s="5" t="s">
        <v>33</v>
      </c>
      <c r="E879" s="5" t="s">
        <v>45</v>
      </c>
      <c r="F879" s="5" t="s">
        <v>16</v>
      </c>
      <c r="G879" s="5" t="s">
        <v>14</v>
      </c>
      <c r="H879" s="5">
        <v>15900</v>
      </c>
      <c r="I879" s="5">
        <v>0</v>
      </c>
      <c r="J879" s="9">
        <v>0</v>
      </c>
    </row>
    <row r="880" spans="1:10" x14ac:dyDescent="0.3">
      <c r="A880" s="3" t="s">
        <v>945</v>
      </c>
      <c r="B880" s="4">
        <v>43373</v>
      </c>
      <c r="C880" s="5">
        <v>20</v>
      </c>
      <c r="D880" s="5" t="s">
        <v>38</v>
      </c>
      <c r="E880" s="5" t="s">
        <v>43</v>
      </c>
      <c r="F880" s="5" t="s">
        <v>17</v>
      </c>
      <c r="G880" s="5" t="s">
        <v>11</v>
      </c>
      <c r="H880" s="5">
        <v>19900</v>
      </c>
      <c r="I880" s="5">
        <v>1</v>
      </c>
      <c r="J880" s="9">
        <v>19900</v>
      </c>
    </row>
    <row r="881" spans="1:10" x14ac:dyDescent="0.3">
      <c r="A881" s="3" t="s">
        <v>946</v>
      </c>
      <c r="B881" s="4">
        <v>43373</v>
      </c>
      <c r="C881" s="5">
        <v>6</v>
      </c>
      <c r="D881" s="5" t="s">
        <v>24</v>
      </c>
      <c r="E881" s="5" t="s">
        <v>41</v>
      </c>
      <c r="F881" s="5" t="s">
        <v>15</v>
      </c>
      <c r="G881" s="5" t="s">
        <v>11</v>
      </c>
      <c r="H881" s="5">
        <v>19900</v>
      </c>
      <c r="I881" s="5">
        <v>7</v>
      </c>
      <c r="J881" s="9">
        <v>139300</v>
      </c>
    </row>
    <row r="882" spans="1:10" x14ac:dyDescent="0.3">
      <c r="A882" s="3" t="s">
        <v>947</v>
      </c>
      <c r="B882" s="4">
        <v>43374</v>
      </c>
      <c r="C882" s="5">
        <v>9</v>
      </c>
      <c r="D882" s="5" t="s">
        <v>27</v>
      </c>
      <c r="E882" s="5" t="s">
        <v>41</v>
      </c>
      <c r="F882" s="5" t="s">
        <v>15</v>
      </c>
      <c r="G882" s="5" t="s">
        <v>10</v>
      </c>
      <c r="H882" s="5">
        <v>39900</v>
      </c>
      <c r="I882" s="5">
        <v>7</v>
      </c>
      <c r="J882" s="9">
        <v>279300</v>
      </c>
    </row>
    <row r="883" spans="1:10" x14ac:dyDescent="0.3">
      <c r="A883" s="3" t="s">
        <v>948</v>
      </c>
      <c r="B883" s="4">
        <v>43374</v>
      </c>
      <c r="C883" s="5">
        <v>7</v>
      </c>
      <c r="D883" s="5" t="s">
        <v>25</v>
      </c>
      <c r="E883" s="5" t="s">
        <v>44</v>
      </c>
      <c r="F883" s="5" t="s">
        <v>15</v>
      </c>
      <c r="G883" s="5" t="s">
        <v>14</v>
      </c>
      <c r="H883" s="5">
        <v>15900</v>
      </c>
      <c r="I883" s="5">
        <v>2</v>
      </c>
      <c r="J883" s="9">
        <v>31800</v>
      </c>
    </row>
    <row r="884" spans="1:10" x14ac:dyDescent="0.3">
      <c r="A884" s="3" t="s">
        <v>949</v>
      </c>
      <c r="B884" s="4">
        <v>43375</v>
      </c>
      <c r="C884" s="5">
        <v>3</v>
      </c>
      <c r="D884" s="5" t="s">
        <v>21</v>
      </c>
      <c r="E884" s="5" t="s">
        <v>46</v>
      </c>
      <c r="F884" s="5" t="s">
        <v>18</v>
      </c>
      <c r="G884" s="5" t="s">
        <v>11</v>
      </c>
      <c r="H884" s="5">
        <v>19900</v>
      </c>
      <c r="I884" s="5">
        <v>5</v>
      </c>
      <c r="J884" s="9">
        <v>99500</v>
      </c>
    </row>
    <row r="885" spans="1:10" x14ac:dyDescent="0.3">
      <c r="A885" s="3" t="s">
        <v>950</v>
      </c>
      <c r="B885" s="4">
        <v>43375</v>
      </c>
      <c r="C885" s="5">
        <v>14</v>
      </c>
      <c r="D885" s="5" t="s">
        <v>32</v>
      </c>
      <c r="E885" s="5" t="s">
        <v>45</v>
      </c>
      <c r="F885" s="5" t="s">
        <v>16</v>
      </c>
      <c r="G885" s="5" t="s">
        <v>13</v>
      </c>
      <c r="H885" s="5">
        <v>28900</v>
      </c>
      <c r="I885" s="5">
        <v>9</v>
      </c>
      <c r="J885" s="9">
        <v>260100</v>
      </c>
    </row>
    <row r="886" spans="1:10" x14ac:dyDescent="0.3">
      <c r="A886" s="3" t="s">
        <v>951</v>
      </c>
      <c r="B886" s="4">
        <v>43375</v>
      </c>
      <c r="C886" s="5">
        <v>15</v>
      </c>
      <c r="D886" s="5" t="s">
        <v>33</v>
      </c>
      <c r="E886" s="5" t="s">
        <v>45</v>
      </c>
      <c r="F886" s="5" t="s">
        <v>16</v>
      </c>
      <c r="G886" s="5" t="s">
        <v>14</v>
      </c>
      <c r="H886" s="5">
        <v>15900</v>
      </c>
      <c r="I886" s="5">
        <v>8</v>
      </c>
      <c r="J886" s="9">
        <v>127200</v>
      </c>
    </row>
    <row r="887" spans="1:10" x14ac:dyDescent="0.3">
      <c r="A887" s="3" t="s">
        <v>952</v>
      </c>
      <c r="B887" s="4">
        <v>43376</v>
      </c>
      <c r="C887" s="5">
        <v>20</v>
      </c>
      <c r="D887" s="5" t="s">
        <v>38</v>
      </c>
      <c r="E887" s="5" t="s">
        <v>42</v>
      </c>
      <c r="F887" s="5" t="s">
        <v>17</v>
      </c>
      <c r="G887" s="5" t="s">
        <v>14</v>
      </c>
      <c r="H887" s="5">
        <v>15900</v>
      </c>
      <c r="I887" s="5">
        <v>1</v>
      </c>
      <c r="J887" s="9">
        <v>15900</v>
      </c>
    </row>
    <row r="888" spans="1:10" x14ac:dyDescent="0.3">
      <c r="A888" s="3" t="s">
        <v>953</v>
      </c>
      <c r="B888" s="4">
        <v>43377</v>
      </c>
      <c r="C888" s="5">
        <v>20</v>
      </c>
      <c r="D888" s="5" t="s">
        <v>38</v>
      </c>
      <c r="E888" s="5" t="s">
        <v>43</v>
      </c>
      <c r="F888" s="5" t="s">
        <v>17</v>
      </c>
      <c r="G888" s="5" t="s">
        <v>13</v>
      </c>
      <c r="H888" s="5">
        <v>28900</v>
      </c>
      <c r="I888" s="5">
        <v>1</v>
      </c>
      <c r="J888" s="9">
        <v>28900</v>
      </c>
    </row>
    <row r="889" spans="1:10" x14ac:dyDescent="0.3">
      <c r="A889" s="3" t="s">
        <v>954</v>
      </c>
      <c r="B889" s="4">
        <v>43377</v>
      </c>
      <c r="C889" s="5">
        <v>15</v>
      </c>
      <c r="D889" s="5" t="s">
        <v>33</v>
      </c>
      <c r="E889" s="5" t="s">
        <v>39</v>
      </c>
      <c r="F889" s="5" t="s">
        <v>16</v>
      </c>
      <c r="G889" s="5" t="s">
        <v>11</v>
      </c>
      <c r="H889" s="5">
        <v>19900</v>
      </c>
      <c r="I889" s="5">
        <v>3</v>
      </c>
      <c r="J889" s="9">
        <v>59700</v>
      </c>
    </row>
    <row r="890" spans="1:10" x14ac:dyDescent="0.3">
      <c r="A890" s="3" t="s">
        <v>955</v>
      </c>
      <c r="B890" s="4">
        <v>43378</v>
      </c>
      <c r="C890" s="5">
        <v>20</v>
      </c>
      <c r="D890" s="5" t="s">
        <v>38</v>
      </c>
      <c r="E890" s="5" t="s">
        <v>42</v>
      </c>
      <c r="F890" s="5" t="s">
        <v>17</v>
      </c>
      <c r="G890" s="5" t="s">
        <v>11</v>
      </c>
      <c r="H890" s="5">
        <v>19900</v>
      </c>
      <c r="I890" s="5">
        <v>3</v>
      </c>
      <c r="J890" s="9">
        <v>59700</v>
      </c>
    </row>
    <row r="891" spans="1:10" x14ac:dyDescent="0.3">
      <c r="A891" s="3" t="s">
        <v>956</v>
      </c>
      <c r="B891" s="4">
        <v>43378</v>
      </c>
      <c r="C891" s="5">
        <v>9</v>
      </c>
      <c r="D891" s="5" t="s">
        <v>27</v>
      </c>
      <c r="E891" s="5" t="s">
        <v>44</v>
      </c>
      <c r="F891" s="5" t="s">
        <v>15</v>
      </c>
      <c r="G891" s="5" t="s">
        <v>13</v>
      </c>
      <c r="H891" s="5">
        <v>28900</v>
      </c>
      <c r="I891" s="5">
        <v>9</v>
      </c>
      <c r="J891" s="9">
        <v>260100</v>
      </c>
    </row>
    <row r="892" spans="1:10" x14ac:dyDescent="0.3">
      <c r="A892" s="3" t="s">
        <v>957</v>
      </c>
      <c r="B892" s="4">
        <v>43378</v>
      </c>
      <c r="C892" s="5">
        <v>4</v>
      </c>
      <c r="D892" s="5" t="s">
        <v>22</v>
      </c>
      <c r="E892" s="5" t="s">
        <v>40</v>
      </c>
      <c r="F892" s="5" t="s">
        <v>18</v>
      </c>
      <c r="G892" s="5" t="s">
        <v>11</v>
      </c>
      <c r="H892" s="5">
        <v>19900</v>
      </c>
      <c r="I892" s="5">
        <v>9</v>
      </c>
      <c r="J892" s="9">
        <v>179100</v>
      </c>
    </row>
    <row r="893" spans="1:10" x14ac:dyDescent="0.3">
      <c r="A893" s="3" t="s">
        <v>958</v>
      </c>
      <c r="B893" s="4">
        <v>43378</v>
      </c>
      <c r="C893" s="5">
        <v>16</v>
      </c>
      <c r="D893" s="5" t="s">
        <v>34</v>
      </c>
      <c r="E893" s="5" t="s">
        <v>43</v>
      </c>
      <c r="F893" s="5" t="s">
        <v>17</v>
      </c>
      <c r="G893" s="5" t="s">
        <v>14</v>
      </c>
      <c r="H893" s="5">
        <v>15900</v>
      </c>
      <c r="I893" s="5">
        <v>7</v>
      </c>
      <c r="J893" s="9">
        <v>111300</v>
      </c>
    </row>
    <row r="894" spans="1:10" x14ac:dyDescent="0.3">
      <c r="A894" s="3" t="s">
        <v>959</v>
      </c>
      <c r="B894" s="4">
        <v>43378</v>
      </c>
      <c r="C894" s="5">
        <v>5</v>
      </c>
      <c r="D894" s="5" t="s">
        <v>23</v>
      </c>
      <c r="E894" s="5" t="s">
        <v>46</v>
      </c>
      <c r="F894" s="5" t="s">
        <v>18</v>
      </c>
      <c r="G894" s="5" t="s">
        <v>12</v>
      </c>
      <c r="H894" s="5">
        <v>6900</v>
      </c>
      <c r="I894" s="5">
        <v>3</v>
      </c>
      <c r="J894" s="9">
        <v>20700</v>
      </c>
    </row>
    <row r="895" spans="1:10" x14ac:dyDescent="0.3">
      <c r="A895" s="3" t="s">
        <v>960</v>
      </c>
      <c r="B895" s="4">
        <v>43379</v>
      </c>
      <c r="C895" s="5">
        <v>11</v>
      </c>
      <c r="D895" s="5" t="s">
        <v>29</v>
      </c>
      <c r="E895" s="5" t="s">
        <v>45</v>
      </c>
      <c r="F895" s="5" t="s">
        <v>16</v>
      </c>
      <c r="G895" s="5" t="s">
        <v>14</v>
      </c>
      <c r="H895" s="5">
        <v>15900</v>
      </c>
      <c r="I895" s="5">
        <v>6</v>
      </c>
      <c r="J895" s="9">
        <v>95400</v>
      </c>
    </row>
    <row r="896" spans="1:10" x14ac:dyDescent="0.3">
      <c r="A896" s="3" t="s">
        <v>961</v>
      </c>
      <c r="B896" s="4">
        <v>43379</v>
      </c>
      <c r="C896" s="5">
        <v>9</v>
      </c>
      <c r="D896" s="5" t="s">
        <v>27</v>
      </c>
      <c r="E896" s="5" t="s">
        <v>41</v>
      </c>
      <c r="F896" s="5" t="s">
        <v>15</v>
      </c>
      <c r="G896" s="5" t="s">
        <v>11</v>
      </c>
      <c r="H896" s="5">
        <v>19900</v>
      </c>
      <c r="I896" s="5">
        <v>2</v>
      </c>
      <c r="J896" s="9">
        <v>39800</v>
      </c>
    </row>
    <row r="897" spans="1:10" x14ac:dyDescent="0.3">
      <c r="A897" s="3" t="s">
        <v>962</v>
      </c>
      <c r="B897" s="4">
        <v>43379</v>
      </c>
      <c r="C897" s="5">
        <v>6</v>
      </c>
      <c r="D897" s="5" t="s">
        <v>24</v>
      </c>
      <c r="E897" s="5" t="s">
        <v>44</v>
      </c>
      <c r="F897" s="5" t="s">
        <v>15</v>
      </c>
      <c r="G897" s="5" t="s">
        <v>11</v>
      </c>
      <c r="H897" s="5">
        <v>19900</v>
      </c>
      <c r="I897" s="5">
        <v>8</v>
      </c>
      <c r="J897" s="9">
        <v>159200</v>
      </c>
    </row>
    <row r="898" spans="1:10" x14ac:dyDescent="0.3">
      <c r="A898" s="3" t="s">
        <v>963</v>
      </c>
      <c r="B898" s="4">
        <v>43379</v>
      </c>
      <c r="C898" s="5">
        <v>4</v>
      </c>
      <c r="D898" s="5" t="s">
        <v>22</v>
      </c>
      <c r="E898" s="5" t="s">
        <v>40</v>
      </c>
      <c r="F898" s="5" t="s">
        <v>18</v>
      </c>
      <c r="G898" s="5" t="s">
        <v>10</v>
      </c>
      <c r="H898" s="5">
        <v>39900</v>
      </c>
      <c r="I898" s="5">
        <v>0</v>
      </c>
      <c r="J898" s="9">
        <v>0</v>
      </c>
    </row>
    <row r="899" spans="1:10" x14ac:dyDescent="0.3">
      <c r="A899" s="3" t="s">
        <v>964</v>
      </c>
      <c r="B899" s="4">
        <v>43379</v>
      </c>
      <c r="C899" s="5">
        <v>17</v>
      </c>
      <c r="D899" s="5" t="s">
        <v>35</v>
      </c>
      <c r="E899" s="5" t="s">
        <v>43</v>
      </c>
      <c r="F899" s="5" t="s">
        <v>17</v>
      </c>
      <c r="G899" s="5" t="s">
        <v>11</v>
      </c>
      <c r="H899" s="5">
        <v>19900</v>
      </c>
      <c r="I899" s="5">
        <v>2</v>
      </c>
      <c r="J899" s="9">
        <v>39800</v>
      </c>
    </row>
    <row r="900" spans="1:10" x14ac:dyDescent="0.3">
      <c r="A900" s="3" t="s">
        <v>965</v>
      </c>
      <c r="B900" s="4">
        <v>43380</v>
      </c>
      <c r="C900" s="5">
        <v>1</v>
      </c>
      <c r="D900" s="5" t="s">
        <v>19</v>
      </c>
      <c r="E900" s="5" t="s">
        <v>46</v>
      </c>
      <c r="F900" s="5" t="s">
        <v>18</v>
      </c>
      <c r="G900" s="5" t="s">
        <v>11</v>
      </c>
      <c r="H900" s="5">
        <v>19900</v>
      </c>
      <c r="I900" s="5">
        <v>4</v>
      </c>
      <c r="J900" s="9">
        <v>79600</v>
      </c>
    </row>
    <row r="901" spans="1:10" x14ac:dyDescent="0.3">
      <c r="A901" s="3" t="s">
        <v>966</v>
      </c>
      <c r="B901" s="4">
        <v>43380</v>
      </c>
      <c r="C901" s="5">
        <v>4</v>
      </c>
      <c r="D901" s="5" t="s">
        <v>22</v>
      </c>
      <c r="E901" s="5" t="s">
        <v>40</v>
      </c>
      <c r="F901" s="5" t="s">
        <v>18</v>
      </c>
      <c r="G901" s="5" t="s">
        <v>14</v>
      </c>
      <c r="H901" s="5">
        <v>15900</v>
      </c>
      <c r="I901" s="5">
        <v>5</v>
      </c>
      <c r="J901" s="9">
        <v>79500</v>
      </c>
    </row>
    <row r="902" spans="1:10" x14ac:dyDescent="0.3">
      <c r="A902" s="3" t="s">
        <v>967</v>
      </c>
      <c r="B902" s="4">
        <v>43381</v>
      </c>
      <c r="C902" s="5">
        <v>15</v>
      </c>
      <c r="D902" s="5" t="s">
        <v>33</v>
      </c>
      <c r="E902" s="5" t="s">
        <v>39</v>
      </c>
      <c r="F902" s="5" t="s">
        <v>16</v>
      </c>
      <c r="G902" s="5" t="s">
        <v>10</v>
      </c>
      <c r="H902" s="5">
        <v>39900</v>
      </c>
      <c r="I902" s="5">
        <v>7</v>
      </c>
      <c r="J902" s="9">
        <v>279300</v>
      </c>
    </row>
    <row r="903" spans="1:10" x14ac:dyDescent="0.3">
      <c r="A903" s="3" t="s">
        <v>968</v>
      </c>
      <c r="B903" s="4">
        <v>43382</v>
      </c>
      <c r="C903" s="5">
        <v>13</v>
      </c>
      <c r="D903" s="5" t="s">
        <v>31</v>
      </c>
      <c r="E903" s="5" t="s">
        <v>39</v>
      </c>
      <c r="F903" s="5" t="s">
        <v>16</v>
      </c>
      <c r="G903" s="5" t="s">
        <v>10</v>
      </c>
      <c r="H903" s="5">
        <v>39900</v>
      </c>
      <c r="I903" s="5">
        <v>4</v>
      </c>
      <c r="J903" s="9">
        <v>159600</v>
      </c>
    </row>
    <row r="904" spans="1:10" x14ac:dyDescent="0.3">
      <c r="A904" s="3" t="s">
        <v>969</v>
      </c>
      <c r="B904" s="4">
        <v>43383</v>
      </c>
      <c r="C904" s="5">
        <v>6</v>
      </c>
      <c r="D904" s="5" t="s">
        <v>24</v>
      </c>
      <c r="E904" s="5" t="s">
        <v>41</v>
      </c>
      <c r="F904" s="5" t="s">
        <v>15</v>
      </c>
      <c r="G904" s="5" t="s">
        <v>13</v>
      </c>
      <c r="H904" s="5">
        <v>28900</v>
      </c>
      <c r="I904" s="5">
        <v>3</v>
      </c>
      <c r="J904" s="9">
        <v>86700</v>
      </c>
    </row>
    <row r="905" spans="1:10" x14ac:dyDescent="0.3">
      <c r="A905" s="3" t="s">
        <v>970</v>
      </c>
      <c r="B905" s="4">
        <v>43383</v>
      </c>
      <c r="C905" s="5">
        <v>5</v>
      </c>
      <c r="D905" s="5" t="s">
        <v>23</v>
      </c>
      <c r="E905" s="5" t="s">
        <v>40</v>
      </c>
      <c r="F905" s="5" t="s">
        <v>18</v>
      </c>
      <c r="G905" s="5" t="s">
        <v>13</v>
      </c>
      <c r="H905" s="5">
        <v>28900</v>
      </c>
      <c r="I905" s="5">
        <v>1</v>
      </c>
      <c r="J905" s="9">
        <v>28900</v>
      </c>
    </row>
    <row r="906" spans="1:10" x14ac:dyDescent="0.3">
      <c r="A906" s="3" t="s">
        <v>971</v>
      </c>
      <c r="B906" s="4">
        <v>43384</v>
      </c>
      <c r="C906" s="5">
        <v>13</v>
      </c>
      <c r="D906" s="5" t="s">
        <v>31</v>
      </c>
      <c r="E906" s="5" t="s">
        <v>39</v>
      </c>
      <c r="F906" s="5" t="s">
        <v>16</v>
      </c>
      <c r="G906" s="5" t="s">
        <v>13</v>
      </c>
      <c r="H906" s="5">
        <v>28900</v>
      </c>
      <c r="I906" s="5">
        <v>7</v>
      </c>
      <c r="J906" s="9">
        <v>202300</v>
      </c>
    </row>
    <row r="907" spans="1:10" x14ac:dyDescent="0.3">
      <c r="A907" s="3" t="s">
        <v>972</v>
      </c>
      <c r="B907" s="4">
        <v>43384</v>
      </c>
      <c r="C907" s="5">
        <v>19</v>
      </c>
      <c r="D907" s="5" t="s">
        <v>37</v>
      </c>
      <c r="E907" s="5" t="s">
        <v>42</v>
      </c>
      <c r="F907" s="5" t="s">
        <v>17</v>
      </c>
      <c r="G907" s="5" t="s">
        <v>11</v>
      </c>
      <c r="H907" s="5">
        <v>19900</v>
      </c>
      <c r="I907" s="5">
        <v>5</v>
      </c>
      <c r="J907" s="9">
        <v>99500</v>
      </c>
    </row>
    <row r="908" spans="1:10" x14ac:dyDescent="0.3">
      <c r="A908" s="3" t="s">
        <v>973</v>
      </c>
      <c r="B908" s="4">
        <v>43385</v>
      </c>
      <c r="C908" s="5">
        <v>10</v>
      </c>
      <c r="D908" s="5" t="s">
        <v>28</v>
      </c>
      <c r="E908" s="5" t="s">
        <v>41</v>
      </c>
      <c r="F908" s="5" t="s">
        <v>15</v>
      </c>
      <c r="G908" s="5" t="s">
        <v>11</v>
      </c>
      <c r="H908" s="5">
        <v>19900</v>
      </c>
      <c r="I908" s="5">
        <v>1</v>
      </c>
      <c r="J908" s="9">
        <v>19900</v>
      </c>
    </row>
    <row r="909" spans="1:10" x14ac:dyDescent="0.3">
      <c r="A909" s="3" t="s">
        <v>974</v>
      </c>
      <c r="B909" s="4">
        <v>43385</v>
      </c>
      <c r="C909" s="5">
        <v>20</v>
      </c>
      <c r="D909" s="5" t="s">
        <v>38</v>
      </c>
      <c r="E909" s="5" t="s">
        <v>42</v>
      </c>
      <c r="F909" s="5" t="s">
        <v>17</v>
      </c>
      <c r="G909" s="5" t="s">
        <v>13</v>
      </c>
      <c r="H909" s="5">
        <v>28900</v>
      </c>
      <c r="I909" s="5">
        <v>3</v>
      </c>
      <c r="J909" s="9">
        <v>86700</v>
      </c>
    </row>
    <row r="910" spans="1:10" x14ac:dyDescent="0.3">
      <c r="A910" s="3" t="s">
        <v>975</v>
      </c>
      <c r="B910" s="4">
        <v>43386</v>
      </c>
      <c r="C910" s="5">
        <v>7</v>
      </c>
      <c r="D910" s="5" t="s">
        <v>25</v>
      </c>
      <c r="E910" s="5" t="s">
        <v>44</v>
      </c>
      <c r="F910" s="5" t="s">
        <v>15</v>
      </c>
      <c r="G910" s="5" t="s">
        <v>14</v>
      </c>
      <c r="H910" s="5">
        <v>15900</v>
      </c>
      <c r="I910" s="5">
        <v>8</v>
      </c>
      <c r="J910" s="9">
        <v>127200</v>
      </c>
    </row>
    <row r="911" spans="1:10" x14ac:dyDescent="0.3">
      <c r="A911" s="3" t="s">
        <v>976</v>
      </c>
      <c r="B911" s="4">
        <v>43386</v>
      </c>
      <c r="C911" s="5">
        <v>19</v>
      </c>
      <c r="D911" s="5" t="s">
        <v>37</v>
      </c>
      <c r="E911" s="5" t="s">
        <v>42</v>
      </c>
      <c r="F911" s="5" t="s">
        <v>17</v>
      </c>
      <c r="G911" s="5" t="s">
        <v>11</v>
      </c>
      <c r="H911" s="5">
        <v>19900</v>
      </c>
      <c r="I911" s="5">
        <v>3</v>
      </c>
      <c r="J911" s="9">
        <v>59700</v>
      </c>
    </row>
    <row r="912" spans="1:10" x14ac:dyDescent="0.3">
      <c r="A912" s="3" t="s">
        <v>977</v>
      </c>
      <c r="B912" s="4">
        <v>43386</v>
      </c>
      <c r="C912" s="5">
        <v>18</v>
      </c>
      <c r="D912" s="5" t="s">
        <v>36</v>
      </c>
      <c r="E912" s="5" t="s">
        <v>42</v>
      </c>
      <c r="F912" s="5" t="s">
        <v>17</v>
      </c>
      <c r="G912" s="5" t="s">
        <v>12</v>
      </c>
      <c r="H912" s="5">
        <v>6900</v>
      </c>
      <c r="I912" s="5">
        <v>9</v>
      </c>
      <c r="J912" s="9">
        <v>62100</v>
      </c>
    </row>
    <row r="913" spans="1:10" x14ac:dyDescent="0.3">
      <c r="A913" s="3" t="s">
        <v>978</v>
      </c>
      <c r="B913" s="4">
        <v>43386</v>
      </c>
      <c r="C913" s="5">
        <v>13</v>
      </c>
      <c r="D913" s="5" t="s">
        <v>31</v>
      </c>
      <c r="E913" s="5" t="s">
        <v>39</v>
      </c>
      <c r="F913" s="5" t="s">
        <v>16</v>
      </c>
      <c r="G913" s="5" t="s">
        <v>13</v>
      </c>
      <c r="H913" s="5">
        <v>28900</v>
      </c>
      <c r="I913" s="5">
        <v>8</v>
      </c>
      <c r="J913" s="9">
        <v>231200</v>
      </c>
    </row>
    <row r="914" spans="1:10" x14ac:dyDescent="0.3">
      <c r="A914" s="3" t="s">
        <v>979</v>
      </c>
      <c r="B914" s="4">
        <v>43386</v>
      </c>
      <c r="C914" s="5">
        <v>9</v>
      </c>
      <c r="D914" s="5" t="s">
        <v>27</v>
      </c>
      <c r="E914" s="5" t="s">
        <v>44</v>
      </c>
      <c r="F914" s="5" t="s">
        <v>15</v>
      </c>
      <c r="G914" s="5" t="s">
        <v>11</v>
      </c>
      <c r="H914" s="5">
        <v>19900</v>
      </c>
      <c r="I914" s="5">
        <v>5</v>
      </c>
      <c r="J914" s="9">
        <v>99500</v>
      </c>
    </row>
    <row r="915" spans="1:10" x14ac:dyDescent="0.3">
      <c r="A915" s="3" t="s">
        <v>980</v>
      </c>
      <c r="B915" s="4">
        <v>43386</v>
      </c>
      <c r="C915" s="5">
        <v>14</v>
      </c>
      <c r="D915" s="5" t="s">
        <v>32</v>
      </c>
      <c r="E915" s="5" t="s">
        <v>39</v>
      </c>
      <c r="F915" s="5" t="s">
        <v>16</v>
      </c>
      <c r="G915" s="5" t="s">
        <v>14</v>
      </c>
      <c r="H915" s="5">
        <v>15900</v>
      </c>
      <c r="I915" s="5">
        <v>7</v>
      </c>
      <c r="J915" s="9">
        <v>111300</v>
      </c>
    </row>
    <row r="916" spans="1:10" x14ac:dyDescent="0.3">
      <c r="A916" s="3" t="s">
        <v>981</v>
      </c>
      <c r="B916" s="4">
        <v>43387</v>
      </c>
      <c r="C916" s="5">
        <v>3</v>
      </c>
      <c r="D916" s="5" t="s">
        <v>21</v>
      </c>
      <c r="E916" s="5" t="s">
        <v>40</v>
      </c>
      <c r="F916" s="5" t="s">
        <v>18</v>
      </c>
      <c r="G916" s="5" t="s">
        <v>12</v>
      </c>
      <c r="H916" s="5">
        <v>6900</v>
      </c>
      <c r="I916" s="5">
        <v>2</v>
      </c>
      <c r="J916" s="9">
        <v>13800</v>
      </c>
    </row>
    <row r="917" spans="1:10" x14ac:dyDescent="0.3">
      <c r="A917" s="3" t="s">
        <v>982</v>
      </c>
      <c r="B917" s="4">
        <v>43387</v>
      </c>
      <c r="C917" s="5">
        <v>10</v>
      </c>
      <c r="D917" s="5" t="s">
        <v>28</v>
      </c>
      <c r="E917" s="5" t="s">
        <v>44</v>
      </c>
      <c r="F917" s="5" t="s">
        <v>15</v>
      </c>
      <c r="G917" s="5" t="s">
        <v>13</v>
      </c>
      <c r="H917" s="5">
        <v>28900</v>
      </c>
      <c r="I917" s="5">
        <v>5</v>
      </c>
      <c r="J917" s="9">
        <v>144500</v>
      </c>
    </row>
    <row r="918" spans="1:10" x14ac:dyDescent="0.3">
      <c r="A918" s="3" t="s">
        <v>983</v>
      </c>
      <c r="B918" s="4">
        <v>43388</v>
      </c>
      <c r="C918" s="5">
        <v>18</v>
      </c>
      <c r="D918" s="5" t="s">
        <v>36</v>
      </c>
      <c r="E918" s="5" t="s">
        <v>43</v>
      </c>
      <c r="F918" s="5" t="s">
        <v>17</v>
      </c>
      <c r="G918" s="5" t="s">
        <v>12</v>
      </c>
      <c r="H918" s="5">
        <v>6900</v>
      </c>
      <c r="I918" s="5">
        <v>2</v>
      </c>
      <c r="J918" s="9">
        <v>13800</v>
      </c>
    </row>
    <row r="919" spans="1:10" x14ac:dyDescent="0.3">
      <c r="A919" s="3" t="s">
        <v>984</v>
      </c>
      <c r="B919" s="4">
        <v>43388</v>
      </c>
      <c r="C919" s="5">
        <v>18</v>
      </c>
      <c r="D919" s="5" t="s">
        <v>36</v>
      </c>
      <c r="E919" s="5" t="s">
        <v>43</v>
      </c>
      <c r="F919" s="5" t="s">
        <v>17</v>
      </c>
      <c r="G919" s="5" t="s">
        <v>14</v>
      </c>
      <c r="H919" s="5">
        <v>15900</v>
      </c>
      <c r="I919" s="5">
        <v>5</v>
      </c>
      <c r="J919" s="9">
        <v>79500</v>
      </c>
    </row>
    <row r="920" spans="1:10" x14ac:dyDescent="0.3">
      <c r="A920" s="3" t="s">
        <v>985</v>
      </c>
      <c r="B920" s="4">
        <v>43388</v>
      </c>
      <c r="C920" s="5">
        <v>14</v>
      </c>
      <c r="D920" s="5" t="s">
        <v>32</v>
      </c>
      <c r="E920" s="5" t="s">
        <v>45</v>
      </c>
      <c r="F920" s="5" t="s">
        <v>16</v>
      </c>
      <c r="G920" s="5" t="s">
        <v>10</v>
      </c>
      <c r="H920" s="5">
        <v>39900</v>
      </c>
      <c r="I920" s="5">
        <v>9</v>
      </c>
      <c r="J920" s="9">
        <v>359100</v>
      </c>
    </row>
    <row r="921" spans="1:10" x14ac:dyDescent="0.3">
      <c r="A921" s="3" t="s">
        <v>986</v>
      </c>
      <c r="B921" s="4">
        <v>43388</v>
      </c>
      <c r="C921" s="5">
        <v>2</v>
      </c>
      <c r="D921" s="5" t="s">
        <v>20</v>
      </c>
      <c r="E921" s="5" t="s">
        <v>46</v>
      </c>
      <c r="F921" s="5" t="s">
        <v>18</v>
      </c>
      <c r="G921" s="5" t="s">
        <v>11</v>
      </c>
      <c r="H921" s="5">
        <v>19900</v>
      </c>
      <c r="I921" s="5">
        <v>3</v>
      </c>
      <c r="J921" s="9">
        <v>59700</v>
      </c>
    </row>
    <row r="922" spans="1:10" x14ac:dyDescent="0.3">
      <c r="A922" s="3" t="s">
        <v>987</v>
      </c>
      <c r="B922" s="4">
        <v>43389</v>
      </c>
      <c r="C922" s="5">
        <v>17</v>
      </c>
      <c r="D922" s="5" t="s">
        <v>35</v>
      </c>
      <c r="E922" s="5" t="s">
        <v>42</v>
      </c>
      <c r="F922" s="5" t="s">
        <v>17</v>
      </c>
      <c r="G922" s="5" t="s">
        <v>10</v>
      </c>
      <c r="H922" s="5">
        <v>39900</v>
      </c>
      <c r="I922" s="5">
        <v>6</v>
      </c>
      <c r="J922" s="9">
        <v>239400</v>
      </c>
    </row>
    <row r="923" spans="1:10" x14ac:dyDescent="0.3">
      <c r="A923" s="3" t="s">
        <v>988</v>
      </c>
      <c r="B923" s="4">
        <v>43389</v>
      </c>
      <c r="C923" s="5">
        <v>1</v>
      </c>
      <c r="D923" s="5" t="s">
        <v>19</v>
      </c>
      <c r="E923" s="5" t="s">
        <v>40</v>
      </c>
      <c r="F923" s="5" t="s">
        <v>18</v>
      </c>
      <c r="G923" s="5" t="s">
        <v>13</v>
      </c>
      <c r="H923" s="5">
        <v>28900</v>
      </c>
      <c r="I923" s="5">
        <v>7</v>
      </c>
      <c r="J923" s="9">
        <v>202300</v>
      </c>
    </row>
    <row r="924" spans="1:10" x14ac:dyDescent="0.3">
      <c r="A924" s="3" t="s">
        <v>989</v>
      </c>
      <c r="B924" s="4">
        <v>43389</v>
      </c>
      <c r="C924" s="5">
        <v>15</v>
      </c>
      <c r="D924" s="5" t="s">
        <v>33</v>
      </c>
      <c r="E924" s="5" t="s">
        <v>45</v>
      </c>
      <c r="F924" s="5" t="s">
        <v>16</v>
      </c>
      <c r="G924" s="5" t="s">
        <v>14</v>
      </c>
      <c r="H924" s="5">
        <v>15900</v>
      </c>
      <c r="I924" s="5">
        <v>3</v>
      </c>
      <c r="J924" s="9">
        <v>47700</v>
      </c>
    </row>
    <row r="925" spans="1:10" x14ac:dyDescent="0.3">
      <c r="A925" s="3" t="s">
        <v>990</v>
      </c>
      <c r="B925" s="4">
        <v>43389</v>
      </c>
      <c r="C925" s="5">
        <v>11</v>
      </c>
      <c r="D925" s="5" t="s">
        <v>29</v>
      </c>
      <c r="E925" s="5" t="s">
        <v>39</v>
      </c>
      <c r="F925" s="5" t="s">
        <v>16</v>
      </c>
      <c r="G925" s="5" t="s">
        <v>13</v>
      </c>
      <c r="H925" s="5">
        <v>28900</v>
      </c>
      <c r="I925" s="5">
        <v>9</v>
      </c>
      <c r="J925" s="9">
        <v>260100</v>
      </c>
    </row>
    <row r="926" spans="1:10" x14ac:dyDescent="0.3">
      <c r="A926" s="3" t="s">
        <v>991</v>
      </c>
      <c r="B926" s="4">
        <v>43389</v>
      </c>
      <c r="C926" s="5">
        <v>12</v>
      </c>
      <c r="D926" s="5" t="s">
        <v>30</v>
      </c>
      <c r="E926" s="5" t="s">
        <v>39</v>
      </c>
      <c r="F926" s="5" t="s">
        <v>16</v>
      </c>
      <c r="G926" s="5" t="s">
        <v>11</v>
      </c>
      <c r="H926" s="5">
        <v>19900</v>
      </c>
      <c r="I926" s="5">
        <v>7</v>
      </c>
      <c r="J926" s="9">
        <v>139300</v>
      </c>
    </row>
    <row r="927" spans="1:10" x14ac:dyDescent="0.3">
      <c r="A927" s="3" t="s">
        <v>992</v>
      </c>
      <c r="B927" s="4">
        <v>43390</v>
      </c>
      <c r="C927" s="5">
        <v>1</v>
      </c>
      <c r="D927" s="5" t="s">
        <v>19</v>
      </c>
      <c r="E927" s="5" t="s">
        <v>46</v>
      </c>
      <c r="F927" s="5" t="s">
        <v>18</v>
      </c>
      <c r="G927" s="5" t="s">
        <v>11</v>
      </c>
      <c r="H927" s="5">
        <v>19900</v>
      </c>
      <c r="I927" s="5">
        <v>0</v>
      </c>
      <c r="J927" s="9">
        <v>0</v>
      </c>
    </row>
    <row r="928" spans="1:10" x14ac:dyDescent="0.3">
      <c r="A928" s="3" t="s">
        <v>993</v>
      </c>
      <c r="B928" s="4">
        <v>43390</v>
      </c>
      <c r="C928" s="5">
        <v>8</v>
      </c>
      <c r="D928" s="5" t="s">
        <v>26</v>
      </c>
      <c r="E928" s="5" t="s">
        <v>44</v>
      </c>
      <c r="F928" s="5" t="s">
        <v>15</v>
      </c>
      <c r="G928" s="5" t="s">
        <v>11</v>
      </c>
      <c r="H928" s="5">
        <v>19900</v>
      </c>
      <c r="I928" s="5">
        <v>8</v>
      </c>
      <c r="J928" s="9">
        <v>159200</v>
      </c>
    </row>
    <row r="929" spans="1:10" x14ac:dyDescent="0.3">
      <c r="A929" s="3" t="s">
        <v>994</v>
      </c>
      <c r="B929" s="4">
        <v>43390</v>
      </c>
      <c r="C929" s="5">
        <v>20</v>
      </c>
      <c r="D929" s="5" t="s">
        <v>38</v>
      </c>
      <c r="E929" s="5" t="s">
        <v>43</v>
      </c>
      <c r="F929" s="5" t="s">
        <v>17</v>
      </c>
      <c r="G929" s="5" t="s">
        <v>14</v>
      </c>
      <c r="H929" s="5">
        <v>15900</v>
      </c>
      <c r="I929" s="5">
        <v>8</v>
      </c>
      <c r="J929" s="9">
        <v>127200</v>
      </c>
    </row>
    <row r="930" spans="1:10" x14ac:dyDescent="0.3">
      <c r="A930" s="3" t="s">
        <v>995</v>
      </c>
      <c r="B930" s="4">
        <v>43390</v>
      </c>
      <c r="C930" s="5">
        <v>14</v>
      </c>
      <c r="D930" s="5" t="s">
        <v>32</v>
      </c>
      <c r="E930" s="5" t="s">
        <v>45</v>
      </c>
      <c r="F930" s="5" t="s">
        <v>16</v>
      </c>
      <c r="G930" s="5" t="s">
        <v>14</v>
      </c>
      <c r="H930" s="5">
        <v>15900</v>
      </c>
      <c r="I930" s="5">
        <v>5</v>
      </c>
      <c r="J930" s="9">
        <v>79500</v>
      </c>
    </row>
    <row r="931" spans="1:10" x14ac:dyDescent="0.3">
      <c r="A931" s="3" t="s">
        <v>996</v>
      </c>
      <c r="B931" s="4">
        <v>43390</v>
      </c>
      <c r="C931" s="5">
        <v>10</v>
      </c>
      <c r="D931" s="5" t="s">
        <v>28</v>
      </c>
      <c r="E931" s="5" t="s">
        <v>44</v>
      </c>
      <c r="F931" s="5" t="s">
        <v>15</v>
      </c>
      <c r="G931" s="5" t="s">
        <v>11</v>
      </c>
      <c r="H931" s="5">
        <v>19900</v>
      </c>
      <c r="I931" s="5">
        <v>3</v>
      </c>
      <c r="J931" s="9">
        <v>59700</v>
      </c>
    </row>
    <row r="932" spans="1:10" x14ac:dyDescent="0.3">
      <c r="A932" s="3" t="s">
        <v>997</v>
      </c>
      <c r="B932" s="4">
        <v>43391</v>
      </c>
      <c r="C932" s="5">
        <v>17</v>
      </c>
      <c r="D932" s="5" t="s">
        <v>35</v>
      </c>
      <c r="E932" s="5" t="s">
        <v>43</v>
      </c>
      <c r="F932" s="5" t="s">
        <v>17</v>
      </c>
      <c r="G932" s="5" t="s">
        <v>10</v>
      </c>
      <c r="H932" s="5">
        <v>39900</v>
      </c>
      <c r="I932" s="5">
        <v>0</v>
      </c>
      <c r="J932" s="9">
        <v>0</v>
      </c>
    </row>
    <row r="933" spans="1:10" x14ac:dyDescent="0.3">
      <c r="A933" s="3" t="s">
        <v>998</v>
      </c>
      <c r="B933" s="4">
        <v>43392</v>
      </c>
      <c r="C933" s="5">
        <v>5</v>
      </c>
      <c r="D933" s="5" t="s">
        <v>23</v>
      </c>
      <c r="E933" s="5" t="s">
        <v>46</v>
      </c>
      <c r="F933" s="5" t="s">
        <v>18</v>
      </c>
      <c r="G933" s="5" t="s">
        <v>11</v>
      </c>
      <c r="H933" s="5">
        <v>19900</v>
      </c>
      <c r="I933" s="5">
        <v>6</v>
      </c>
      <c r="J933" s="9">
        <v>119400</v>
      </c>
    </row>
    <row r="934" spans="1:10" x14ac:dyDescent="0.3">
      <c r="A934" s="3" t="s">
        <v>999</v>
      </c>
      <c r="B934" s="4">
        <v>43392</v>
      </c>
      <c r="C934" s="5">
        <v>10</v>
      </c>
      <c r="D934" s="5" t="s">
        <v>28</v>
      </c>
      <c r="E934" s="5" t="s">
        <v>44</v>
      </c>
      <c r="F934" s="5" t="s">
        <v>15</v>
      </c>
      <c r="G934" s="5" t="s">
        <v>14</v>
      </c>
      <c r="H934" s="5">
        <v>15900</v>
      </c>
      <c r="I934" s="5">
        <v>6</v>
      </c>
      <c r="J934" s="9">
        <v>95400</v>
      </c>
    </row>
    <row r="935" spans="1:10" x14ac:dyDescent="0.3">
      <c r="A935" s="3" t="s">
        <v>1000</v>
      </c>
      <c r="B935" s="4">
        <v>43393</v>
      </c>
      <c r="C935" s="5">
        <v>17</v>
      </c>
      <c r="D935" s="5" t="s">
        <v>35</v>
      </c>
      <c r="E935" s="5" t="s">
        <v>43</v>
      </c>
      <c r="F935" s="5" t="s">
        <v>17</v>
      </c>
      <c r="G935" s="5" t="s">
        <v>14</v>
      </c>
      <c r="H935" s="5">
        <v>15900</v>
      </c>
      <c r="I935" s="5">
        <v>1</v>
      </c>
      <c r="J935" s="9">
        <v>15900</v>
      </c>
    </row>
    <row r="936" spans="1:10" x14ac:dyDescent="0.3">
      <c r="A936" s="3" t="s">
        <v>1001</v>
      </c>
      <c r="B936" s="4">
        <v>43393</v>
      </c>
      <c r="C936" s="5">
        <v>18</v>
      </c>
      <c r="D936" s="5" t="s">
        <v>36</v>
      </c>
      <c r="E936" s="5" t="s">
        <v>42</v>
      </c>
      <c r="F936" s="5" t="s">
        <v>17</v>
      </c>
      <c r="G936" s="5" t="s">
        <v>13</v>
      </c>
      <c r="H936" s="5">
        <v>28900</v>
      </c>
      <c r="I936" s="5">
        <v>5</v>
      </c>
      <c r="J936" s="9">
        <v>144500</v>
      </c>
    </row>
    <row r="937" spans="1:10" x14ac:dyDescent="0.3">
      <c r="A937" s="3" t="s">
        <v>1002</v>
      </c>
      <c r="B937" s="4">
        <v>43393</v>
      </c>
      <c r="C937" s="5">
        <v>2</v>
      </c>
      <c r="D937" s="5" t="s">
        <v>20</v>
      </c>
      <c r="E937" s="5" t="s">
        <v>40</v>
      </c>
      <c r="F937" s="5" t="s">
        <v>18</v>
      </c>
      <c r="G937" s="5" t="s">
        <v>12</v>
      </c>
      <c r="H937" s="5">
        <v>6900</v>
      </c>
      <c r="I937" s="5">
        <v>8</v>
      </c>
      <c r="J937" s="9">
        <v>55200</v>
      </c>
    </row>
    <row r="938" spans="1:10" x14ac:dyDescent="0.3">
      <c r="A938" s="3" t="s">
        <v>1003</v>
      </c>
      <c r="B938" s="4">
        <v>43394</v>
      </c>
      <c r="C938" s="5">
        <v>17</v>
      </c>
      <c r="D938" s="5" t="s">
        <v>35</v>
      </c>
      <c r="E938" s="5" t="s">
        <v>42</v>
      </c>
      <c r="F938" s="5" t="s">
        <v>17</v>
      </c>
      <c r="G938" s="5" t="s">
        <v>12</v>
      </c>
      <c r="H938" s="5">
        <v>6900</v>
      </c>
      <c r="I938" s="5">
        <v>5</v>
      </c>
      <c r="J938" s="9">
        <v>34500</v>
      </c>
    </row>
    <row r="939" spans="1:10" x14ac:dyDescent="0.3">
      <c r="A939" s="3" t="s">
        <v>1004</v>
      </c>
      <c r="B939" s="4">
        <v>43395</v>
      </c>
      <c r="C939" s="5">
        <v>10</v>
      </c>
      <c r="D939" s="5" t="s">
        <v>28</v>
      </c>
      <c r="E939" s="5" t="s">
        <v>41</v>
      </c>
      <c r="F939" s="5" t="s">
        <v>15</v>
      </c>
      <c r="G939" s="5" t="s">
        <v>10</v>
      </c>
      <c r="H939" s="5">
        <v>39900</v>
      </c>
      <c r="I939" s="5">
        <v>0</v>
      </c>
      <c r="J939" s="9">
        <v>0</v>
      </c>
    </row>
    <row r="940" spans="1:10" x14ac:dyDescent="0.3">
      <c r="A940" s="3" t="s">
        <v>1005</v>
      </c>
      <c r="B940" s="4">
        <v>43395</v>
      </c>
      <c r="C940" s="5">
        <v>1</v>
      </c>
      <c r="D940" s="5" t="s">
        <v>19</v>
      </c>
      <c r="E940" s="5" t="s">
        <v>46</v>
      </c>
      <c r="F940" s="5" t="s">
        <v>18</v>
      </c>
      <c r="G940" s="5" t="s">
        <v>13</v>
      </c>
      <c r="H940" s="5">
        <v>28900</v>
      </c>
      <c r="I940" s="5">
        <v>7</v>
      </c>
      <c r="J940" s="9">
        <v>202300</v>
      </c>
    </row>
    <row r="941" spans="1:10" x14ac:dyDescent="0.3">
      <c r="A941" s="3" t="s">
        <v>1006</v>
      </c>
      <c r="B941" s="4">
        <v>43395</v>
      </c>
      <c r="C941" s="5">
        <v>5</v>
      </c>
      <c r="D941" s="5" t="s">
        <v>23</v>
      </c>
      <c r="E941" s="5" t="s">
        <v>40</v>
      </c>
      <c r="F941" s="5" t="s">
        <v>18</v>
      </c>
      <c r="G941" s="5" t="s">
        <v>11</v>
      </c>
      <c r="H941" s="5">
        <v>19900</v>
      </c>
      <c r="I941" s="5">
        <v>5</v>
      </c>
      <c r="J941" s="9">
        <v>99500</v>
      </c>
    </row>
    <row r="942" spans="1:10" x14ac:dyDescent="0.3">
      <c r="A942" s="3" t="s">
        <v>1007</v>
      </c>
      <c r="B942" s="4">
        <v>43395</v>
      </c>
      <c r="C942" s="5">
        <v>20</v>
      </c>
      <c r="D942" s="5" t="s">
        <v>38</v>
      </c>
      <c r="E942" s="5" t="s">
        <v>42</v>
      </c>
      <c r="F942" s="5" t="s">
        <v>17</v>
      </c>
      <c r="G942" s="5" t="s">
        <v>14</v>
      </c>
      <c r="H942" s="5">
        <v>15900</v>
      </c>
      <c r="I942" s="5">
        <v>5</v>
      </c>
      <c r="J942" s="9">
        <v>79500</v>
      </c>
    </row>
    <row r="943" spans="1:10" x14ac:dyDescent="0.3">
      <c r="A943" s="3" t="s">
        <v>1008</v>
      </c>
      <c r="B943" s="4">
        <v>43395</v>
      </c>
      <c r="C943" s="5">
        <v>1</v>
      </c>
      <c r="D943" s="5" t="s">
        <v>19</v>
      </c>
      <c r="E943" s="5" t="s">
        <v>40</v>
      </c>
      <c r="F943" s="5" t="s">
        <v>18</v>
      </c>
      <c r="G943" s="5" t="s">
        <v>10</v>
      </c>
      <c r="H943" s="5">
        <v>39900</v>
      </c>
      <c r="I943" s="5">
        <v>8</v>
      </c>
      <c r="J943" s="9">
        <v>319200</v>
      </c>
    </row>
    <row r="944" spans="1:10" x14ac:dyDescent="0.3">
      <c r="A944" s="3" t="s">
        <v>1009</v>
      </c>
      <c r="B944" s="4">
        <v>43395</v>
      </c>
      <c r="C944" s="5">
        <v>6</v>
      </c>
      <c r="D944" s="5" t="s">
        <v>24</v>
      </c>
      <c r="E944" s="5" t="s">
        <v>41</v>
      </c>
      <c r="F944" s="5" t="s">
        <v>15</v>
      </c>
      <c r="G944" s="5" t="s">
        <v>14</v>
      </c>
      <c r="H944" s="5">
        <v>15900</v>
      </c>
      <c r="I944" s="5">
        <v>6</v>
      </c>
      <c r="J944" s="9">
        <v>95400</v>
      </c>
    </row>
    <row r="945" spans="1:10" x14ac:dyDescent="0.3">
      <c r="A945" s="3" t="s">
        <v>1010</v>
      </c>
      <c r="B945" s="4">
        <v>43396</v>
      </c>
      <c r="C945" s="5">
        <v>4</v>
      </c>
      <c r="D945" s="5" t="s">
        <v>22</v>
      </c>
      <c r="E945" s="5" t="s">
        <v>46</v>
      </c>
      <c r="F945" s="5" t="s">
        <v>18</v>
      </c>
      <c r="G945" s="5" t="s">
        <v>10</v>
      </c>
      <c r="H945" s="5">
        <v>39900</v>
      </c>
      <c r="I945" s="5">
        <v>1</v>
      </c>
      <c r="J945" s="9">
        <v>39900</v>
      </c>
    </row>
    <row r="946" spans="1:10" x14ac:dyDescent="0.3">
      <c r="A946" s="3" t="s">
        <v>1011</v>
      </c>
      <c r="B946" s="4">
        <v>43397</v>
      </c>
      <c r="C946" s="5">
        <v>17</v>
      </c>
      <c r="D946" s="5" t="s">
        <v>35</v>
      </c>
      <c r="E946" s="5" t="s">
        <v>43</v>
      </c>
      <c r="F946" s="5" t="s">
        <v>17</v>
      </c>
      <c r="G946" s="5" t="s">
        <v>11</v>
      </c>
      <c r="H946" s="5">
        <v>19900</v>
      </c>
      <c r="I946" s="5">
        <v>5</v>
      </c>
      <c r="J946" s="9">
        <v>99500</v>
      </c>
    </row>
    <row r="947" spans="1:10" x14ac:dyDescent="0.3">
      <c r="A947" s="3" t="s">
        <v>1012</v>
      </c>
      <c r="B947" s="4">
        <v>43398</v>
      </c>
      <c r="C947" s="5">
        <v>1</v>
      </c>
      <c r="D947" s="5" t="s">
        <v>19</v>
      </c>
      <c r="E947" s="5" t="s">
        <v>40</v>
      </c>
      <c r="F947" s="5" t="s">
        <v>18</v>
      </c>
      <c r="G947" s="5" t="s">
        <v>11</v>
      </c>
      <c r="H947" s="5">
        <v>19900</v>
      </c>
      <c r="I947" s="5">
        <v>1</v>
      </c>
      <c r="J947" s="9">
        <v>19900</v>
      </c>
    </row>
    <row r="948" spans="1:10" x14ac:dyDescent="0.3">
      <c r="A948" s="3" t="s">
        <v>1013</v>
      </c>
      <c r="B948" s="4">
        <v>43398</v>
      </c>
      <c r="C948" s="5">
        <v>15</v>
      </c>
      <c r="D948" s="5" t="s">
        <v>33</v>
      </c>
      <c r="E948" s="5" t="s">
        <v>39</v>
      </c>
      <c r="F948" s="5" t="s">
        <v>16</v>
      </c>
      <c r="G948" s="5" t="s">
        <v>12</v>
      </c>
      <c r="H948" s="5">
        <v>6900</v>
      </c>
      <c r="I948" s="5">
        <v>4</v>
      </c>
      <c r="J948" s="9">
        <v>27600</v>
      </c>
    </row>
    <row r="949" spans="1:10" x14ac:dyDescent="0.3">
      <c r="A949" s="3" t="s">
        <v>1014</v>
      </c>
      <c r="B949" s="4">
        <v>43398</v>
      </c>
      <c r="C949" s="5">
        <v>9</v>
      </c>
      <c r="D949" s="5" t="s">
        <v>27</v>
      </c>
      <c r="E949" s="5" t="s">
        <v>44</v>
      </c>
      <c r="F949" s="5" t="s">
        <v>15</v>
      </c>
      <c r="G949" s="5" t="s">
        <v>11</v>
      </c>
      <c r="H949" s="5">
        <v>19900</v>
      </c>
      <c r="I949" s="5">
        <v>5</v>
      </c>
      <c r="J949" s="9">
        <v>99500</v>
      </c>
    </row>
    <row r="950" spans="1:10" x14ac:dyDescent="0.3">
      <c r="A950" s="3" t="s">
        <v>1015</v>
      </c>
      <c r="B950" s="4">
        <v>43399</v>
      </c>
      <c r="C950" s="5">
        <v>6</v>
      </c>
      <c r="D950" s="5" t="s">
        <v>24</v>
      </c>
      <c r="E950" s="5" t="s">
        <v>44</v>
      </c>
      <c r="F950" s="5" t="s">
        <v>15</v>
      </c>
      <c r="G950" s="5" t="s">
        <v>10</v>
      </c>
      <c r="H950" s="5">
        <v>39900</v>
      </c>
      <c r="I950" s="5">
        <v>5</v>
      </c>
      <c r="J950" s="9">
        <v>199500</v>
      </c>
    </row>
    <row r="951" spans="1:10" x14ac:dyDescent="0.3">
      <c r="A951" s="3" t="s">
        <v>1016</v>
      </c>
      <c r="B951" s="4">
        <v>43399</v>
      </c>
      <c r="C951" s="5">
        <v>20</v>
      </c>
      <c r="D951" s="5" t="s">
        <v>38</v>
      </c>
      <c r="E951" s="5" t="s">
        <v>42</v>
      </c>
      <c r="F951" s="5" t="s">
        <v>17</v>
      </c>
      <c r="G951" s="5" t="s">
        <v>12</v>
      </c>
      <c r="H951" s="5">
        <v>6900</v>
      </c>
      <c r="I951" s="5">
        <v>8</v>
      </c>
      <c r="J951" s="9">
        <v>55200</v>
      </c>
    </row>
    <row r="952" spans="1:10" x14ac:dyDescent="0.3">
      <c r="A952" s="3" t="s">
        <v>1017</v>
      </c>
      <c r="B952" s="4">
        <v>43400</v>
      </c>
      <c r="C952" s="5">
        <v>17</v>
      </c>
      <c r="D952" s="5" t="s">
        <v>35</v>
      </c>
      <c r="E952" s="5" t="s">
        <v>43</v>
      </c>
      <c r="F952" s="5" t="s">
        <v>17</v>
      </c>
      <c r="G952" s="5" t="s">
        <v>11</v>
      </c>
      <c r="H952" s="5">
        <v>19900</v>
      </c>
      <c r="I952" s="5">
        <v>1</v>
      </c>
      <c r="J952" s="9">
        <v>19900</v>
      </c>
    </row>
    <row r="953" spans="1:10" x14ac:dyDescent="0.3">
      <c r="A953" s="3" t="s">
        <v>1018</v>
      </c>
      <c r="B953" s="4">
        <v>43400</v>
      </c>
      <c r="C953" s="5">
        <v>6</v>
      </c>
      <c r="D953" s="5" t="s">
        <v>24</v>
      </c>
      <c r="E953" s="5" t="s">
        <v>44</v>
      </c>
      <c r="F953" s="5" t="s">
        <v>15</v>
      </c>
      <c r="G953" s="5" t="s">
        <v>10</v>
      </c>
      <c r="H953" s="5">
        <v>39900</v>
      </c>
      <c r="I953" s="5">
        <v>7</v>
      </c>
      <c r="J953" s="9">
        <v>279300</v>
      </c>
    </row>
    <row r="954" spans="1:10" x14ac:dyDescent="0.3">
      <c r="A954" s="3" t="s">
        <v>1019</v>
      </c>
      <c r="B954" s="4">
        <v>43400</v>
      </c>
      <c r="C954" s="5">
        <v>3</v>
      </c>
      <c r="D954" s="5" t="s">
        <v>21</v>
      </c>
      <c r="E954" s="5" t="s">
        <v>46</v>
      </c>
      <c r="F954" s="5" t="s">
        <v>18</v>
      </c>
      <c r="G954" s="5" t="s">
        <v>11</v>
      </c>
      <c r="H954" s="5">
        <v>19900</v>
      </c>
      <c r="I954" s="5">
        <v>1</v>
      </c>
      <c r="J954" s="9">
        <v>19900</v>
      </c>
    </row>
    <row r="955" spans="1:10" x14ac:dyDescent="0.3">
      <c r="A955" s="3" t="s">
        <v>1020</v>
      </c>
      <c r="B955" s="4">
        <v>43400</v>
      </c>
      <c r="C955" s="5">
        <v>4</v>
      </c>
      <c r="D955" s="5" t="s">
        <v>22</v>
      </c>
      <c r="E955" s="5" t="s">
        <v>40</v>
      </c>
      <c r="F955" s="5" t="s">
        <v>18</v>
      </c>
      <c r="G955" s="5" t="s">
        <v>11</v>
      </c>
      <c r="H955" s="5">
        <v>19900</v>
      </c>
      <c r="I955" s="5">
        <v>8</v>
      </c>
      <c r="J955" s="9">
        <v>159200</v>
      </c>
    </row>
    <row r="956" spans="1:10" x14ac:dyDescent="0.3">
      <c r="A956" s="3" t="s">
        <v>1021</v>
      </c>
      <c r="B956" s="4">
        <v>43401</v>
      </c>
      <c r="C956" s="5">
        <v>10</v>
      </c>
      <c r="D956" s="5" t="s">
        <v>28</v>
      </c>
      <c r="E956" s="5" t="s">
        <v>41</v>
      </c>
      <c r="F956" s="5" t="s">
        <v>15</v>
      </c>
      <c r="G956" s="5" t="s">
        <v>11</v>
      </c>
      <c r="H956" s="5">
        <v>19900</v>
      </c>
      <c r="I956" s="5">
        <v>0</v>
      </c>
      <c r="J956" s="9">
        <v>0</v>
      </c>
    </row>
    <row r="957" spans="1:10" x14ac:dyDescent="0.3">
      <c r="A957" s="3" t="s">
        <v>1022</v>
      </c>
      <c r="B957" s="4">
        <v>43402</v>
      </c>
      <c r="C957" s="5">
        <v>6</v>
      </c>
      <c r="D957" s="5" t="s">
        <v>24</v>
      </c>
      <c r="E957" s="5" t="s">
        <v>41</v>
      </c>
      <c r="F957" s="5" t="s">
        <v>15</v>
      </c>
      <c r="G957" s="5" t="s">
        <v>14</v>
      </c>
      <c r="H957" s="5">
        <v>15900</v>
      </c>
      <c r="I957" s="5">
        <v>4</v>
      </c>
      <c r="J957" s="9">
        <v>63600</v>
      </c>
    </row>
    <row r="958" spans="1:10" x14ac:dyDescent="0.3">
      <c r="A958" s="3" t="s">
        <v>1023</v>
      </c>
      <c r="B958" s="4">
        <v>43402</v>
      </c>
      <c r="C958" s="5">
        <v>17</v>
      </c>
      <c r="D958" s="5" t="s">
        <v>35</v>
      </c>
      <c r="E958" s="5" t="s">
        <v>43</v>
      </c>
      <c r="F958" s="5" t="s">
        <v>17</v>
      </c>
      <c r="G958" s="5" t="s">
        <v>13</v>
      </c>
      <c r="H958" s="5">
        <v>28900</v>
      </c>
      <c r="I958" s="5">
        <v>9</v>
      </c>
      <c r="J958" s="9">
        <v>260100</v>
      </c>
    </row>
    <row r="959" spans="1:10" x14ac:dyDescent="0.3">
      <c r="A959" s="3" t="s">
        <v>1024</v>
      </c>
      <c r="B959" s="4">
        <v>43402</v>
      </c>
      <c r="C959" s="5">
        <v>9</v>
      </c>
      <c r="D959" s="5" t="s">
        <v>27</v>
      </c>
      <c r="E959" s="5" t="s">
        <v>41</v>
      </c>
      <c r="F959" s="5" t="s">
        <v>15</v>
      </c>
      <c r="G959" s="5" t="s">
        <v>10</v>
      </c>
      <c r="H959" s="5">
        <v>39900</v>
      </c>
      <c r="I959" s="5">
        <v>2</v>
      </c>
      <c r="J959" s="9">
        <v>79800</v>
      </c>
    </row>
    <row r="960" spans="1:10" x14ac:dyDescent="0.3">
      <c r="A960" s="3" t="s">
        <v>1025</v>
      </c>
      <c r="B960" s="4">
        <v>43402</v>
      </c>
      <c r="C960" s="5">
        <v>2</v>
      </c>
      <c r="D960" s="5" t="s">
        <v>20</v>
      </c>
      <c r="E960" s="5" t="s">
        <v>40</v>
      </c>
      <c r="F960" s="5" t="s">
        <v>18</v>
      </c>
      <c r="G960" s="5" t="s">
        <v>12</v>
      </c>
      <c r="H960" s="5">
        <v>6900</v>
      </c>
      <c r="I960" s="5">
        <v>6</v>
      </c>
      <c r="J960" s="9">
        <v>41400</v>
      </c>
    </row>
    <row r="961" spans="1:10" x14ac:dyDescent="0.3">
      <c r="A961" s="3" t="s">
        <v>1026</v>
      </c>
      <c r="B961" s="4">
        <v>43402</v>
      </c>
      <c r="C961" s="5">
        <v>9</v>
      </c>
      <c r="D961" s="5" t="s">
        <v>27</v>
      </c>
      <c r="E961" s="5" t="s">
        <v>41</v>
      </c>
      <c r="F961" s="5" t="s">
        <v>15</v>
      </c>
      <c r="G961" s="5" t="s">
        <v>12</v>
      </c>
      <c r="H961" s="5">
        <v>6900</v>
      </c>
      <c r="I961" s="5">
        <v>6</v>
      </c>
      <c r="J961" s="9">
        <v>41400</v>
      </c>
    </row>
    <row r="962" spans="1:10" x14ac:dyDescent="0.3">
      <c r="A962" s="3" t="s">
        <v>1027</v>
      </c>
      <c r="B962" s="4">
        <v>43402</v>
      </c>
      <c r="C962" s="5">
        <v>18</v>
      </c>
      <c r="D962" s="5" t="s">
        <v>36</v>
      </c>
      <c r="E962" s="5" t="s">
        <v>43</v>
      </c>
      <c r="F962" s="5" t="s">
        <v>17</v>
      </c>
      <c r="G962" s="5" t="s">
        <v>12</v>
      </c>
      <c r="H962" s="5">
        <v>6900</v>
      </c>
      <c r="I962" s="5">
        <v>3</v>
      </c>
      <c r="J962" s="9">
        <v>20700</v>
      </c>
    </row>
    <row r="963" spans="1:10" x14ac:dyDescent="0.3">
      <c r="A963" s="3" t="s">
        <v>1028</v>
      </c>
      <c r="B963" s="4">
        <v>43402</v>
      </c>
      <c r="C963" s="5">
        <v>9</v>
      </c>
      <c r="D963" s="5" t="s">
        <v>27</v>
      </c>
      <c r="E963" s="5" t="s">
        <v>41</v>
      </c>
      <c r="F963" s="5" t="s">
        <v>15</v>
      </c>
      <c r="G963" s="5" t="s">
        <v>12</v>
      </c>
      <c r="H963" s="5">
        <v>6900</v>
      </c>
      <c r="I963" s="5">
        <v>2</v>
      </c>
      <c r="J963" s="9">
        <v>13800</v>
      </c>
    </row>
    <row r="964" spans="1:10" x14ac:dyDescent="0.3">
      <c r="A964" s="3" t="s">
        <v>1029</v>
      </c>
      <c r="B964" s="4">
        <v>43402</v>
      </c>
      <c r="C964" s="5">
        <v>14</v>
      </c>
      <c r="D964" s="5" t="s">
        <v>32</v>
      </c>
      <c r="E964" s="5" t="s">
        <v>39</v>
      </c>
      <c r="F964" s="5" t="s">
        <v>16</v>
      </c>
      <c r="G964" s="5" t="s">
        <v>14</v>
      </c>
      <c r="H964" s="5">
        <v>15900</v>
      </c>
      <c r="I964" s="5">
        <v>1</v>
      </c>
      <c r="J964" s="9">
        <v>15900</v>
      </c>
    </row>
    <row r="965" spans="1:10" x14ac:dyDescent="0.3">
      <c r="A965" s="3" t="s">
        <v>1030</v>
      </c>
      <c r="B965" s="4">
        <v>43402</v>
      </c>
      <c r="C965" s="5">
        <v>7</v>
      </c>
      <c r="D965" s="5" t="s">
        <v>25</v>
      </c>
      <c r="E965" s="5" t="s">
        <v>41</v>
      </c>
      <c r="F965" s="5" t="s">
        <v>15</v>
      </c>
      <c r="G965" s="5" t="s">
        <v>10</v>
      </c>
      <c r="H965" s="5">
        <v>39900</v>
      </c>
      <c r="I965" s="5">
        <v>2</v>
      </c>
      <c r="J965" s="9">
        <v>79800</v>
      </c>
    </row>
    <row r="966" spans="1:10" x14ac:dyDescent="0.3">
      <c r="A966" s="3" t="s">
        <v>1031</v>
      </c>
      <c r="B966" s="4">
        <v>43402</v>
      </c>
      <c r="C966" s="5">
        <v>2</v>
      </c>
      <c r="D966" s="5" t="s">
        <v>20</v>
      </c>
      <c r="E966" s="5" t="s">
        <v>46</v>
      </c>
      <c r="F966" s="5" t="s">
        <v>18</v>
      </c>
      <c r="G966" s="5" t="s">
        <v>11</v>
      </c>
      <c r="H966" s="5">
        <v>19900</v>
      </c>
      <c r="I966" s="5">
        <v>7</v>
      </c>
      <c r="J966" s="9">
        <v>139300</v>
      </c>
    </row>
    <row r="967" spans="1:10" x14ac:dyDescent="0.3">
      <c r="A967" s="3" t="s">
        <v>1032</v>
      </c>
      <c r="B967" s="4">
        <v>43402</v>
      </c>
      <c r="C967" s="5">
        <v>18</v>
      </c>
      <c r="D967" s="5" t="s">
        <v>36</v>
      </c>
      <c r="E967" s="5" t="s">
        <v>43</v>
      </c>
      <c r="F967" s="5" t="s">
        <v>17</v>
      </c>
      <c r="G967" s="5" t="s">
        <v>14</v>
      </c>
      <c r="H967" s="5">
        <v>15900</v>
      </c>
      <c r="I967" s="5">
        <v>7</v>
      </c>
      <c r="J967" s="9">
        <v>111300</v>
      </c>
    </row>
    <row r="968" spans="1:10" x14ac:dyDescent="0.3">
      <c r="A968" s="3" t="s">
        <v>1033</v>
      </c>
      <c r="B968" s="4">
        <v>43403</v>
      </c>
      <c r="C968" s="5">
        <v>14</v>
      </c>
      <c r="D968" s="5" t="s">
        <v>32</v>
      </c>
      <c r="E968" s="5" t="s">
        <v>45</v>
      </c>
      <c r="F968" s="5" t="s">
        <v>16</v>
      </c>
      <c r="G968" s="5" t="s">
        <v>10</v>
      </c>
      <c r="H968" s="5">
        <v>39900</v>
      </c>
      <c r="I968" s="5">
        <v>1</v>
      </c>
      <c r="J968" s="9">
        <v>39900</v>
      </c>
    </row>
    <row r="969" spans="1:10" x14ac:dyDescent="0.3">
      <c r="A969" s="3" t="s">
        <v>1034</v>
      </c>
      <c r="B969" s="4">
        <v>43403</v>
      </c>
      <c r="C969" s="5">
        <v>19</v>
      </c>
      <c r="D969" s="5" t="s">
        <v>37</v>
      </c>
      <c r="E969" s="5" t="s">
        <v>42</v>
      </c>
      <c r="F969" s="5" t="s">
        <v>17</v>
      </c>
      <c r="G969" s="5" t="s">
        <v>12</v>
      </c>
      <c r="H969" s="5">
        <v>6900</v>
      </c>
      <c r="I969" s="5">
        <v>3</v>
      </c>
      <c r="J969" s="9">
        <v>20700</v>
      </c>
    </row>
    <row r="970" spans="1:10" x14ac:dyDescent="0.3">
      <c r="A970" s="3" t="s">
        <v>1035</v>
      </c>
      <c r="B970" s="4">
        <v>43403</v>
      </c>
      <c r="C970" s="5">
        <v>7</v>
      </c>
      <c r="D970" s="5" t="s">
        <v>25</v>
      </c>
      <c r="E970" s="5" t="s">
        <v>44</v>
      </c>
      <c r="F970" s="5" t="s">
        <v>15</v>
      </c>
      <c r="G970" s="5" t="s">
        <v>14</v>
      </c>
      <c r="H970" s="5">
        <v>15900</v>
      </c>
      <c r="I970" s="5">
        <v>1</v>
      </c>
      <c r="J970" s="9">
        <v>15900</v>
      </c>
    </row>
    <row r="971" spans="1:10" x14ac:dyDescent="0.3">
      <c r="A971" s="3" t="s">
        <v>1036</v>
      </c>
      <c r="B971" s="4">
        <v>43404</v>
      </c>
      <c r="C971" s="5">
        <v>7</v>
      </c>
      <c r="D971" s="5" t="s">
        <v>25</v>
      </c>
      <c r="E971" s="5" t="s">
        <v>44</v>
      </c>
      <c r="F971" s="5" t="s">
        <v>15</v>
      </c>
      <c r="G971" s="5" t="s">
        <v>10</v>
      </c>
      <c r="H971" s="5">
        <v>39900</v>
      </c>
      <c r="I971" s="5">
        <v>0</v>
      </c>
      <c r="J971" s="9">
        <v>0</v>
      </c>
    </row>
    <row r="972" spans="1:10" x14ac:dyDescent="0.3">
      <c r="A972" s="3" t="s">
        <v>1037</v>
      </c>
      <c r="B972" s="4">
        <v>43405</v>
      </c>
      <c r="C972" s="5">
        <v>14</v>
      </c>
      <c r="D972" s="5" t="s">
        <v>32</v>
      </c>
      <c r="E972" s="5" t="s">
        <v>45</v>
      </c>
      <c r="F972" s="5" t="s">
        <v>16</v>
      </c>
      <c r="G972" s="5" t="s">
        <v>11</v>
      </c>
      <c r="H972" s="5">
        <v>19900</v>
      </c>
      <c r="I972" s="5">
        <v>0</v>
      </c>
      <c r="J972" s="9">
        <v>0</v>
      </c>
    </row>
    <row r="973" spans="1:10" x14ac:dyDescent="0.3">
      <c r="A973" s="3" t="s">
        <v>1038</v>
      </c>
      <c r="B973" s="4">
        <v>43406</v>
      </c>
      <c r="C973" s="5">
        <v>19</v>
      </c>
      <c r="D973" s="5" t="s">
        <v>37</v>
      </c>
      <c r="E973" s="5" t="s">
        <v>42</v>
      </c>
      <c r="F973" s="5" t="s">
        <v>17</v>
      </c>
      <c r="G973" s="5" t="s">
        <v>14</v>
      </c>
      <c r="H973" s="5">
        <v>15900</v>
      </c>
      <c r="I973" s="5">
        <v>4</v>
      </c>
      <c r="J973" s="9">
        <v>63600</v>
      </c>
    </row>
    <row r="974" spans="1:10" x14ac:dyDescent="0.3">
      <c r="A974" s="3" t="s">
        <v>1039</v>
      </c>
      <c r="B974" s="4">
        <v>43407</v>
      </c>
      <c r="C974" s="5">
        <v>13</v>
      </c>
      <c r="D974" s="5" t="s">
        <v>31</v>
      </c>
      <c r="E974" s="5" t="s">
        <v>39</v>
      </c>
      <c r="F974" s="5" t="s">
        <v>16</v>
      </c>
      <c r="G974" s="5" t="s">
        <v>10</v>
      </c>
      <c r="H974" s="5">
        <v>39900</v>
      </c>
      <c r="I974" s="5">
        <v>0</v>
      </c>
      <c r="J974" s="9">
        <v>0</v>
      </c>
    </row>
    <row r="975" spans="1:10" x14ac:dyDescent="0.3">
      <c r="A975" s="3" t="s">
        <v>1040</v>
      </c>
      <c r="B975" s="4">
        <v>43408</v>
      </c>
      <c r="C975" s="5">
        <v>1</v>
      </c>
      <c r="D975" s="5" t="s">
        <v>19</v>
      </c>
      <c r="E975" s="5" t="s">
        <v>40</v>
      </c>
      <c r="F975" s="5" t="s">
        <v>18</v>
      </c>
      <c r="G975" s="5" t="s">
        <v>12</v>
      </c>
      <c r="H975" s="5">
        <v>6900</v>
      </c>
      <c r="I975" s="5">
        <v>7</v>
      </c>
      <c r="J975" s="9">
        <v>48300</v>
      </c>
    </row>
    <row r="976" spans="1:10" x14ac:dyDescent="0.3">
      <c r="A976" s="3" t="s">
        <v>1041</v>
      </c>
      <c r="B976" s="4">
        <v>43408</v>
      </c>
      <c r="C976" s="5">
        <v>13</v>
      </c>
      <c r="D976" s="5" t="s">
        <v>31</v>
      </c>
      <c r="E976" s="5" t="s">
        <v>45</v>
      </c>
      <c r="F976" s="5" t="s">
        <v>16</v>
      </c>
      <c r="G976" s="5" t="s">
        <v>14</v>
      </c>
      <c r="H976" s="5">
        <v>15900</v>
      </c>
      <c r="I976" s="5">
        <v>2</v>
      </c>
      <c r="J976" s="9">
        <v>31800</v>
      </c>
    </row>
    <row r="977" spans="1:10" x14ac:dyDescent="0.3">
      <c r="A977" s="3" t="s">
        <v>1042</v>
      </c>
      <c r="B977" s="4">
        <v>43408</v>
      </c>
      <c r="C977" s="5">
        <v>2</v>
      </c>
      <c r="D977" s="5" t="s">
        <v>20</v>
      </c>
      <c r="E977" s="5" t="s">
        <v>46</v>
      </c>
      <c r="F977" s="5" t="s">
        <v>18</v>
      </c>
      <c r="G977" s="5" t="s">
        <v>12</v>
      </c>
      <c r="H977" s="5">
        <v>6900</v>
      </c>
      <c r="I977" s="5">
        <v>1</v>
      </c>
      <c r="J977" s="9">
        <v>6900</v>
      </c>
    </row>
    <row r="978" spans="1:10" x14ac:dyDescent="0.3">
      <c r="A978" s="3" t="s">
        <v>1043</v>
      </c>
      <c r="B978" s="4">
        <v>43409</v>
      </c>
      <c r="C978" s="5">
        <v>5</v>
      </c>
      <c r="D978" s="5" t="s">
        <v>23</v>
      </c>
      <c r="E978" s="5" t="s">
        <v>46</v>
      </c>
      <c r="F978" s="5" t="s">
        <v>18</v>
      </c>
      <c r="G978" s="5" t="s">
        <v>11</v>
      </c>
      <c r="H978" s="5">
        <v>19900</v>
      </c>
      <c r="I978" s="5">
        <v>9</v>
      </c>
      <c r="J978" s="9">
        <v>179100</v>
      </c>
    </row>
    <row r="979" spans="1:10" x14ac:dyDescent="0.3">
      <c r="A979" s="3" t="s">
        <v>1044</v>
      </c>
      <c r="B979" s="4">
        <v>43410</v>
      </c>
      <c r="C979" s="5">
        <v>20</v>
      </c>
      <c r="D979" s="5" t="s">
        <v>38</v>
      </c>
      <c r="E979" s="5" t="s">
        <v>42</v>
      </c>
      <c r="F979" s="5" t="s">
        <v>17</v>
      </c>
      <c r="G979" s="5" t="s">
        <v>14</v>
      </c>
      <c r="H979" s="5">
        <v>15900</v>
      </c>
      <c r="I979" s="5">
        <v>0</v>
      </c>
      <c r="J979" s="9">
        <v>0</v>
      </c>
    </row>
    <row r="980" spans="1:10" x14ac:dyDescent="0.3">
      <c r="A980" s="3" t="s">
        <v>1045</v>
      </c>
      <c r="B980" s="4">
        <v>43411</v>
      </c>
      <c r="C980" s="5">
        <v>16</v>
      </c>
      <c r="D980" s="5" t="s">
        <v>34</v>
      </c>
      <c r="E980" s="5" t="s">
        <v>42</v>
      </c>
      <c r="F980" s="5" t="s">
        <v>17</v>
      </c>
      <c r="G980" s="5" t="s">
        <v>12</v>
      </c>
      <c r="H980" s="5">
        <v>6900</v>
      </c>
      <c r="I980" s="5">
        <v>9</v>
      </c>
      <c r="J980" s="9">
        <v>62100</v>
      </c>
    </row>
    <row r="981" spans="1:10" x14ac:dyDescent="0.3">
      <c r="A981" s="3" t="s">
        <v>1046</v>
      </c>
      <c r="B981" s="4">
        <v>43411</v>
      </c>
      <c r="C981" s="5">
        <v>9</v>
      </c>
      <c r="D981" s="5" t="s">
        <v>27</v>
      </c>
      <c r="E981" s="5" t="s">
        <v>44</v>
      </c>
      <c r="F981" s="5" t="s">
        <v>15</v>
      </c>
      <c r="G981" s="5" t="s">
        <v>13</v>
      </c>
      <c r="H981" s="5">
        <v>28900</v>
      </c>
      <c r="I981" s="5">
        <v>9</v>
      </c>
      <c r="J981" s="9">
        <v>260100</v>
      </c>
    </row>
    <row r="982" spans="1:10" x14ac:dyDescent="0.3">
      <c r="A982" s="3" t="s">
        <v>1047</v>
      </c>
      <c r="B982" s="4">
        <v>43411</v>
      </c>
      <c r="C982" s="5">
        <v>2</v>
      </c>
      <c r="D982" s="5" t="s">
        <v>20</v>
      </c>
      <c r="E982" s="5" t="s">
        <v>40</v>
      </c>
      <c r="F982" s="5" t="s">
        <v>18</v>
      </c>
      <c r="G982" s="5" t="s">
        <v>10</v>
      </c>
      <c r="H982" s="5">
        <v>39900</v>
      </c>
      <c r="I982" s="5">
        <v>4</v>
      </c>
      <c r="J982" s="9">
        <v>159600</v>
      </c>
    </row>
    <row r="983" spans="1:10" x14ac:dyDescent="0.3">
      <c r="A983" s="3" t="s">
        <v>1048</v>
      </c>
      <c r="B983" s="4">
        <v>43412</v>
      </c>
      <c r="C983" s="5">
        <v>8</v>
      </c>
      <c r="D983" s="5" t="s">
        <v>26</v>
      </c>
      <c r="E983" s="5" t="s">
        <v>44</v>
      </c>
      <c r="F983" s="5" t="s">
        <v>15</v>
      </c>
      <c r="G983" s="5" t="s">
        <v>11</v>
      </c>
      <c r="H983" s="5">
        <v>19900</v>
      </c>
      <c r="I983" s="5">
        <v>1</v>
      </c>
      <c r="J983" s="9">
        <v>19900</v>
      </c>
    </row>
    <row r="984" spans="1:10" x14ac:dyDescent="0.3">
      <c r="A984" s="3" t="s">
        <v>1049</v>
      </c>
      <c r="B984" s="4">
        <v>43412</v>
      </c>
      <c r="C984" s="5">
        <v>18</v>
      </c>
      <c r="D984" s="5" t="s">
        <v>36</v>
      </c>
      <c r="E984" s="5" t="s">
        <v>43</v>
      </c>
      <c r="F984" s="5" t="s">
        <v>17</v>
      </c>
      <c r="G984" s="5" t="s">
        <v>10</v>
      </c>
      <c r="H984" s="5">
        <v>39900</v>
      </c>
      <c r="I984" s="5">
        <v>9</v>
      </c>
      <c r="J984" s="9">
        <v>359100</v>
      </c>
    </row>
    <row r="985" spans="1:10" x14ac:dyDescent="0.3">
      <c r="A985" s="3" t="s">
        <v>1050</v>
      </c>
      <c r="B985" s="4">
        <v>43412</v>
      </c>
      <c r="C985" s="5">
        <v>12</v>
      </c>
      <c r="D985" s="5" t="s">
        <v>30</v>
      </c>
      <c r="E985" s="5" t="s">
        <v>39</v>
      </c>
      <c r="F985" s="5" t="s">
        <v>16</v>
      </c>
      <c r="G985" s="5" t="s">
        <v>12</v>
      </c>
      <c r="H985" s="5">
        <v>6900</v>
      </c>
      <c r="I985" s="5">
        <v>0</v>
      </c>
      <c r="J985" s="9">
        <v>0</v>
      </c>
    </row>
    <row r="986" spans="1:10" x14ac:dyDescent="0.3">
      <c r="A986" s="3" t="s">
        <v>1051</v>
      </c>
      <c r="B986" s="4">
        <v>43412</v>
      </c>
      <c r="C986" s="5">
        <v>10</v>
      </c>
      <c r="D986" s="5" t="s">
        <v>28</v>
      </c>
      <c r="E986" s="5" t="s">
        <v>41</v>
      </c>
      <c r="F986" s="5" t="s">
        <v>15</v>
      </c>
      <c r="G986" s="5" t="s">
        <v>14</v>
      </c>
      <c r="H986" s="5">
        <v>15900</v>
      </c>
      <c r="I986" s="5">
        <v>9</v>
      </c>
      <c r="J986" s="9">
        <v>143100</v>
      </c>
    </row>
    <row r="987" spans="1:10" x14ac:dyDescent="0.3">
      <c r="A987" s="3" t="s">
        <v>1052</v>
      </c>
      <c r="B987" s="4">
        <v>43412</v>
      </c>
      <c r="C987" s="5">
        <v>9</v>
      </c>
      <c r="D987" s="5" t="s">
        <v>27</v>
      </c>
      <c r="E987" s="5" t="s">
        <v>44</v>
      </c>
      <c r="F987" s="5" t="s">
        <v>15</v>
      </c>
      <c r="G987" s="5" t="s">
        <v>14</v>
      </c>
      <c r="H987" s="5">
        <v>15900</v>
      </c>
      <c r="I987" s="5">
        <v>7</v>
      </c>
      <c r="J987" s="9">
        <v>111300</v>
      </c>
    </row>
    <row r="988" spans="1:10" x14ac:dyDescent="0.3">
      <c r="A988" s="3" t="s">
        <v>1053</v>
      </c>
      <c r="B988" s="4">
        <v>43413</v>
      </c>
      <c r="C988" s="5">
        <v>8</v>
      </c>
      <c r="D988" s="5" t="s">
        <v>26</v>
      </c>
      <c r="E988" s="5" t="s">
        <v>41</v>
      </c>
      <c r="F988" s="5" t="s">
        <v>15</v>
      </c>
      <c r="G988" s="5" t="s">
        <v>11</v>
      </c>
      <c r="H988" s="5">
        <v>19900</v>
      </c>
      <c r="I988" s="5">
        <v>7</v>
      </c>
      <c r="J988" s="9">
        <v>139300</v>
      </c>
    </row>
    <row r="989" spans="1:10" x14ac:dyDescent="0.3">
      <c r="A989" s="3" t="s">
        <v>1054</v>
      </c>
      <c r="B989" s="4">
        <v>43413</v>
      </c>
      <c r="C989" s="5">
        <v>17</v>
      </c>
      <c r="D989" s="5" t="s">
        <v>35</v>
      </c>
      <c r="E989" s="5" t="s">
        <v>42</v>
      </c>
      <c r="F989" s="5" t="s">
        <v>17</v>
      </c>
      <c r="G989" s="5" t="s">
        <v>11</v>
      </c>
      <c r="H989" s="5">
        <v>19900</v>
      </c>
      <c r="I989" s="5">
        <v>2</v>
      </c>
      <c r="J989" s="9">
        <v>39800</v>
      </c>
    </row>
    <row r="990" spans="1:10" x14ac:dyDescent="0.3">
      <c r="A990" s="3" t="s">
        <v>1055</v>
      </c>
      <c r="B990" s="4">
        <v>43413</v>
      </c>
      <c r="C990" s="5">
        <v>4</v>
      </c>
      <c r="D990" s="5" t="s">
        <v>22</v>
      </c>
      <c r="E990" s="5" t="s">
        <v>40</v>
      </c>
      <c r="F990" s="5" t="s">
        <v>18</v>
      </c>
      <c r="G990" s="5" t="s">
        <v>14</v>
      </c>
      <c r="H990" s="5">
        <v>15900</v>
      </c>
      <c r="I990" s="5">
        <v>9</v>
      </c>
      <c r="J990" s="9">
        <v>143100</v>
      </c>
    </row>
    <row r="991" spans="1:10" x14ac:dyDescent="0.3">
      <c r="A991" s="3" t="s">
        <v>1056</v>
      </c>
      <c r="B991" s="4">
        <v>43413</v>
      </c>
      <c r="C991" s="5">
        <v>16</v>
      </c>
      <c r="D991" s="5" t="s">
        <v>34</v>
      </c>
      <c r="E991" s="5" t="s">
        <v>43</v>
      </c>
      <c r="F991" s="5" t="s">
        <v>17</v>
      </c>
      <c r="G991" s="5" t="s">
        <v>13</v>
      </c>
      <c r="H991" s="5">
        <v>28900</v>
      </c>
      <c r="I991" s="5">
        <v>4</v>
      </c>
      <c r="J991" s="9">
        <v>115600</v>
      </c>
    </row>
    <row r="992" spans="1:10" x14ac:dyDescent="0.3">
      <c r="A992" s="3" t="s">
        <v>1057</v>
      </c>
      <c r="B992" s="4">
        <v>43413</v>
      </c>
      <c r="C992" s="5">
        <v>18</v>
      </c>
      <c r="D992" s="5" t="s">
        <v>36</v>
      </c>
      <c r="E992" s="5" t="s">
        <v>42</v>
      </c>
      <c r="F992" s="5" t="s">
        <v>17</v>
      </c>
      <c r="G992" s="5" t="s">
        <v>10</v>
      </c>
      <c r="H992" s="5">
        <v>39900</v>
      </c>
      <c r="I992" s="5">
        <v>9</v>
      </c>
      <c r="J992" s="9">
        <v>359100</v>
      </c>
    </row>
    <row r="993" spans="1:10" x14ac:dyDescent="0.3">
      <c r="A993" s="3" t="s">
        <v>1058</v>
      </c>
      <c r="B993" s="4">
        <v>43414</v>
      </c>
      <c r="C993" s="5">
        <v>19</v>
      </c>
      <c r="D993" s="5" t="s">
        <v>37</v>
      </c>
      <c r="E993" s="5" t="s">
        <v>43</v>
      </c>
      <c r="F993" s="5" t="s">
        <v>17</v>
      </c>
      <c r="G993" s="5" t="s">
        <v>11</v>
      </c>
      <c r="H993" s="5">
        <v>19900</v>
      </c>
      <c r="I993" s="5">
        <v>8</v>
      </c>
      <c r="J993" s="9">
        <v>159200</v>
      </c>
    </row>
    <row r="994" spans="1:10" x14ac:dyDescent="0.3">
      <c r="A994" s="3" t="s">
        <v>1059</v>
      </c>
      <c r="B994" s="4">
        <v>43414</v>
      </c>
      <c r="C994" s="5">
        <v>10</v>
      </c>
      <c r="D994" s="5" t="s">
        <v>28</v>
      </c>
      <c r="E994" s="5" t="s">
        <v>44</v>
      </c>
      <c r="F994" s="5" t="s">
        <v>15</v>
      </c>
      <c r="G994" s="5" t="s">
        <v>10</v>
      </c>
      <c r="H994" s="5">
        <v>39900</v>
      </c>
      <c r="I994" s="5">
        <v>6</v>
      </c>
      <c r="J994" s="9">
        <v>239400</v>
      </c>
    </row>
    <row r="995" spans="1:10" x14ac:dyDescent="0.3">
      <c r="A995" s="3" t="s">
        <v>1060</v>
      </c>
      <c r="B995" s="4">
        <v>43414</v>
      </c>
      <c r="C995" s="5">
        <v>5</v>
      </c>
      <c r="D995" s="5" t="s">
        <v>23</v>
      </c>
      <c r="E995" s="5" t="s">
        <v>40</v>
      </c>
      <c r="F995" s="5" t="s">
        <v>18</v>
      </c>
      <c r="G995" s="5" t="s">
        <v>14</v>
      </c>
      <c r="H995" s="5">
        <v>15900</v>
      </c>
      <c r="I995" s="5">
        <v>4</v>
      </c>
      <c r="J995" s="9">
        <v>63600</v>
      </c>
    </row>
    <row r="996" spans="1:10" x14ac:dyDescent="0.3">
      <c r="A996" s="3" t="s">
        <v>1061</v>
      </c>
      <c r="B996" s="4">
        <v>43415</v>
      </c>
      <c r="C996" s="5">
        <v>10</v>
      </c>
      <c r="D996" s="5" t="s">
        <v>28</v>
      </c>
      <c r="E996" s="5" t="s">
        <v>41</v>
      </c>
      <c r="F996" s="5" t="s">
        <v>15</v>
      </c>
      <c r="G996" s="5" t="s">
        <v>12</v>
      </c>
      <c r="H996" s="5">
        <v>6900</v>
      </c>
      <c r="I996" s="5">
        <v>1</v>
      </c>
      <c r="J996" s="9">
        <v>6900</v>
      </c>
    </row>
    <row r="997" spans="1:10" x14ac:dyDescent="0.3">
      <c r="A997" s="3" t="s">
        <v>1062</v>
      </c>
      <c r="B997" s="4">
        <v>43415</v>
      </c>
      <c r="C997" s="5">
        <v>7</v>
      </c>
      <c r="D997" s="5" t="s">
        <v>25</v>
      </c>
      <c r="E997" s="5" t="s">
        <v>41</v>
      </c>
      <c r="F997" s="5" t="s">
        <v>15</v>
      </c>
      <c r="G997" s="5" t="s">
        <v>11</v>
      </c>
      <c r="H997" s="5">
        <v>19900</v>
      </c>
      <c r="I997" s="5">
        <v>0</v>
      </c>
      <c r="J997" s="9">
        <v>0</v>
      </c>
    </row>
    <row r="998" spans="1:10" x14ac:dyDescent="0.3">
      <c r="A998" s="3" t="s">
        <v>1063</v>
      </c>
      <c r="B998" s="4">
        <v>43415</v>
      </c>
      <c r="C998" s="5">
        <v>13</v>
      </c>
      <c r="D998" s="5" t="s">
        <v>31</v>
      </c>
      <c r="E998" s="5" t="s">
        <v>45</v>
      </c>
      <c r="F998" s="5" t="s">
        <v>16</v>
      </c>
      <c r="G998" s="5" t="s">
        <v>11</v>
      </c>
      <c r="H998" s="5">
        <v>19900</v>
      </c>
      <c r="I998" s="5">
        <v>9</v>
      </c>
      <c r="J998" s="9">
        <v>179100</v>
      </c>
    </row>
    <row r="999" spans="1:10" x14ac:dyDescent="0.3">
      <c r="A999" s="3" t="s">
        <v>1064</v>
      </c>
      <c r="B999" s="4">
        <v>43416</v>
      </c>
      <c r="C999" s="5">
        <v>14</v>
      </c>
      <c r="D999" s="5" t="s">
        <v>32</v>
      </c>
      <c r="E999" s="5" t="s">
        <v>45</v>
      </c>
      <c r="F999" s="5" t="s">
        <v>16</v>
      </c>
      <c r="G999" s="5" t="s">
        <v>11</v>
      </c>
      <c r="H999" s="5">
        <v>19900</v>
      </c>
      <c r="I999" s="5">
        <v>5</v>
      </c>
      <c r="J999" s="9">
        <v>99500</v>
      </c>
    </row>
    <row r="1000" spans="1:10" x14ac:dyDescent="0.3">
      <c r="A1000" s="3" t="s">
        <v>1065</v>
      </c>
      <c r="B1000" s="4">
        <v>43417</v>
      </c>
      <c r="C1000" s="5">
        <v>2</v>
      </c>
      <c r="D1000" s="5" t="s">
        <v>20</v>
      </c>
      <c r="E1000" s="5" t="s">
        <v>40</v>
      </c>
      <c r="F1000" s="5" t="s">
        <v>18</v>
      </c>
      <c r="G1000" s="5" t="s">
        <v>11</v>
      </c>
      <c r="H1000" s="5">
        <v>19900</v>
      </c>
      <c r="I1000" s="5">
        <v>3</v>
      </c>
      <c r="J1000" s="9">
        <v>59700</v>
      </c>
    </row>
    <row r="1001" spans="1:10" x14ac:dyDescent="0.3">
      <c r="A1001" s="3" t="s">
        <v>1066</v>
      </c>
      <c r="B1001" s="4">
        <v>43418</v>
      </c>
      <c r="C1001" s="5">
        <v>1</v>
      </c>
      <c r="D1001" s="5" t="s">
        <v>19</v>
      </c>
      <c r="E1001" s="5" t="s">
        <v>46</v>
      </c>
      <c r="F1001" s="5" t="s">
        <v>18</v>
      </c>
      <c r="G1001" s="5" t="s">
        <v>11</v>
      </c>
      <c r="H1001" s="5">
        <v>19900</v>
      </c>
      <c r="I1001" s="5">
        <v>7</v>
      </c>
      <c r="J1001" s="9">
        <v>139300</v>
      </c>
    </row>
    <row r="1002" spans="1:10" x14ac:dyDescent="0.3">
      <c r="A1002" s="3" t="s">
        <v>1067</v>
      </c>
      <c r="B1002" s="4">
        <v>43419</v>
      </c>
      <c r="C1002" s="5">
        <v>15</v>
      </c>
      <c r="D1002" s="5" t="s">
        <v>33</v>
      </c>
      <c r="E1002" s="5" t="s">
        <v>39</v>
      </c>
      <c r="F1002" s="5" t="s">
        <v>16</v>
      </c>
      <c r="G1002" s="5" t="s">
        <v>13</v>
      </c>
      <c r="H1002" s="5">
        <v>28900</v>
      </c>
      <c r="I1002" s="5">
        <v>7</v>
      </c>
      <c r="J1002" s="9">
        <v>202300</v>
      </c>
    </row>
    <row r="1003" spans="1:10" x14ac:dyDescent="0.3">
      <c r="A1003" s="3" t="s">
        <v>1068</v>
      </c>
      <c r="B1003" s="4">
        <v>43419</v>
      </c>
      <c r="C1003" s="5">
        <v>2</v>
      </c>
      <c r="D1003" s="5" t="s">
        <v>20</v>
      </c>
      <c r="E1003" s="5" t="s">
        <v>46</v>
      </c>
      <c r="F1003" s="5" t="s">
        <v>18</v>
      </c>
      <c r="G1003" s="5" t="s">
        <v>11</v>
      </c>
      <c r="H1003" s="5">
        <v>19900</v>
      </c>
      <c r="I1003" s="5">
        <v>2</v>
      </c>
      <c r="J1003" s="9">
        <v>39800</v>
      </c>
    </row>
    <row r="1004" spans="1:10" x14ac:dyDescent="0.3">
      <c r="A1004" s="3" t="s">
        <v>1069</v>
      </c>
      <c r="B1004" s="4">
        <v>43419</v>
      </c>
      <c r="C1004" s="5">
        <v>10</v>
      </c>
      <c r="D1004" s="5" t="s">
        <v>28</v>
      </c>
      <c r="E1004" s="5" t="s">
        <v>44</v>
      </c>
      <c r="F1004" s="5" t="s">
        <v>15</v>
      </c>
      <c r="G1004" s="5" t="s">
        <v>14</v>
      </c>
      <c r="H1004" s="5">
        <v>15900</v>
      </c>
      <c r="I1004" s="5">
        <v>4</v>
      </c>
      <c r="J1004" s="9">
        <v>63600</v>
      </c>
    </row>
    <row r="1005" spans="1:10" x14ac:dyDescent="0.3">
      <c r="A1005" s="3" t="s">
        <v>1070</v>
      </c>
      <c r="B1005" s="4">
        <v>43419</v>
      </c>
      <c r="C1005" s="5">
        <v>17</v>
      </c>
      <c r="D1005" s="5" t="s">
        <v>35</v>
      </c>
      <c r="E1005" s="5" t="s">
        <v>42</v>
      </c>
      <c r="F1005" s="5" t="s">
        <v>17</v>
      </c>
      <c r="G1005" s="5" t="s">
        <v>11</v>
      </c>
      <c r="H1005" s="5">
        <v>19900</v>
      </c>
      <c r="I1005" s="5">
        <v>9</v>
      </c>
      <c r="J1005" s="9">
        <v>179100</v>
      </c>
    </row>
    <row r="1006" spans="1:10" x14ac:dyDescent="0.3">
      <c r="A1006" s="3" t="s">
        <v>1071</v>
      </c>
      <c r="B1006" s="4">
        <v>43419</v>
      </c>
      <c r="C1006" s="5">
        <v>10</v>
      </c>
      <c r="D1006" s="5" t="s">
        <v>28</v>
      </c>
      <c r="E1006" s="5" t="s">
        <v>41</v>
      </c>
      <c r="F1006" s="5" t="s">
        <v>15</v>
      </c>
      <c r="G1006" s="5" t="s">
        <v>11</v>
      </c>
      <c r="H1006" s="5">
        <v>19900</v>
      </c>
      <c r="I1006" s="5">
        <v>1</v>
      </c>
      <c r="J1006" s="9">
        <v>19900</v>
      </c>
    </row>
    <row r="1007" spans="1:10" x14ac:dyDescent="0.3">
      <c r="A1007" s="3" t="s">
        <v>1072</v>
      </c>
      <c r="B1007" s="4">
        <v>43419</v>
      </c>
      <c r="C1007" s="5">
        <v>19</v>
      </c>
      <c r="D1007" s="5" t="s">
        <v>37</v>
      </c>
      <c r="E1007" s="5" t="s">
        <v>42</v>
      </c>
      <c r="F1007" s="5" t="s">
        <v>17</v>
      </c>
      <c r="G1007" s="5" t="s">
        <v>14</v>
      </c>
      <c r="H1007" s="5">
        <v>15900</v>
      </c>
      <c r="I1007" s="5">
        <v>2</v>
      </c>
      <c r="J1007" s="9">
        <v>31800</v>
      </c>
    </row>
    <row r="1008" spans="1:10" x14ac:dyDescent="0.3">
      <c r="A1008" s="3" t="s">
        <v>1073</v>
      </c>
      <c r="B1008" s="4">
        <v>43419</v>
      </c>
      <c r="C1008" s="5">
        <v>6</v>
      </c>
      <c r="D1008" s="5" t="s">
        <v>24</v>
      </c>
      <c r="E1008" s="5" t="s">
        <v>41</v>
      </c>
      <c r="F1008" s="5" t="s">
        <v>15</v>
      </c>
      <c r="G1008" s="5" t="s">
        <v>11</v>
      </c>
      <c r="H1008" s="5">
        <v>19900</v>
      </c>
      <c r="I1008" s="5">
        <v>7</v>
      </c>
      <c r="J1008" s="9">
        <v>139300</v>
      </c>
    </row>
    <row r="1009" spans="1:10" x14ac:dyDescent="0.3">
      <c r="A1009" s="3" t="s">
        <v>1074</v>
      </c>
      <c r="B1009" s="4">
        <v>43420</v>
      </c>
      <c r="C1009" s="5">
        <v>15</v>
      </c>
      <c r="D1009" s="5" t="s">
        <v>33</v>
      </c>
      <c r="E1009" s="5" t="s">
        <v>39</v>
      </c>
      <c r="F1009" s="5" t="s">
        <v>16</v>
      </c>
      <c r="G1009" s="5" t="s">
        <v>13</v>
      </c>
      <c r="H1009" s="5">
        <v>28900</v>
      </c>
      <c r="I1009" s="5">
        <v>1</v>
      </c>
      <c r="J1009" s="9">
        <v>28900</v>
      </c>
    </row>
    <row r="1010" spans="1:10" x14ac:dyDescent="0.3">
      <c r="A1010" s="3" t="s">
        <v>1075</v>
      </c>
      <c r="B1010" s="4">
        <v>43420</v>
      </c>
      <c r="C1010" s="5">
        <v>8</v>
      </c>
      <c r="D1010" s="5" t="s">
        <v>26</v>
      </c>
      <c r="E1010" s="5" t="s">
        <v>41</v>
      </c>
      <c r="F1010" s="5" t="s">
        <v>15</v>
      </c>
      <c r="G1010" s="5" t="s">
        <v>10</v>
      </c>
      <c r="H1010" s="5">
        <v>39900</v>
      </c>
      <c r="I1010" s="5">
        <v>0</v>
      </c>
      <c r="J1010" s="9">
        <v>0</v>
      </c>
    </row>
    <row r="1011" spans="1:10" x14ac:dyDescent="0.3">
      <c r="A1011" s="3" t="s">
        <v>1076</v>
      </c>
      <c r="B1011" s="4">
        <v>43421</v>
      </c>
      <c r="C1011" s="5">
        <v>1</v>
      </c>
      <c r="D1011" s="5" t="s">
        <v>19</v>
      </c>
      <c r="E1011" s="5" t="s">
        <v>40</v>
      </c>
      <c r="F1011" s="5" t="s">
        <v>18</v>
      </c>
      <c r="G1011" s="5" t="s">
        <v>11</v>
      </c>
      <c r="H1011" s="5">
        <v>19900</v>
      </c>
      <c r="I1011" s="5">
        <v>2</v>
      </c>
      <c r="J1011" s="9">
        <v>39800</v>
      </c>
    </row>
    <row r="1012" spans="1:10" x14ac:dyDescent="0.3">
      <c r="A1012" s="3" t="s">
        <v>1077</v>
      </c>
      <c r="B1012" s="4">
        <v>43421</v>
      </c>
      <c r="C1012" s="5">
        <v>7</v>
      </c>
      <c r="D1012" s="5" t="s">
        <v>25</v>
      </c>
      <c r="E1012" s="5" t="s">
        <v>44</v>
      </c>
      <c r="F1012" s="5" t="s">
        <v>15</v>
      </c>
      <c r="G1012" s="5" t="s">
        <v>13</v>
      </c>
      <c r="H1012" s="5">
        <v>28900</v>
      </c>
      <c r="I1012" s="5">
        <v>0</v>
      </c>
      <c r="J1012" s="9">
        <v>0</v>
      </c>
    </row>
    <row r="1013" spans="1:10" x14ac:dyDescent="0.3">
      <c r="A1013" s="3" t="s">
        <v>1078</v>
      </c>
      <c r="B1013" s="4">
        <v>43421</v>
      </c>
      <c r="C1013" s="5">
        <v>3</v>
      </c>
      <c r="D1013" s="5" t="s">
        <v>21</v>
      </c>
      <c r="E1013" s="5" t="s">
        <v>46</v>
      </c>
      <c r="F1013" s="5" t="s">
        <v>18</v>
      </c>
      <c r="G1013" s="5" t="s">
        <v>13</v>
      </c>
      <c r="H1013" s="5">
        <v>28900</v>
      </c>
      <c r="I1013" s="5">
        <v>4</v>
      </c>
      <c r="J1013" s="9">
        <v>115600</v>
      </c>
    </row>
    <row r="1014" spans="1:10" x14ac:dyDescent="0.3">
      <c r="A1014" s="3" t="s">
        <v>1079</v>
      </c>
      <c r="B1014" s="4">
        <v>43421</v>
      </c>
      <c r="C1014" s="5">
        <v>9</v>
      </c>
      <c r="D1014" s="5" t="s">
        <v>27</v>
      </c>
      <c r="E1014" s="5" t="s">
        <v>44</v>
      </c>
      <c r="F1014" s="5" t="s">
        <v>15</v>
      </c>
      <c r="G1014" s="5" t="s">
        <v>12</v>
      </c>
      <c r="H1014" s="5">
        <v>6900</v>
      </c>
      <c r="I1014" s="5">
        <v>8</v>
      </c>
      <c r="J1014" s="9">
        <v>55200</v>
      </c>
    </row>
    <row r="1015" spans="1:10" x14ac:dyDescent="0.3">
      <c r="A1015" s="3" t="s">
        <v>1080</v>
      </c>
      <c r="B1015" s="4">
        <v>43422</v>
      </c>
      <c r="C1015" s="5">
        <v>2</v>
      </c>
      <c r="D1015" s="5" t="s">
        <v>20</v>
      </c>
      <c r="E1015" s="5" t="s">
        <v>46</v>
      </c>
      <c r="F1015" s="5" t="s">
        <v>18</v>
      </c>
      <c r="G1015" s="5" t="s">
        <v>11</v>
      </c>
      <c r="H1015" s="5">
        <v>19900</v>
      </c>
      <c r="I1015" s="5">
        <v>6</v>
      </c>
      <c r="J1015" s="9">
        <v>119400</v>
      </c>
    </row>
    <row r="1016" spans="1:10" x14ac:dyDescent="0.3">
      <c r="A1016" s="3" t="s">
        <v>1081</v>
      </c>
      <c r="B1016" s="4">
        <v>43423</v>
      </c>
      <c r="C1016" s="5">
        <v>5</v>
      </c>
      <c r="D1016" s="5" t="s">
        <v>23</v>
      </c>
      <c r="E1016" s="5" t="s">
        <v>40</v>
      </c>
      <c r="F1016" s="5" t="s">
        <v>18</v>
      </c>
      <c r="G1016" s="5" t="s">
        <v>10</v>
      </c>
      <c r="H1016" s="5">
        <v>39900</v>
      </c>
      <c r="I1016" s="5">
        <v>2</v>
      </c>
      <c r="J1016" s="9">
        <v>79800</v>
      </c>
    </row>
    <row r="1017" spans="1:10" x14ac:dyDescent="0.3">
      <c r="A1017" s="3" t="s">
        <v>1082</v>
      </c>
      <c r="B1017" s="4">
        <v>43423</v>
      </c>
      <c r="C1017" s="5">
        <v>6</v>
      </c>
      <c r="D1017" s="5" t="s">
        <v>24</v>
      </c>
      <c r="E1017" s="5" t="s">
        <v>41</v>
      </c>
      <c r="F1017" s="5" t="s">
        <v>15</v>
      </c>
      <c r="G1017" s="5" t="s">
        <v>13</v>
      </c>
      <c r="H1017" s="5">
        <v>28900</v>
      </c>
      <c r="I1017" s="5">
        <v>5</v>
      </c>
      <c r="J1017" s="9">
        <v>144500</v>
      </c>
    </row>
    <row r="1018" spans="1:10" x14ac:dyDescent="0.3">
      <c r="A1018" s="3" t="s">
        <v>1083</v>
      </c>
      <c r="B1018" s="4">
        <v>43423</v>
      </c>
      <c r="C1018" s="5">
        <v>12</v>
      </c>
      <c r="D1018" s="5" t="s">
        <v>30</v>
      </c>
      <c r="E1018" s="5" t="s">
        <v>39</v>
      </c>
      <c r="F1018" s="5" t="s">
        <v>16</v>
      </c>
      <c r="G1018" s="5" t="s">
        <v>11</v>
      </c>
      <c r="H1018" s="5">
        <v>19900</v>
      </c>
      <c r="I1018" s="5">
        <v>4</v>
      </c>
      <c r="J1018" s="9">
        <v>79600</v>
      </c>
    </row>
    <row r="1019" spans="1:10" x14ac:dyDescent="0.3">
      <c r="A1019" s="3" t="s">
        <v>1084</v>
      </c>
      <c r="B1019" s="4">
        <v>43423</v>
      </c>
      <c r="C1019" s="5">
        <v>5</v>
      </c>
      <c r="D1019" s="5" t="s">
        <v>23</v>
      </c>
      <c r="E1019" s="5" t="s">
        <v>46</v>
      </c>
      <c r="F1019" s="5" t="s">
        <v>18</v>
      </c>
      <c r="G1019" s="5" t="s">
        <v>10</v>
      </c>
      <c r="H1019" s="5">
        <v>39900</v>
      </c>
      <c r="I1019" s="5">
        <v>1</v>
      </c>
      <c r="J1019" s="9">
        <v>39900</v>
      </c>
    </row>
    <row r="1020" spans="1:10" x14ac:dyDescent="0.3">
      <c r="A1020" s="3" t="s">
        <v>1085</v>
      </c>
      <c r="B1020" s="4">
        <v>43424</v>
      </c>
      <c r="C1020" s="5">
        <v>5</v>
      </c>
      <c r="D1020" s="5" t="s">
        <v>23</v>
      </c>
      <c r="E1020" s="5" t="s">
        <v>46</v>
      </c>
      <c r="F1020" s="5" t="s">
        <v>18</v>
      </c>
      <c r="G1020" s="5" t="s">
        <v>10</v>
      </c>
      <c r="H1020" s="5">
        <v>39900</v>
      </c>
      <c r="I1020" s="5">
        <v>8</v>
      </c>
      <c r="J1020" s="9">
        <v>319200</v>
      </c>
    </row>
    <row r="1021" spans="1:10" x14ac:dyDescent="0.3">
      <c r="A1021" s="3" t="s">
        <v>1086</v>
      </c>
      <c r="B1021" s="4">
        <v>43425</v>
      </c>
      <c r="C1021" s="5">
        <v>20</v>
      </c>
      <c r="D1021" s="5" t="s">
        <v>38</v>
      </c>
      <c r="E1021" s="5" t="s">
        <v>43</v>
      </c>
      <c r="F1021" s="5" t="s">
        <v>17</v>
      </c>
      <c r="G1021" s="5" t="s">
        <v>12</v>
      </c>
      <c r="H1021" s="5">
        <v>6900</v>
      </c>
      <c r="I1021" s="5">
        <v>9</v>
      </c>
      <c r="J1021" s="9">
        <v>62100</v>
      </c>
    </row>
    <row r="1022" spans="1:10" x14ac:dyDescent="0.3">
      <c r="A1022" s="3" t="s">
        <v>1087</v>
      </c>
      <c r="B1022" s="4">
        <v>43425</v>
      </c>
      <c r="C1022" s="5">
        <v>16</v>
      </c>
      <c r="D1022" s="5" t="s">
        <v>34</v>
      </c>
      <c r="E1022" s="5" t="s">
        <v>42</v>
      </c>
      <c r="F1022" s="5" t="s">
        <v>17</v>
      </c>
      <c r="G1022" s="5" t="s">
        <v>10</v>
      </c>
      <c r="H1022" s="5">
        <v>39900</v>
      </c>
      <c r="I1022" s="5">
        <v>3</v>
      </c>
      <c r="J1022" s="9">
        <v>119700</v>
      </c>
    </row>
    <row r="1023" spans="1:10" x14ac:dyDescent="0.3">
      <c r="A1023" s="3" t="s">
        <v>1088</v>
      </c>
      <c r="B1023" s="4">
        <v>43426</v>
      </c>
      <c r="C1023" s="5">
        <v>1</v>
      </c>
      <c r="D1023" s="5" t="s">
        <v>19</v>
      </c>
      <c r="E1023" s="5" t="s">
        <v>46</v>
      </c>
      <c r="F1023" s="5" t="s">
        <v>18</v>
      </c>
      <c r="G1023" s="5" t="s">
        <v>14</v>
      </c>
      <c r="H1023" s="5">
        <v>15900</v>
      </c>
      <c r="I1023" s="5">
        <v>6</v>
      </c>
      <c r="J1023" s="9">
        <v>95400</v>
      </c>
    </row>
    <row r="1024" spans="1:10" x14ac:dyDescent="0.3">
      <c r="A1024" s="3" t="s">
        <v>1089</v>
      </c>
      <c r="B1024" s="4">
        <v>43426</v>
      </c>
      <c r="C1024" s="5">
        <v>5</v>
      </c>
      <c r="D1024" s="5" t="s">
        <v>23</v>
      </c>
      <c r="E1024" s="5" t="s">
        <v>46</v>
      </c>
      <c r="F1024" s="5" t="s">
        <v>18</v>
      </c>
      <c r="G1024" s="5" t="s">
        <v>10</v>
      </c>
      <c r="H1024" s="5">
        <v>39900</v>
      </c>
      <c r="I1024" s="5">
        <v>6</v>
      </c>
      <c r="J1024" s="9">
        <v>239400</v>
      </c>
    </row>
    <row r="1025" spans="1:10" x14ac:dyDescent="0.3">
      <c r="A1025" s="3" t="s">
        <v>1090</v>
      </c>
      <c r="B1025" s="4">
        <v>43426</v>
      </c>
      <c r="C1025" s="5">
        <v>15</v>
      </c>
      <c r="D1025" s="5" t="s">
        <v>33</v>
      </c>
      <c r="E1025" s="5" t="s">
        <v>45</v>
      </c>
      <c r="F1025" s="5" t="s">
        <v>16</v>
      </c>
      <c r="G1025" s="5" t="s">
        <v>12</v>
      </c>
      <c r="H1025" s="5">
        <v>6900</v>
      </c>
      <c r="I1025" s="5">
        <v>7</v>
      </c>
      <c r="J1025" s="9">
        <v>48300</v>
      </c>
    </row>
    <row r="1026" spans="1:10" x14ac:dyDescent="0.3">
      <c r="A1026" s="3" t="s">
        <v>1091</v>
      </c>
      <c r="B1026" s="4">
        <v>43426</v>
      </c>
      <c r="C1026" s="5">
        <v>2</v>
      </c>
      <c r="D1026" s="5" t="s">
        <v>20</v>
      </c>
      <c r="E1026" s="5" t="s">
        <v>46</v>
      </c>
      <c r="F1026" s="5" t="s">
        <v>18</v>
      </c>
      <c r="G1026" s="5" t="s">
        <v>11</v>
      </c>
      <c r="H1026" s="5">
        <v>19900</v>
      </c>
      <c r="I1026" s="5">
        <v>9</v>
      </c>
      <c r="J1026" s="9">
        <v>179100</v>
      </c>
    </row>
    <row r="1027" spans="1:10" x14ac:dyDescent="0.3">
      <c r="A1027" s="3" t="s">
        <v>1092</v>
      </c>
      <c r="B1027" s="4">
        <v>43426</v>
      </c>
      <c r="C1027" s="5">
        <v>8</v>
      </c>
      <c r="D1027" s="5" t="s">
        <v>26</v>
      </c>
      <c r="E1027" s="5" t="s">
        <v>41</v>
      </c>
      <c r="F1027" s="5" t="s">
        <v>15</v>
      </c>
      <c r="G1027" s="5" t="s">
        <v>14</v>
      </c>
      <c r="H1027" s="5">
        <v>15900</v>
      </c>
      <c r="I1027" s="5">
        <v>6</v>
      </c>
      <c r="J1027" s="9">
        <v>95400</v>
      </c>
    </row>
    <row r="1028" spans="1:10" x14ac:dyDescent="0.3">
      <c r="A1028" s="3" t="s">
        <v>1093</v>
      </c>
      <c r="B1028" s="4">
        <v>43426</v>
      </c>
      <c r="C1028" s="5">
        <v>3</v>
      </c>
      <c r="D1028" s="5" t="s">
        <v>21</v>
      </c>
      <c r="E1028" s="5" t="s">
        <v>46</v>
      </c>
      <c r="F1028" s="5" t="s">
        <v>18</v>
      </c>
      <c r="G1028" s="5" t="s">
        <v>12</v>
      </c>
      <c r="H1028" s="5">
        <v>6900</v>
      </c>
      <c r="I1028" s="5">
        <v>5</v>
      </c>
      <c r="J1028" s="9">
        <v>34500</v>
      </c>
    </row>
    <row r="1029" spans="1:10" x14ac:dyDescent="0.3">
      <c r="A1029" s="3" t="s">
        <v>1094</v>
      </c>
      <c r="B1029" s="4">
        <v>43426</v>
      </c>
      <c r="C1029" s="5">
        <v>20</v>
      </c>
      <c r="D1029" s="5" t="s">
        <v>38</v>
      </c>
      <c r="E1029" s="5" t="s">
        <v>42</v>
      </c>
      <c r="F1029" s="5" t="s">
        <v>17</v>
      </c>
      <c r="G1029" s="5" t="s">
        <v>14</v>
      </c>
      <c r="H1029" s="5">
        <v>15900</v>
      </c>
      <c r="I1029" s="5">
        <v>0</v>
      </c>
      <c r="J1029" s="9">
        <v>0</v>
      </c>
    </row>
    <row r="1030" spans="1:10" x14ac:dyDescent="0.3">
      <c r="A1030" s="3" t="s">
        <v>1095</v>
      </c>
      <c r="B1030" s="4">
        <v>43426</v>
      </c>
      <c r="C1030" s="5">
        <v>8</v>
      </c>
      <c r="D1030" s="5" t="s">
        <v>26</v>
      </c>
      <c r="E1030" s="5" t="s">
        <v>41</v>
      </c>
      <c r="F1030" s="5" t="s">
        <v>15</v>
      </c>
      <c r="G1030" s="5" t="s">
        <v>10</v>
      </c>
      <c r="H1030" s="5">
        <v>39900</v>
      </c>
      <c r="I1030" s="5">
        <v>9</v>
      </c>
      <c r="J1030" s="9">
        <v>359100</v>
      </c>
    </row>
    <row r="1031" spans="1:10" x14ac:dyDescent="0.3">
      <c r="A1031" s="3" t="s">
        <v>1096</v>
      </c>
      <c r="B1031" s="4">
        <v>43426</v>
      </c>
      <c r="C1031" s="5">
        <v>7</v>
      </c>
      <c r="D1031" s="5" t="s">
        <v>25</v>
      </c>
      <c r="E1031" s="5" t="s">
        <v>41</v>
      </c>
      <c r="F1031" s="5" t="s">
        <v>15</v>
      </c>
      <c r="G1031" s="5" t="s">
        <v>10</v>
      </c>
      <c r="H1031" s="5">
        <v>39900</v>
      </c>
      <c r="I1031" s="5">
        <v>5</v>
      </c>
      <c r="J1031" s="9">
        <v>199500</v>
      </c>
    </row>
    <row r="1032" spans="1:10" x14ac:dyDescent="0.3">
      <c r="A1032" s="3" t="s">
        <v>1097</v>
      </c>
      <c r="B1032" s="4">
        <v>43426</v>
      </c>
      <c r="C1032" s="5">
        <v>10</v>
      </c>
      <c r="D1032" s="5" t="s">
        <v>28</v>
      </c>
      <c r="E1032" s="5" t="s">
        <v>44</v>
      </c>
      <c r="F1032" s="5" t="s">
        <v>15</v>
      </c>
      <c r="G1032" s="5" t="s">
        <v>10</v>
      </c>
      <c r="H1032" s="5">
        <v>39900</v>
      </c>
      <c r="I1032" s="5">
        <v>0</v>
      </c>
      <c r="J1032" s="9">
        <v>0</v>
      </c>
    </row>
    <row r="1033" spans="1:10" x14ac:dyDescent="0.3">
      <c r="A1033" s="3" t="s">
        <v>1098</v>
      </c>
      <c r="B1033" s="4">
        <v>43426</v>
      </c>
      <c r="C1033" s="5">
        <v>13</v>
      </c>
      <c r="D1033" s="5" t="s">
        <v>31</v>
      </c>
      <c r="E1033" s="5" t="s">
        <v>39</v>
      </c>
      <c r="F1033" s="5" t="s">
        <v>16</v>
      </c>
      <c r="G1033" s="5" t="s">
        <v>11</v>
      </c>
      <c r="H1033" s="5">
        <v>19900</v>
      </c>
      <c r="I1033" s="5">
        <v>7</v>
      </c>
      <c r="J1033" s="9">
        <v>139300</v>
      </c>
    </row>
    <row r="1034" spans="1:10" x14ac:dyDescent="0.3">
      <c r="A1034" s="3" t="s">
        <v>1099</v>
      </c>
      <c r="B1034" s="4">
        <v>43427</v>
      </c>
      <c r="C1034" s="5">
        <v>15</v>
      </c>
      <c r="D1034" s="5" t="s">
        <v>33</v>
      </c>
      <c r="E1034" s="5" t="s">
        <v>39</v>
      </c>
      <c r="F1034" s="5" t="s">
        <v>16</v>
      </c>
      <c r="G1034" s="5" t="s">
        <v>12</v>
      </c>
      <c r="H1034" s="5">
        <v>6900</v>
      </c>
      <c r="I1034" s="5">
        <v>7</v>
      </c>
      <c r="J1034" s="9">
        <v>48300</v>
      </c>
    </row>
    <row r="1035" spans="1:10" x14ac:dyDescent="0.3">
      <c r="A1035" s="3" t="s">
        <v>1100</v>
      </c>
      <c r="B1035" s="4">
        <v>43427</v>
      </c>
      <c r="C1035" s="5">
        <v>3</v>
      </c>
      <c r="D1035" s="5" t="s">
        <v>21</v>
      </c>
      <c r="E1035" s="5" t="s">
        <v>40</v>
      </c>
      <c r="F1035" s="5" t="s">
        <v>18</v>
      </c>
      <c r="G1035" s="5" t="s">
        <v>10</v>
      </c>
      <c r="H1035" s="5">
        <v>39900</v>
      </c>
      <c r="I1035" s="5">
        <v>2</v>
      </c>
      <c r="J1035" s="9">
        <v>79800</v>
      </c>
    </row>
    <row r="1036" spans="1:10" x14ac:dyDescent="0.3">
      <c r="A1036" s="3" t="s">
        <v>1101</v>
      </c>
      <c r="B1036" s="4">
        <v>43427</v>
      </c>
      <c r="C1036" s="5">
        <v>4</v>
      </c>
      <c r="D1036" s="5" t="s">
        <v>22</v>
      </c>
      <c r="E1036" s="5" t="s">
        <v>40</v>
      </c>
      <c r="F1036" s="5" t="s">
        <v>18</v>
      </c>
      <c r="G1036" s="5" t="s">
        <v>10</v>
      </c>
      <c r="H1036" s="5">
        <v>39900</v>
      </c>
      <c r="I1036" s="5">
        <v>6</v>
      </c>
      <c r="J1036" s="9">
        <v>239400</v>
      </c>
    </row>
    <row r="1037" spans="1:10" x14ac:dyDescent="0.3">
      <c r="A1037" s="3" t="s">
        <v>1102</v>
      </c>
      <c r="B1037" s="4">
        <v>43427</v>
      </c>
      <c r="C1037" s="5">
        <v>13</v>
      </c>
      <c r="D1037" s="5" t="s">
        <v>31</v>
      </c>
      <c r="E1037" s="5" t="s">
        <v>39</v>
      </c>
      <c r="F1037" s="5" t="s">
        <v>16</v>
      </c>
      <c r="G1037" s="5" t="s">
        <v>10</v>
      </c>
      <c r="H1037" s="5">
        <v>39900</v>
      </c>
      <c r="I1037" s="5">
        <v>9</v>
      </c>
      <c r="J1037" s="9">
        <v>359100</v>
      </c>
    </row>
    <row r="1038" spans="1:10" x14ac:dyDescent="0.3">
      <c r="A1038" s="3" t="s">
        <v>1103</v>
      </c>
      <c r="B1038" s="4">
        <v>43427</v>
      </c>
      <c r="C1038" s="5">
        <v>12</v>
      </c>
      <c r="D1038" s="5" t="s">
        <v>30</v>
      </c>
      <c r="E1038" s="5" t="s">
        <v>39</v>
      </c>
      <c r="F1038" s="5" t="s">
        <v>16</v>
      </c>
      <c r="G1038" s="5" t="s">
        <v>13</v>
      </c>
      <c r="H1038" s="5">
        <v>28900</v>
      </c>
      <c r="I1038" s="5">
        <v>6</v>
      </c>
      <c r="J1038" s="9">
        <v>173400</v>
      </c>
    </row>
    <row r="1039" spans="1:10" x14ac:dyDescent="0.3">
      <c r="A1039" s="3" t="s">
        <v>1104</v>
      </c>
      <c r="B1039" s="4">
        <v>43427</v>
      </c>
      <c r="C1039" s="5">
        <v>17</v>
      </c>
      <c r="D1039" s="5" t="s">
        <v>35</v>
      </c>
      <c r="E1039" s="5" t="s">
        <v>43</v>
      </c>
      <c r="F1039" s="5" t="s">
        <v>17</v>
      </c>
      <c r="G1039" s="5" t="s">
        <v>11</v>
      </c>
      <c r="H1039" s="5">
        <v>19900</v>
      </c>
      <c r="I1039" s="5">
        <v>3</v>
      </c>
      <c r="J1039" s="9">
        <v>59700</v>
      </c>
    </row>
    <row r="1040" spans="1:10" x14ac:dyDescent="0.3">
      <c r="A1040" s="3" t="s">
        <v>1105</v>
      </c>
      <c r="B1040" s="4">
        <v>43428</v>
      </c>
      <c r="C1040" s="5">
        <v>13</v>
      </c>
      <c r="D1040" s="5" t="s">
        <v>31</v>
      </c>
      <c r="E1040" s="5" t="s">
        <v>45</v>
      </c>
      <c r="F1040" s="5" t="s">
        <v>16</v>
      </c>
      <c r="G1040" s="5" t="s">
        <v>13</v>
      </c>
      <c r="H1040" s="5">
        <v>28900</v>
      </c>
      <c r="I1040" s="5">
        <v>1</v>
      </c>
      <c r="J1040" s="9">
        <v>28900</v>
      </c>
    </row>
    <row r="1041" spans="1:10" x14ac:dyDescent="0.3">
      <c r="A1041" s="3" t="s">
        <v>1106</v>
      </c>
      <c r="B1041" s="4">
        <v>43428</v>
      </c>
      <c r="C1041" s="5">
        <v>7</v>
      </c>
      <c r="D1041" s="5" t="s">
        <v>25</v>
      </c>
      <c r="E1041" s="5" t="s">
        <v>44</v>
      </c>
      <c r="F1041" s="5" t="s">
        <v>15</v>
      </c>
      <c r="G1041" s="5" t="s">
        <v>11</v>
      </c>
      <c r="H1041" s="5">
        <v>19900</v>
      </c>
      <c r="I1041" s="5">
        <v>5</v>
      </c>
      <c r="J1041" s="9">
        <v>99500</v>
      </c>
    </row>
    <row r="1042" spans="1:10" x14ac:dyDescent="0.3">
      <c r="A1042" s="3" t="s">
        <v>1107</v>
      </c>
      <c r="B1042" s="4">
        <v>43428</v>
      </c>
      <c r="C1042" s="5">
        <v>18</v>
      </c>
      <c r="D1042" s="5" t="s">
        <v>36</v>
      </c>
      <c r="E1042" s="5" t="s">
        <v>43</v>
      </c>
      <c r="F1042" s="5" t="s">
        <v>17</v>
      </c>
      <c r="G1042" s="5" t="s">
        <v>14</v>
      </c>
      <c r="H1042" s="5">
        <v>15900</v>
      </c>
      <c r="I1042" s="5">
        <v>2</v>
      </c>
      <c r="J1042" s="9">
        <v>31800</v>
      </c>
    </row>
    <row r="1043" spans="1:10" x14ac:dyDescent="0.3">
      <c r="A1043" s="3" t="s">
        <v>1108</v>
      </c>
      <c r="B1043" s="4">
        <v>43428</v>
      </c>
      <c r="C1043" s="5">
        <v>14</v>
      </c>
      <c r="D1043" s="5" t="s">
        <v>32</v>
      </c>
      <c r="E1043" s="5" t="s">
        <v>45</v>
      </c>
      <c r="F1043" s="5" t="s">
        <v>16</v>
      </c>
      <c r="G1043" s="5" t="s">
        <v>13</v>
      </c>
      <c r="H1043" s="5">
        <v>28900</v>
      </c>
      <c r="I1043" s="5">
        <v>2</v>
      </c>
      <c r="J1043" s="9">
        <v>57800</v>
      </c>
    </row>
    <row r="1044" spans="1:10" x14ac:dyDescent="0.3">
      <c r="A1044" s="3" t="s">
        <v>1109</v>
      </c>
      <c r="B1044" s="4">
        <v>43428</v>
      </c>
      <c r="C1044" s="5">
        <v>3</v>
      </c>
      <c r="D1044" s="5" t="s">
        <v>21</v>
      </c>
      <c r="E1044" s="5" t="s">
        <v>46</v>
      </c>
      <c r="F1044" s="5" t="s">
        <v>18</v>
      </c>
      <c r="G1044" s="5" t="s">
        <v>12</v>
      </c>
      <c r="H1044" s="5">
        <v>6900</v>
      </c>
      <c r="I1044" s="5">
        <v>4</v>
      </c>
      <c r="J1044" s="9">
        <v>27600</v>
      </c>
    </row>
    <row r="1045" spans="1:10" x14ac:dyDescent="0.3">
      <c r="A1045" s="3" t="s">
        <v>1110</v>
      </c>
      <c r="B1045" s="4">
        <v>43428</v>
      </c>
      <c r="C1045" s="5">
        <v>9</v>
      </c>
      <c r="D1045" s="5" t="s">
        <v>27</v>
      </c>
      <c r="E1045" s="5" t="s">
        <v>44</v>
      </c>
      <c r="F1045" s="5" t="s">
        <v>15</v>
      </c>
      <c r="G1045" s="5" t="s">
        <v>10</v>
      </c>
      <c r="H1045" s="5">
        <v>39900</v>
      </c>
      <c r="I1045" s="5">
        <v>1</v>
      </c>
      <c r="J1045" s="9">
        <v>39900</v>
      </c>
    </row>
    <row r="1046" spans="1:10" x14ac:dyDescent="0.3">
      <c r="A1046" s="3" t="s">
        <v>1111</v>
      </c>
      <c r="B1046" s="4">
        <v>43428</v>
      </c>
      <c r="C1046" s="5">
        <v>11</v>
      </c>
      <c r="D1046" s="5" t="s">
        <v>29</v>
      </c>
      <c r="E1046" s="5" t="s">
        <v>45</v>
      </c>
      <c r="F1046" s="5" t="s">
        <v>16</v>
      </c>
      <c r="G1046" s="5" t="s">
        <v>10</v>
      </c>
      <c r="H1046" s="5">
        <v>39900</v>
      </c>
      <c r="I1046" s="5">
        <v>3</v>
      </c>
      <c r="J1046" s="9">
        <v>119700</v>
      </c>
    </row>
    <row r="1047" spans="1:10" x14ac:dyDescent="0.3">
      <c r="A1047" s="3" t="s">
        <v>1112</v>
      </c>
      <c r="B1047" s="4">
        <v>43429</v>
      </c>
      <c r="C1047" s="5">
        <v>4</v>
      </c>
      <c r="D1047" s="5" t="s">
        <v>22</v>
      </c>
      <c r="E1047" s="5" t="s">
        <v>46</v>
      </c>
      <c r="F1047" s="5" t="s">
        <v>18</v>
      </c>
      <c r="G1047" s="5" t="s">
        <v>10</v>
      </c>
      <c r="H1047" s="5">
        <v>39900</v>
      </c>
      <c r="I1047" s="5">
        <v>5</v>
      </c>
      <c r="J1047" s="9">
        <v>199500</v>
      </c>
    </row>
    <row r="1048" spans="1:10" x14ac:dyDescent="0.3">
      <c r="A1048" s="3" t="s">
        <v>1113</v>
      </c>
      <c r="B1048" s="4">
        <v>43430</v>
      </c>
      <c r="C1048" s="5">
        <v>6</v>
      </c>
      <c r="D1048" s="5" t="s">
        <v>24</v>
      </c>
      <c r="E1048" s="5" t="s">
        <v>44</v>
      </c>
      <c r="F1048" s="5" t="s">
        <v>15</v>
      </c>
      <c r="G1048" s="5" t="s">
        <v>13</v>
      </c>
      <c r="H1048" s="5">
        <v>28900</v>
      </c>
      <c r="I1048" s="5">
        <v>1</v>
      </c>
      <c r="J1048" s="9">
        <v>28900</v>
      </c>
    </row>
    <row r="1049" spans="1:10" x14ac:dyDescent="0.3">
      <c r="A1049" s="3" t="s">
        <v>1114</v>
      </c>
      <c r="B1049" s="4">
        <v>43430</v>
      </c>
      <c r="C1049" s="5">
        <v>13</v>
      </c>
      <c r="D1049" s="5" t="s">
        <v>31</v>
      </c>
      <c r="E1049" s="5" t="s">
        <v>45</v>
      </c>
      <c r="F1049" s="5" t="s">
        <v>16</v>
      </c>
      <c r="G1049" s="5" t="s">
        <v>13</v>
      </c>
      <c r="H1049" s="5">
        <v>28900</v>
      </c>
      <c r="I1049" s="5">
        <v>7</v>
      </c>
      <c r="J1049" s="9">
        <v>202300</v>
      </c>
    </row>
    <row r="1050" spans="1:10" x14ac:dyDescent="0.3">
      <c r="A1050" s="3" t="s">
        <v>1115</v>
      </c>
      <c r="B1050" s="4">
        <v>43431</v>
      </c>
      <c r="C1050" s="5">
        <v>2</v>
      </c>
      <c r="D1050" s="5" t="s">
        <v>20</v>
      </c>
      <c r="E1050" s="5" t="s">
        <v>40</v>
      </c>
      <c r="F1050" s="5" t="s">
        <v>18</v>
      </c>
      <c r="G1050" s="5" t="s">
        <v>10</v>
      </c>
      <c r="H1050" s="5">
        <v>39900</v>
      </c>
      <c r="I1050" s="5">
        <v>8</v>
      </c>
      <c r="J1050" s="9">
        <v>319200</v>
      </c>
    </row>
    <row r="1051" spans="1:10" x14ac:dyDescent="0.3">
      <c r="A1051" s="3" t="s">
        <v>1116</v>
      </c>
      <c r="B1051" s="4">
        <v>43431</v>
      </c>
      <c r="C1051" s="5">
        <v>4</v>
      </c>
      <c r="D1051" s="5" t="s">
        <v>22</v>
      </c>
      <c r="E1051" s="5" t="s">
        <v>46</v>
      </c>
      <c r="F1051" s="5" t="s">
        <v>18</v>
      </c>
      <c r="G1051" s="5" t="s">
        <v>10</v>
      </c>
      <c r="H1051" s="5">
        <v>39900</v>
      </c>
      <c r="I1051" s="5">
        <v>6</v>
      </c>
      <c r="J1051" s="9">
        <v>239400</v>
      </c>
    </row>
    <row r="1052" spans="1:10" x14ac:dyDescent="0.3">
      <c r="A1052" s="3" t="s">
        <v>1117</v>
      </c>
      <c r="B1052" s="4">
        <v>43431</v>
      </c>
      <c r="C1052" s="5">
        <v>1</v>
      </c>
      <c r="D1052" s="5" t="s">
        <v>19</v>
      </c>
      <c r="E1052" s="5" t="s">
        <v>46</v>
      </c>
      <c r="F1052" s="5" t="s">
        <v>18</v>
      </c>
      <c r="G1052" s="5" t="s">
        <v>12</v>
      </c>
      <c r="H1052" s="5">
        <v>6900</v>
      </c>
      <c r="I1052" s="5">
        <v>9</v>
      </c>
      <c r="J1052" s="9">
        <v>62100</v>
      </c>
    </row>
    <row r="1053" spans="1:10" x14ac:dyDescent="0.3">
      <c r="A1053" s="3" t="s">
        <v>1118</v>
      </c>
      <c r="B1053" s="4">
        <v>43432</v>
      </c>
      <c r="C1053" s="5">
        <v>10</v>
      </c>
      <c r="D1053" s="5" t="s">
        <v>28</v>
      </c>
      <c r="E1053" s="5" t="s">
        <v>41</v>
      </c>
      <c r="F1053" s="5" t="s">
        <v>15</v>
      </c>
      <c r="G1053" s="5" t="s">
        <v>12</v>
      </c>
      <c r="H1053" s="5">
        <v>6900</v>
      </c>
      <c r="I1053" s="5">
        <v>7</v>
      </c>
      <c r="J1053" s="9">
        <v>48300</v>
      </c>
    </row>
    <row r="1054" spans="1:10" x14ac:dyDescent="0.3">
      <c r="A1054" s="3" t="s">
        <v>1119</v>
      </c>
      <c r="B1054" s="4">
        <v>43432</v>
      </c>
      <c r="C1054" s="5">
        <v>15</v>
      </c>
      <c r="D1054" s="5" t="s">
        <v>33</v>
      </c>
      <c r="E1054" s="5" t="s">
        <v>45</v>
      </c>
      <c r="F1054" s="5" t="s">
        <v>16</v>
      </c>
      <c r="G1054" s="5" t="s">
        <v>12</v>
      </c>
      <c r="H1054" s="5">
        <v>6900</v>
      </c>
      <c r="I1054" s="5">
        <v>1</v>
      </c>
      <c r="J1054" s="9">
        <v>6900</v>
      </c>
    </row>
    <row r="1055" spans="1:10" x14ac:dyDescent="0.3">
      <c r="A1055" s="3" t="s">
        <v>1120</v>
      </c>
      <c r="B1055" s="4">
        <v>43432</v>
      </c>
      <c r="C1055" s="5">
        <v>6</v>
      </c>
      <c r="D1055" s="5" t="s">
        <v>24</v>
      </c>
      <c r="E1055" s="5" t="s">
        <v>44</v>
      </c>
      <c r="F1055" s="5" t="s">
        <v>15</v>
      </c>
      <c r="G1055" s="5" t="s">
        <v>14</v>
      </c>
      <c r="H1055" s="5">
        <v>15900</v>
      </c>
      <c r="I1055" s="5">
        <v>2</v>
      </c>
      <c r="J1055" s="9">
        <v>31800</v>
      </c>
    </row>
    <row r="1056" spans="1:10" x14ac:dyDescent="0.3">
      <c r="A1056" s="3" t="s">
        <v>1121</v>
      </c>
      <c r="B1056" s="4">
        <v>43432</v>
      </c>
      <c r="C1056" s="5">
        <v>11</v>
      </c>
      <c r="D1056" s="5" t="s">
        <v>29</v>
      </c>
      <c r="E1056" s="5" t="s">
        <v>39</v>
      </c>
      <c r="F1056" s="5" t="s">
        <v>16</v>
      </c>
      <c r="G1056" s="5" t="s">
        <v>13</v>
      </c>
      <c r="H1056" s="5">
        <v>28900</v>
      </c>
      <c r="I1056" s="5">
        <v>8</v>
      </c>
      <c r="J1056" s="9">
        <v>231200</v>
      </c>
    </row>
    <row r="1057" spans="1:10" x14ac:dyDescent="0.3">
      <c r="A1057" s="3" t="s">
        <v>1122</v>
      </c>
      <c r="B1057" s="4">
        <v>43432</v>
      </c>
      <c r="C1057" s="5">
        <v>4</v>
      </c>
      <c r="D1057" s="5" t="s">
        <v>22</v>
      </c>
      <c r="E1057" s="5" t="s">
        <v>40</v>
      </c>
      <c r="F1057" s="5" t="s">
        <v>18</v>
      </c>
      <c r="G1057" s="5" t="s">
        <v>13</v>
      </c>
      <c r="H1057" s="5">
        <v>28900</v>
      </c>
      <c r="I1057" s="5">
        <v>7</v>
      </c>
      <c r="J1057" s="9">
        <v>202300</v>
      </c>
    </row>
    <row r="1058" spans="1:10" x14ac:dyDescent="0.3">
      <c r="A1058" s="3" t="s">
        <v>1123</v>
      </c>
      <c r="B1058" s="4">
        <v>43433</v>
      </c>
      <c r="C1058" s="5">
        <v>8</v>
      </c>
      <c r="D1058" s="5" t="s">
        <v>26</v>
      </c>
      <c r="E1058" s="5" t="s">
        <v>44</v>
      </c>
      <c r="F1058" s="5" t="s">
        <v>15</v>
      </c>
      <c r="G1058" s="5" t="s">
        <v>11</v>
      </c>
      <c r="H1058" s="5">
        <v>19900</v>
      </c>
      <c r="I1058" s="5">
        <v>3</v>
      </c>
      <c r="J1058" s="9">
        <v>59700</v>
      </c>
    </row>
    <row r="1059" spans="1:10" x14ac:dyDescent="0.3">
      <c r="A1059" s="3" t="s">
        <v>1124</v>
      </c>
      <c r="B1059" s="4">
        <v>43433</v>
      </c>
      <c r="C1059" s="5">
        <v>9</v>
      </c>
      <c r="D1059" s="5" t="s">
        <v>27</v>
      </c>
      <c r="E1059" s="5" t="s">
        <v>44</v>
      </c>
      <c r="F1059" s="5" t="s">
        <v>15</v>
      </c>
      <c r="G1059" s="5" t="s">
        <v>10</v>
      </c>
      <c r="H1059" s="5">
        <v>39900</v>
      </c>
      <c r="I1059" s="5">
        <v>6</v>
      </c>
      <c r="J1059" s="9">
        <v>239400</v>
      </c>
    </row>
    <row r="1060" spans="1:10" x14ac:dyDescent="0.3">
      <c r="A1060" s="3" t="s">
        <v>1125</v>
      </c>
      <c r="B1060" s="4">
        <v>43433</v>
      </c>
      <c r="C1060" s="5">
        <v>12</v>
      </c>
      <c r="D1060" s="5" t="s">
        <v>30</v>
      </c>
      <c r="E1060" s="5" t="s">
        <v>45</v>
      </c>
      <c r="F1060" s="5" t="s">
        <v>16</v>
      </c>
      <c r="G1060" s="5" t="s">
        <v>13</v>
      </c>
      <c r="H1060" s="5">
        <v>28900</v>
      </c>
      <c r="I1060" s="5">
        <v>9</v>
      </c>
      <c r="J1060" s="9">
        <v>260100</v>
      </c>
    </row>
    <row r="1061" spans="1:10" x14ac:dyDescent="0.3">
      <c r="A1061" s="3" t="s">
        <v>1126</v>
      </c>
      <c r="B1061" s="4">
        <v>43434</v>
      </c>
      <c r="C1061" s="5">
        <v>2</v>
      </c>
      <c r="D1061" s="5" t="s">
        <v>20</v>
      </c>
      <c r="E1061" s="5" t="s">
        <v>40</v>
      </c>
      <c r="F1061" s="5" t="s">
        <v>18</v>
      </c>
      <c r="G1061" s="5" t="s">
        <v>14</v>
      </c>
      <c r="H1061" s="5">
        <v>15900</v>
      </c>
      <c r="I1061" s="5">
        <v>1</v>
      </c>
      <c r="J1061" s="9">
        <v>15900</v>
      </c>
    </row>
    <row r="1062" spans="1:10" x14ac:dyDescent="0.3">
      <c r="A1062" s="3" t="s">
        <v>1127</v>
      </c>
      <c r="B1062" s="4">
        <v>43435</v>
      </c>
      <c r="C1062" s="5">
        <v>8</v>
      </c>
      <c r="D1062" s="5" t="s">
        <v>26</v>
      </c>
      <c r="E1062" s="5" t="s">
        <v>44</v>
      </c>
      <c r="F1062" s="5" t="s">
        <v>15</v>
      </c>
      <c r="G1062" s="5" t="s">
        <v>10</v>
      </c>
      <c r="H1062" s="5">
        <v>39900</v>
      </c>
      <c r="I1062" s="5">
        <v>5</v>
      </c>
      <c r="J1062" s="9">
        <v>199500</v>
      </c>
    </row>
    <row r="1063" spans="1:10" x14ac:dyDescent="0.3">
      <c r="A1063" s="3" t="s">
        <v>1128</v>
      </c>
      <c r="B1063" s="4">
        <v>43435</v>
      </c>
      <c r="C1063" s="5">
        <v>17</v>
      </c>
      <c r="D1063" s="5" t="s">
        <v>35</v>
      </c>
      <c r="E1063" s="5" t="s">
        <v>43</v>
      </c>
      <c r="F1063" s="5" t="s">
        <v>17</v>
      </c>
      <c r="G1063" s="5" t="s">
        <v>13</v>
      </c>
      <c r="H1063" s="5">
        <v>28900</v>
      </c>
      <c r="I1063" s="5">
        <v>0</v>
      </c>
      <c r="J1063" s="9">
        <v>0</v>
      </c>
    </row>
    <row r="1064" spans="1:10" x14ac:dyDescent="0.3">
      <c r="A1064" s="3" t="s">
        <v>1129</v>
      </c>
      <c r="B1064" s="4">
        <v>43436</v>
      </c>
      <c r="C1064" s="5">
        <v>7</v>
      </c>
      <c r="D1064" s="5" t="s">
        <v>25</v>
      </c>
      <c r="E1064" s="5" t="s">
        <v>44</v>
      </c>
      <c r="F1064" s="5" t="s">
        <v>15</v>
      </c>
      <c r="G1064" s="5" t="s">
        <v>10</v>
      </c>
      <c r="H1064" s="5">
        <v>39900</v>
      </c>
      <c r="I1064" s="5">
        <v>3</v>
      </c>
      <c r="J1064" s="9">
        <v>119700</v>
      </c>
    </row>
    <row r="1065" spans="1:10" x14ac:dyDescent="0.3">
      <c r="A1065" s="3" t="s">
        <v>1130</v>
      </c>
      <c r="B1065" s="4">
        <v>43437</v>
      </c>
      <c r="C1065" s="5">
        <v>1</v>
      </c>
      <c r="D1065" s="5" t="s">
        <v>19</v>
      </c>
      <c r="E1065" s="5" t="s">
        <v>46</v>
      </c>
      <c r="F1065" s="5" t="s">
        <v>18</v>
      </c>
      <c r="G1065" s="5" t="s">
        <v>13</v>
      </c>
      <c r="H1065" s="5">
        <v>28900</v>
      </c>
      <c r="I1065" s="5">
        <v>4</v>
      </c>
      <c r="J1065" s="9">
        <v>115600</v>
      </c>
    </row>
    <row r="1066" spans="1:10" x14ac:dyDescent="0.3">
      <c r="A1066" s="3" t="s">
        <v>1131</v>
      </c>
      <c r="B1066" s="4">
        <v>43437</v>
      </c>
      <c r="C1066" s="5">
        <v>19</v>
      </c>
      <c r="D1066" s="5" t="s">
        <v>37</v>
      </c>
      <c r="E1066" s="5" t="s">
        <v>42</v>
      </c>
      <c r="F1066" s="5" t="s">
        <v>17</v>
      </c>
      <c r="G1066" s="5" t="s">
        <v>13</v>
      </c>
      <c r="H1066" s="5">
        <v>28900</v>
      </c>
      <c r="I1066" s="5">
        <v>2</v>
      </c>
      <c r="J1066" s="9">
        <v>57800</v>
      </c>
    </row>
    <row r="1067" spans="1:10" x14ac:dyDescent="0.3">
      <c r="A1067" s="3" t="s">
        <v>1132</v>
      </c>
      <c r="B1067" s="4">
        <v>43438</v>
      </c>
      <c r="C1067" s="5">
        <v>2</v>
      </c>
      <c r="D1067" s="5" t="s">
        <v>20</v>
      </c>
      <c r="E1067" s="5" t="s">
        <v>40</v>
      </c>
      <c r="F1067" s="5" t="s">
        <v>18</v>
      </c>
      <c r="G1067" s="5" t="s">
        <v>12</v>
      </c>
      <c r="H1067" s="5">
        <v>6900</v>
      </c>
      <c r="I1067" s="5">
        <v>7</v>
      </c>
      <c r="J1067" s="9">
        <v>48300</v>
      </c>
    </row>
    <row r="1068" spans="1:10" x14ac:dyDescent="0.3">
      <c r="A1068" s="3" t="s">
        <v>1133</v>
      </c>
      <c r="B1068" s="4">
        <v>43438</v>
      </c>
      <c r="C1068" s="5">
        <v>16</v>
      </c>
      <c r="D1068" s="5" t="s">
        <v>34</v>
      </c>
      <c r="E1068" s="5" t="s">
        <v>43</v>
      </c>
      <c r="F1068" s="5" t="s">
        <v>17</v>
      </c>
      <c r="G1068" s="5" t="s">
        <v>10</v>
      </c>
      <c r="H1068" s="5">
        <v>39900</v>
      </c>
      <c r="I1068" s="5">
        <v>0</v>
      </c>
      <c r="J1068" s="9">
        <v>0</v>
      </c>
    </row>
    <row r="1069" spans="1:10" x14ac:dyDescent="0.3">
      <c r="A1069" s="3" t="s">
        <v>1134</v>
      </c>
      <c r="B1069" s="4">
        <v>43439</v>
      </c>
      <c r="C1069" s="5">
        <v>5</v>
      </c>
      <c r="D1069" s="5" t="s">
        <v>23</v>
      </c>
      <c r="E1069" s="5" t="s">
        <v>46</v>
      </c>
      <c r="F1069" s="5" t="s">
        <v>18</v>
      </c>
      <c r="G1069" s="5" t="s">
        <v>10</v>
      </c>
      <c r="H1069" s="5">
        <v>39900</v>
      </c>
      <c r="I1069" s="5">
        <v>4</v>
      </c>
      <c r="J1069" s="9">
        <v>159600</v>
      </c>
    </row>
    <row r="1070" spans="1:10" x14ac:dyDescent="0.3">
      <c r="A1070" s="3" t="s">
        <v>1135</v>
      </c>
      <c r="B1070" s="4">
        <v>43440</v>
      </c>
      <c r="C1070" s="5">
        <v>4</v>
      </c>
      <c r="D1070" s="5" t="s">
        <v>22</v>
      </c>
      <c r="E1070" s="5" t="s">
        <v>40</v>
      </c>
      <c r="F1070" s="5" t="s">
        <v>18</v>
      </c>
      <c r="G1070" s="5" t="s">
        <v>11</v>
      </c>
      <c r="H1070" s="5">
        <v>19900</v>
      </c>
      <c r="I1070" s="5">
        <v>2</v>
      </c>
      <c r="J1070" s="9">
        <v>39800</v>
      </c>
    </row>
    <row r="1071" spans="1:10" x14ac:dyDescent="0.3">
      <c r="A1071" s="3" t="s">
        <v>1136</v>
      </c>
      <c r="B1071" s="4">
        <v>43440</v>
      </c>
      <c r="C1071" s="5">
        <v>14</v>
      </c>
      <c r="D1071" s="5" t="s">
        <v>32</v>
      </c>
      <c r="E1071" s="5" t="s">
        <v>39</v>
      </c>
      <c r="F1071" s="5" t="s">
        <v>16</v>
      </c>
      <c r="G1071" s="5" t="s">
        <v>11</v>
      </c>
      <c r="H1071" s="5">
        <v>19900</v>
      </c>
      <c r="I1071" s="5">
        <v>3</v>
      </c>
      <c r="J1071" s="9">
        <v>59700</v>
      </c>
    </row>
    <row r="1072" spans="1:10" x14ac:dyDescent="0.3">
      <c r="A1072" s="3" t="s">
        <v>1137</v>
      </c>
      <c r="B1072" s="4">
        <v>43440</v>
      </c>
      <c r="C1072" s="5">
        <v>4</v>
      </c>
      <c r="D1072" s="5" t="s">
        <v>22</v>
      </c>
      <c r="E1072" s="5" t="s">
        <v>40</v>
      </c>
      <c r="F1072" s="5" t="s">
        <v>18</v>
      </c>
      <c r="G1072" s="5" t="s">
        <v>11</v>
      </c>
      <c r="H1072" s="5">
        <v>19900</v>
      </c>
      <c r="I1072" s="5">
        <v>5</v>
      </c>
      <c r="J1072" s="9">
        <v>99500</v>
      </c>
    </row>
    <row r="1073" spans="1:10" x14ac:dyDescent="0.3">
      <c r="A1073" s="3" t="s">
        <v>1138</v>
      </c>
      <c r="B1073" s="4">
        <v>43441</v>
      </c>
      <c r="C1073" s="5">
        <v>4</v>
      </c>
      <c r="D1073" s="5" t="s">
        <v>22</v>
      </c>
      <c r="E1073" s="5" t="s">
        <v>40</v>
      </c>
      <c r="F1073" s="5" t="s">
        <v>18</v>
      </c>
      <c r="G1073" s="5" t="s">
        <v>12</v>
      </c>
      <c r="H1073" s="5">
        <v>6900</v>
      </c>
      <c r="I1073" s="5">
        <v>7</v>
      </c>
      <c r="J1073" s="9">
        <v>48300</v>
      </c>
    </row>
    <row r="1074" spans="1:10" x14ac:dyDescent="0.3">
      <c r="A1074" s="3" t="s">
        <v>1139</v>
      </c>
      <c r="B1074" s="4">
        <v>43441</v>
      </c>
      <c r="C1074" s="5">
        <v>9</v>
      </c>
      <c r="D1074" s="5" t="s">
        <v>27</v>
      </c>
      <c r="E1074" s="5" t="s">
        <v>41</v>
      </c>
      <c r="F1074" s="5" t="s">
        <v>15</v>
      </c>
      <c r="G1074" s="5" t="s">
        <v>13</v>
      </c>
      <c r="H1074" s="5">
        <v>28900</v>
      </c>
      <c r="I1074" s="5">
        <v>7</v>
      </c>
      <c r="J1074" s="9">
        <v>202300</v>
      </c>
    </row>
    <row r="1075" spans="1:10" x14ac:dyDescent="0.3">
      <c r="A1075" s="3" t="s">
        <v>1140</v>
      </c>
      <c r="B1075" s="4">
        <v>43442</v>
      </c>
      <c r="C1075" s="5">
        <v>10</v>
      </c>
      <c r="D1075" s="5" t="s">
        <v>28</v>
      </c>
      <c r="E1075" s="5" t="s">
        <v>41</v>
      </c>
      <c r="F1075" s="5" t="s">
        <v>15</v>
      </c>
      <c r="G1075" s="5" t="s">
        <v>12</v>
      </c>
      <c r="H1075" s="5">
        <v>6900</v>
      </c>
      <c r="I1075" s="5">
        <v>7</v>
      </c>
      <c r="J1075" s="9">
        <v>48300</v>
      </c>
    </row>
    <row r="1076" spans="1:10" x14ac:dyDescent="0.3">
      <c r="A1076" s="3" t="s">
        <v>1141</v>
      </c>
      <c r="B1076" s="4">
        <v>43442</v>
      </c>
      <c r="C1076" s="5">
        <v>4</v>
      </c>
      <c r="D1076" s="5" t="s">
        <v>22</v>
      </c>
      <c r="E1076" s="5" t="s">
        <v>40</v>
      </c>
      <c r="F1076" s="5" t="s">
        <v>18</v>
      </c>
      <c r="G1076" s="5" t="s">
        <v>12</v>
      </c>
      <c r="H1076" s="5">
        <v>6900</v>
      </c>
      <c r="I1076" s="5">
        <v>5</v>
      </c>
      <c r="J1076" s="9">
        <v>34500</v>
      </c>
    </row>
    <row r="1077" spans="1:10" x14ac:dyDescent="0.3">
      <c r="A1077" s="3" t="s">
        <v>1142</v>
      </c>
      <c r="B1077" s="4">
        <v>43443</v>
      </c>
      <c r="C1077" s="5">
        <v>20</v>
      </c>
      <c r="D1077" s="5" t="s">
        <v>38</v>
      </c>
      <c r="E1077" s="5" t="s">
        <v>42</v>
      </c>
      <c r="F1077" s="5" t="s">
        <v>17</v>
      </c>
      <c r="G1077" s="5" t="s">
        <v>13</v>
      </c>
      <c r="H1077" s="5">
        <v>28900</v>
      </c>
      <c r="I1077" s="5">
        <v>8</v>
      </c>
      <c r="J1077" s="9">
        <v>231200</v>
      </c>
    </row>
    <row r="1078" spans="1:10" x14ac:dyDescent="0.3">
      <c r="A1078" s="3" t="s">
        <v>1143</v>
      </c>
      <c r="B1078" s="4">
        <v>43444</v>
      </c>
      <c r="C1078" s="5">
        <v>11</v>
      </c>
      <c r="D1078" s="5" t="s">
        <v>29</v>
      </c>
      <c r="E1078" s="5" t="s">
        <v>39</v>
      </c>
      <c r="F1078" s="5" t="s">
        <v>16</v>
      </c>
      <c r="G1078" s="5" t="s">
        <v>13</v>
      </c>
      <c r="H1078" s="5">
        <v>28900</v>
      </c>
      <c r="I1078" s="5">
        <v>9</v>
      </c>
      <c r="J1078" s="9">
        <v>260100</v>
      </c>
    </row>
    <row r="1079" spans="1:10" x14ac:dyDescent="0.3">
      <c r="A1079" s="3" t="s">
        <v>1144</v>
      </c>
      <c r="B1079" s="4">
        <v>43445</v>
      </c>
      <c r="C1079" s="5">
        <v>13</v>
      </c>
      <c r="D1079" s="5" t="s">
        <v>31</v>
      </c>
      <c r="E1079" s="5" t="s">
        <v>39</v>
      </c>
      <c r="F1079" s="5" t="s">
        <v>16</v>
      </c>
      <c r="G1079" s="5" t="s">
        <v>13</v>
      </c>
      <c r="H1079" s="5">
        <v>28900</v>
      </c>
      <c r="I1079" s="5">
        <v>8</v>
      </c>
      <c r="J1079" s="9">
        <v>231200</v>
      </c>
    </row>
    <row r="1080" spans="1:10" x14ac:dyDescent="0.3">
      <c r="A1080" s="3" t="s">
        <v>1145</v>
      </c>
      <c r="B1080" s="4">
        <v>43445</v>
      </c>
      <c r="C1080" s="5">
        <v>10</v>
      </c>
      <c r="D1080" s="5" t="s">
        <v>28</v>
      </c>
      <c r="E1080" s="5" t="s">
        <v>41</v>
      </c>
      <c r="F1080" s="5" t="s">
        <v>15</v>
      </c>
      <c r="G1080" s="5" t="s">
        <v>12</v>
      </c>
      <c r="H1080" s="5">
        <v>6900</v>
      </c>
      <c r="I1080" s="5">
        <v>6</v>
      </c>
      <c r="J1080" s="9">
        <v>41400</v>
      </c>
    </row>
    <row r="1081" spans="1:10" x14ac:dyDescent="0.3">
      <c r="A1081" s="3" t="s">
        <v>1146</v>
      </c>
      <c r="B1081" s="4">
        <v>43445</v>
      </c>
      <c r="C1081" s="5">
        <v>19</v>
      </c>
      <c r="D1081" s="5" t="s">
        <v>37</v>
      </c>
      <c r="E1081" s="5" t="s">
        <v>42</v>
      </c>
      <c r="F1081" s="5" t="s">
        <v>17</v>
      </c>
      <c r="G1081" s="5" t="s">
        <v>13</v>
      </c>
      <c r="H1081" s="5">
        <v>28900</v>
      </c>
      <c r="I1081" s="5">
        <v>9</v>
      </c>
      <c r="J1081" s="9">
        <v>260100</v>
      </c>
    </row>
    <row r="1082" spans="1:10" x14ac:dyDescent="0.3">
      <c r="A1082" s="3" t="s">
        <v>1147</v>
      </c>
      <c r="B1082" s="4">
        <v>43446</v>
      </c>
      <c r="C1082" s="5">
        <v>14</v>
      </c>
      <c r="D1082" s="5" t="s">
        <v>32</v>
      </c>
      <c r="E1082" s="5" t="s">
        <v>39</v>
      </c>
      <c r="F1082" s="5" t="s">
        <v>16</v>
      </c>
      <c r="G1082" s="5" t="s">
        <v>13</v>
      </c>
      <c r="H1082" s="5">
        <v>28900</v>
      </c>
      <c r="I1082" s="5">
        <v>5</v>
      </c>
      <c r="J1082" s="9">
        <v>144500</v>
      </c>
    </row>
    <row r="1083" spans="1:10" x14ac:dyDescent="0.3">
      <c r="A1083" s="3" t="s">
        <v>1148</v>
      </c>
      <c r="B1083" s="4">
        <v>43447</v>
      </c>
      <c r="C1083" s="5">
        <v>16</v>
      </c>
      <c r="D1083" s="5" t="s">
        <v>34</v>
      </c>
      <c r="E1083" s="5" t="s">
        <v>42</v>
      </c>
      <c r="F1083" s="5" t="s">
        <v>17</v>
      </c>
      <c r="G1083" s="5" t="s">
        <v>14</v>
      </c>
      <c r="H1083" s="5">
        <v>15900</v>
      </c>
      <c r="I1083" s="5">
        <v>0</v>
      </c>
      <c r="J1083" s="9">
        <v>0</v>
      </c>
    </row>
    <row r="1084" spans="1:10" x14ac:dyDescent="0.3">
      <c r="A1084" s="3" t="s">
        <v>1149</v>
      </c>
      <c r="B1084" s="4">
        <v>43447</v>
      </c>
      <c r="C1084" s="5">
        <v>13</v>
      </c>
      <c r="D1084" s="5" t="s">
        <v>31</v>
      </c>
      <c r="E1084" s="5" t="s">
        <v>39</v>
      </c>
      <c r="F1084" s="5" t="s">
        <v>16</v>
      </c>
      <c r="G1084" s="5" t="s">
        <v>13</v>
      </c>
      <c r="H1084" s="5">
        <v>28900</v>
      </c>
      <c r="I1084" s="5">
        <v>5</v>
      </c>
      <c r="J1084" s="9">
        <v>144500</v>
      </c>
    </row>
    <row r="1085" spans="1:10" x14ac:dyDescent="0.3">
      <c r="A1085" s="3" t="s">
        <v>1150</v>
      </c>
      <c r="B1085" s="4">
        <v>43447</v>
      </c>
      <c r="C1085" s="5">
        <v>2</v>
      </c>
      <c r="D1085" s="5" t="s">
        <v>20</v>
      </c>
      <c r="E1085" s="5" t="s">
        <v>40</v>
      </c>
      <c r="F1085" s="5" t="s">
        <v>18</v>
      </c>
      <c r="G1085" s="5" t="s">
        <v>11</v>
      </c>
      <c r="H1085" s="5">
        <v>19900</v>
      </c>
      <c r="I1085" s="5">
        <v>4</v>
      </c>
      <c r="J1085" s="9">
        <v>79600</v>
      </c>
    </row>
    <row r="1086" spans="1:10" x14ac:dyDescent="0.3">
      <c r="A1086" s="3" t="s">
        <v>1151</v>
      </c>
      <c r="B1086" s="4">
        <v>43447</v>
      </c>
      <c r="C1086" s="5">
        <v>5</v>
      </c>
      <c r="D1086" s="5" t="s">
        <v>23</v>
      </c>
      <c r="E1086" s="5" t="s">
        <v>46</v>
      </c>
      <c r="F1086" s="5" t="s">
        <v>18</v>
      </c>
      <c r="G1086" s="5" t="s">
        <v>11</v>
      </c>
      <c r="H1086" s="5">
        <v>19900</v>
      </c>
      <c r="I1086" s="5">
        <v>9</v>
      </c>
      <c r="J1086" s="9">
        <v>179100</v>
      </c>
    </row>
    <row r="1087" spans="1:10" x14ac:dyDescent="0.3">
      <c r="A1087" s="3" t="s">
        <v>1152</v>
      </c>
      <c r="B1087" s="4">
        <v>43447</v>
      </c>
      <c r="C1087" s="5">
        <v>11</v>
      </c>
      <c r="D1087" s="5" t="s">
        <v>29</v>
      </c>
      <c r="E1087" s="5" t="s">
        <v>45</v>
      </c>
      <c r="F1087" s="5" t="s">
        <v>16</v>
      </c>
      <c r="G1087" s="5" t="s">
        <v>12</v>
      </c>
      <c r="H1087" s="5">
        <v>6900</v>
      </c>
      <c r="I1087" s="5">
        <v>1</v>
      </c>
      <c r="J1087" s="9">
        <v>6900</v>
      </c>
    </row>
    <row r="1088" spans="1:10" x14ac:dyDescent="0.3">
      <c r="A1088" s="3" t="s">
        <v>1153</v>
      </c>
      <c r="B1088" s="4">
        <v>43447</v>
      </c>
      <c r="C1088" s="5">
        <v>3</v>
      </c>
      <c r="D1088" s="5" t="s">
        <v>21</v>
      </c>
      <c r="E1088" s="5" t="s">
        <v>40</v>
      </c>
      <c r="F1088" s="5" t="s">
        <v>18</v>
      </c>
      <c r="G1088" s="5" t="s">
        <v>12</v>
      </c>
      <c r="H1088" s="5">
        <v>6900</v>
      </c>
      <c r="I1088" s="5">
        <v>5</v>
      </c>
      <c r="J1088" s="9">
        <v>34500</v>
      </c>
    </row>
    <row r="1089" spans="1:10" x14ac:dyDescent="0.3">
      <c r="A1089" s="3" t="s">
        <v>1154</v>
      </c>
      <c r="B1089" s="4">
        <v>43447</v>
      </c>
      <c r="C1089" s="5">
        <v>11</v>
      </c>
      <c r="D1089" s="5" t="s">
        <v>29</v>
      </c>
      <c r="E1089" s="5" t="s">
        <v>45</v>
      </c>
      <c r="F1089" s="5" t="s">
        <v>16</v>
      </c>
      <c r="G1089" s="5" t="s">
        <v>14</v>
      </c>
      <c r="H1089" s="5">
        <v>15900</v>
      </c>
      <c r="I1089" s="5">
        <v>3</v>
      </c>
      <c r="J1089" s="9">
        <v>47700</v>
      </c>
    </row>
    <row r="1090" spans="1:10" x14ac:dyDescent="0.3">
      <c r="A1090" s="3" t="s">
        <v>1155</v>
      </c>
      <c r="B1090" s="4">
        <v>43447</v>
      </c>
      <c r="C1090" s="5">
        <v>1</v>
      </c>
      <c r="D1090" s="5" t="s">
        <v>19</v>
      </c>
      <c r="E1090" s="5" t="s">
        <v>40</v>
      </c>
      <c r="F1090" s="5" t="s">
        <v>18</v>
      </c>
      <c r="G1090" s="5" t="s">
        <v>10</v>
      </c>
      <c r="H1090" s="5">
        <v>39900</v>
      </c>
      <c r="I1090" s="5">
        <v>1</v>
      </c>
      <c r="J1090" s="9">
        <v>39900</v>
      </c>
    </row>
    <row r="1091" spans="1:10" x14ac:dyDescent="0.3">
      <c r="A1091" s="3" t="s">
        <v>1156</v>
      </c>
      <c r="B1091" s="4">
        <v>43448</v>
      </c>
      <c r="C1091" s="5">
        <v>18</v>
      </c>
      <c r="D1091" s="5" t="s">
        <v>36</v>
      </c>
      <c r="E1091" s="5" t="s">
        <v>42</v>
      </c>
      <c r="F1091" s="5" t="s">
        <v>17</v>
      </c>
      <c r="G1091" s="5" t="s">
        <v>13</v>
      </c>
      <c r="H1091" s="5">
        <v>28900</v>
      </c>
      <c r="I1091" s="5">
        <v>9</v>
      </c>
      <c r="J1091" s="9">
        <v>260100</v>
      </c>
    </row>
    <row r="1092" spans="1:10" x14ac:dyDescent="0.3">
      <c r="A1092" s="3" t="s">
        <v>1157</v>
      </c>
      <c r="B1092" s="4">
        <v>43449</v>
      </c>
      <c r="C1092" s="5">
        <v>15</v>
      </c>
      <c r="D1092" s="5" t="s">
        <v>33</v>
      </c>
      <c r="E1092" s="5" t="s">
        <v>45</v>
      </c>
      <c r="F1092" s="5" t="s">
        <v>16</v>
      </c>
      <c r="G1092" s="5" t="s">
        <v>13</v>
      </c>
      <c r="H1092" s="5">
        <v>28900</v>
      </c>
      <c r="I1092" s="5">
        <v>9</v>
      </c>
      <c r="J1092" s="9">
        <v>260100</v>
      </c>
    </row>
    <row r="1093" spans="1:10" x14ac:dyDescent="0.3">
      <c r="A1093" s="3" t="s">
        <v>1158</v>
      </c>
      <c r="B1093" s="4">
        <v>43449</v>
      </c>
      <c r="C1093" s="5">
        <v>8</v>
      </c>
      <c r="D1093" s="5" t="s">
        <v>26</v>
      </c>
      <c r="E1093" s="5" t="s">
        <v>41</v>
      </c>
      <c r="F1093" s="5" t="s">
        <v>15</v>
      </c>
      <c r="G1093" s="5" t="s">
        <v>13</v>
      </c>
      <c r="H1093" s="5">
        <v>28900</v>
      </c>
      <c r="I1093" s="5">
        <v>2</v>
      </c>
      <c r="J1093" s="9">
        <v>57800</v>
      </c>
    </row>
    <row r="1094" spans="1:10" x14ac:dyDescent="0.3">
      <c r="A1094" s="3" t="s">
        <v>1159</v>
      </c>
      <c r="B1094" s="4">
        <v>43450</v>
      </c>
      <c r="C1094" s="5">
        <v>18</v>
      </c>
      <c r="D1094" s="5" t="s">
        <v>36</v>
      </c>
      <c r="E1094" s="5" t="s">
        <v>42</v>
      </c>
      <c r="F1094" s="5" t="s">
        <v>17</v>
      </c>
      <c r="G1094" s="5" t="s">
        <v>14</v>
      </c>
      <c r="H1094" s="5">
        <v>15900</v>
      </c>
      <c r="I1094" s="5">
        <v>4</v>
      </c>
      <c r="J1094" s="9">
        <v>63600</v>
      </c>
    </row>
    <row r="1095" spans="1:10" x14ac:dyDescent="0.3">
      <c r="A1095" s="3" t="s">
        <v>1160</v>
      </c>
      <c r="B1095" s="4">
        <v>43450</v>
      </c>
      <c r="C1095" s="5">
        <v>5</v>
      </c>
      <c r="D1095" s="5" t="s">
        <v>23</v>
      </c>
      <c r="E1095" s="5" t="s">
        <v>46</v>
      </c>
      <c r="F1095" s="5" t="s">
        <v>18</v>
      </c>
      <c r="G1095" s="5" t="s">
        <v>12</v>
      </c>
      <c r="H1095" s="5">
        <v>6900</v>
      </c>
      <c r="I1095" s="5">
        <v>1</v>
      </c>
      <c r="J1095" s="9">
        <v>6900</v>
      </c>
    </row>
    <row r="1096" spans="1:10" x14ac:dyDescent="0.3">
      <c r="A1096" s="3" t="s">
        <v>1161</v>
      </c>
      <c r="B1096" s="4">
        <v>43450</v>
      </c>
      <c r="C1096" s="5">
        <v>20</v>
      </c>
      <c r="D1096" s="5" t="s">
        <v>38</v>
      </c>
      <c r="E1096" s="5" t="s">
        <v>43</v>
      </c>
      <c r="F1096" s="5" t="s">
        <v>17</v>
      </c>
      <c r="G1096" s="5" t="s">
        <v>13</v>
      </c>
      <c r="H1096" s="5">
        <v>28900</v>
      </c>
      <c r="I1096" s="5">
        <v>3</v>
      </c>
      <c r="J1096" s="9">
        <v>86700</v>
      </c>
    </row>
    <row r="1097" spans="1:10" x14ac:dyDescent="0.3">
      <c r="A1097" s="3" t="s">
        <v>1162</v>
      </c>
      <c r="B1097" s="4">
        <v>43451</v>
      </c>
      <c r="C1097" s="5">
        <v>12</v>
      </c>
      <c r="D1097" s="5" t="s">
        <v>30</v>
      </c>
      <c r="E1097" s="5" t="s">
        <v>39</v>
      </c>
      <c r="F1097" s="5" t="s">
        <v>16</v>
      </c>
      <c r="G1097" s="5" t="s">
        <v>10</v>
      </c>
      <c r="H1097" s="5">
        <v>39900</v>
      </c>
      <c r="I1097" s="5">
        <v>5</v>
      </c>
      <c r="J1097" s="9">
        <v>199500</v>
      </c>
    </row>
    <row r="1098" spans="1:10" x14ac:dyDescent="0.3">
      <c r="A1098" s="3" t="s">
        <v>1163</v>
      </c>
      <c r="B1098" s="4">
        <v>43451</v>
      </c>
      <c r="C1098" s="5">
        <v>1</v>
      </c>
      <c r="D1098" s="5" t="s">
        <v>19</v>
      </c>
      <c r="E1098" s="5" t="s">
        <v>40</v>
      </c>
      <c r="F1098" s="5" t="s">
        <v>18</v>
      </c>
      <c r="G1098" s="5" t="s">
        <v>12</v>
      </c>
      <c r="H1098" s="5">
        <v>6900</v>
      </c>
      <c r="I1098" s="5">
        <v>6</v>
      </c>
      <c r="J1098" s="9">
        <v>41400</v>
      </c>
    </row>
    <row r="1099" spans="1:10" x14ac:dyDescent="0.3">
      <c r="A1099" s="3" t="s">
        <v>1164</v>
      </c>
      <c r="B1099" s="4">
        <v>43452</v>
      </c>
      <c r="C1099" s="5">
        <v>10</v>
      </c>
      <c r="D1099" s="5" t="s">
        <v>28</v>
      </c>
      <c r="E1099" s="5" t="s">
        <v>41</v>
      </c>
      <c r="F1099" s="5" t="s">
        <v>15</v>
      </c>
      <c r="G1099" s="5" t="s">
        <v>11</v>
      </c>
      <c r="H1099" s="5">
        <v>19900</v>
      </c>
      <c r="I1099" s="5">
        <v>3</v>
      </c>
      <c r="J1099" s="9">
        <v>59700</v>
      </c>
    </row>
    <row r="1100" spans="1:10" x14ac:dyDescent="0.3">
      <c r="A1100" s="3" t="s">
        <v>1165</v>
      </c>
      <c r="B1100" s="4">
        <v>43452</v>
      </c>
      <c r="C1100" s="5">
        <v>3</v>
      </c>
      <c r="D1100" s="5" t="s">
        <v>21</v>
      </c>
      <c r="E1100" s="5" t="s">
        <v>40</v>
      </c>
      <c r="F1100" s="5" t="s">
        <v>18</v>
      </c>
      <c r="G1100" s="5" t="s">
        <v>12</v>
      </c>
      <c r="H1100" s="5">
        <v>6900</v>
      </c>
      <c r="I1100" s="5">
        <v>2</v>
      </c>
      <c r="J1100" s="9">
        <v>13800</v>
      </c>
    </row>
    <row r="1101" spans="1:10" x14ac:dyDescent="0.3">
      <c r="A1101" s="3" t="s">
        <v>1166</v>
      </c>
      <c r="B1101" s="4">
        <v>43452</v>
      </c>
      <c r="C1101" s="5">
        <v>8</v>
      </c>
      <c r="D1101" s="5" t="s">
        <v>26</v>
      </c>
      <c r="E1101" s="5" t="s">
        <v>44</v>
      </c>
      <c r="F1101" s="5" t="s">
        <v>15</v>
      </c>
      <c r="G1101" s="5" t="s">
        <v>14</v>
      </c>
      <c r="H1101" s="5">
        <v>15900</v>
      </c>
      <c r="I1101" s="5">
        <v>3</v>
      </c>
      <c r="J1101" s="9">
        <v>47700</v>
      </c>
    </row>
    <row r="1102" spans="1:10" x14ac:dyDescent="0.3">
      <c r="A1102" s="3" t="s">
        <v>1167</v>
      </c>
      <c r="B1102" s="4">
        <v>43452</v>
      </c>
      <c r="C1102" s="5">
        <v>8</v>
      </c>
      <c r="D1102" s="5" t="s">
        <v>26</v>
      </c>
      <c r="E1102" s="5" t="s">
        <v>41</v>
      </c>
      <c r="F1102" s="5" t="s">
        <v>15</v>
      </c>
      <c r="G1102" s="5" t="s">
        <v>12</v>
      </c>
      <c r="H1102" s="5">
        <v>6900</v>
      </c>
      <c r="I1102" s="5">
        <v>9</v>
      </c>
      <c r="J1102" s="9">
        <v>62100</v>
      </c>
    </row>
    <row r="1103" spans="1:10" x14ac:dyDescent="0.3">
      <c r="A1103" s="3" t="s">
        <v>1168</v>
      </c>
      <c r="B1103" s="4">
        <v>43452</v>
      </c>
      <c r="C1103" s="5">
        <v>12</v>
      </c>
      <c r="D1103" s="5" t="s">
        <v>30</v>
      </c>
      <c r="E1103" s="5" t="s">
        <v>39</v>
      </c>
      <c r="F1103" s="5" t="s">
        <v>16</v>
      </c>
      <c r="G1103" s="5" t="s">
        <v>10</v>
      </c>
      <c r="H1103" s="5">
        <v>39900</v>
      </c>
      <c r="I1103" s="5">
        <v>3</v>
      </c>
      <c r="J1103" s="9">
        <v>119700</v>
      </c>
    </row>
    <row r="1104" spans="1:10" x14ac:dyDescent="0.3">
      <c r="A1104" s="3" t="s">
        <v>1169</v>
      </c>
      <c r="B1104" s="4">
        <v>43452</v>
      </c>
      <c r="C1104" s="5">
        <v>5</v>
      </c>
      <c r="D1104" s="5" t="s">
        <v>23</v>
      </c>
      <c r="E1104" s="5" t="s">
        <v>46</v>
      </c>
      <c r="F1104" s="5" t="s">
        <v>18</v>
      </c>
      <c r="G1104" s="5" t="s">
        <v>10</v>
      </c>
      <c r="H1104" s="5">
        <v>39900</v>
      </c>
      <c r="I1104" s="5">
        <v>0</v>
      </c>
      <c r="J1104" s="9">
        <v>0</v>
      </c>
    </row>
    <row r="1105" spans="1:10" x14ac:dyDescent="0.3">
      <c r="A1105" s="3" t="s">
        <v>1170</v>
      </c>
      <c r="B1105" s="4">
        <v>43452</v>
      </c>
      <c r="C1105" s="5">
        <v>12</v>
      </c>
      <c r="D1105" s="5" t="s">
        <v>30</v>
      </c>
      <c r="E1105" s="5" t="s">
        <v>45</v>
      </c>
      <c r="F1105" s="5" t="s">
        <v>16</v>
      </c>
      <c r="G1105" s="5" t="s">
        <v>11</v>
      </c>
      <c r="H1105" s="5">
        <v>19900</v>
      </c>
      <c r="I1105" s="5">
        <v>2</v>
      </c>
      <c r="J1105" s="9">
        <v>39800</v>
      </c>
    </row>
    <row r="1106" spans="1:10" x14ac:dyDescent="0.3">
      <c r="A1106" s="3" t="s">
        <v>1171</v>
      </c>
      <c r="B1106" s="4">
        <v>43452</v>
      </c>
      <c r="C1106" s="5">
        <v>12</v>
      </c>
      <c r="D1106" s="5" t="s">
        <v>30</v>
      </c>
      <c r="E1106" s="5" t="s">
        <v>39</v>
      </c>
      <c r="F1106" s="5" t="s">
        <v>16</v>
      </c>
      <c r="G1106" s="5" t="s">
        <v>14</v>
      </c>
      <c r="H1106" s="5">
        <v>15900</v>
      </c>
      <c r="I1106" s="5">
        <v>7</v>
      </c>
      <c r="J1106" s="9">
        <v>111300</v>
      </c>
    </row>
    <row r="1107" spans="1:10" x14ac:dyDescent="0.3">
      <c r="A1107" s="3" t="s">
        <v>1172</v>
      </c>
      <c r="B1107" s="4">
        <v>43452</v>
      </c>
      <c r="C1107" s="5">
        <v>20</v>
      </c>
      <c r="D1107" s="5" t="s">
        <v>38</v>
      </c>
      <c r="E1107" s="5" t="s">
        <v>42</v>
      </c>
      <c r="F1107" s="5" t="s">
        <v>17</v>
      </c>
      <c r="G1107" s="5" t="s">
        <v>13</v>
      </c>
      <c r="H1107" s="5">
        <v>28900</v>
      </c>
      <c r="I1107" s="5">
        <v>4</v>
      </c>
      <c r="J1107" s="9">
        <v>115600</v>
      </c>
    </row>
    <row r="1108" spans="1:10" x14ac:dyDescent="0.3">
      <c r="A1108" s="3" t="s">
        <v>1173</v>
      </c>
      <c r="B1108" s="4">
        <v>43452</v>
      </c>
      <c r="C1108" s="5">
        <v>7</v>
      </c>
      <c r="D1108" s="5" t="s">
        <v>25</v>
      </c>
      <c r="E1108" s="5" t="s">
        <v>44</v>
      </c>
      <c r="F1108" s="5" t="s">
        <v>15</v>
      </c>
      <c r="G1108" s="5" t="s">
        <v>11</v>
      </c>
      <c r="H1108" s="5">
        <v>19900</v>
      </c>
      <c r="I1108" s="5">
        <v>9</v>
      </c>
      <c r="J1108" s="9">
        <v>179100</v>
      </c>
    </row>
    <row r="1109" spans="1:10" x14ac:dyDescent="0.3">
      <c r="A1109" s="3" t="s">
        <v>1174</v>
      </c>
      <c r="B1109" s="4">
        <v>43452</v>
      </c>
      <c r="C1109" s="5">
        <v>14</v>
      </c>
      <c r="D1109" s="5" t="s">
        <v>32</v>
      </c>
      <c r="E1109" s="5" t="s">
        <v>39</v>
      </c>
      <c r="F1109" s="5" t="s">
        <v>16</v>
      </c>
      <c r="G1109" s="5" t="s">
        <v>10</v>
      </c>
      <c r="H1109" s="5">
        <v>39900</v>
      </c>
      <c r="I1109" s="5">
        <v>5</v>
      </c>
      <c r="J1109" s="9">
        <v>199500</v>
      </c>
    </row>
    <row r="1110" spans="1:10" x14ac:dyDescent="0.3">
      <c r="A1110" s="3" t="s">
        <v>1175</v>
      </c>
      <c r="B1110" s="4">
        <v>43453</v>
      </c>
      <c r="C1110" s="5">
        <v>11</v>
      </c>
      <c r="D1110" s="5" t="s">
        <v>29</v>
      </c>
      <c r="E1110" s="5" t="s">
        <v>39</v>
      </c>
      <c r="F1110" s="5" t="s">
        <v>16</v>
      </c>
      <c r="G1110" s="5" t="s">
        <v>14</v>
      </c>
      <c r="H1110" s="5">
        <v>15900</v>
      </c>
      <c r="I1110" s="5">
        <v>2</v>
      </c>
      <c r="J1110" s="9">
        <v>31800</v>
      </c>
    </row>
    <row r="1111" spans="1:10" x14ac:dyDescent="0.3">
      <c r="A1111" s="3" t="s">
        <v>1176</v>
      </c>
      <c r="B1111" s="4">
        <v>43453</v>
      </c>
      <c r="C1111" s="5">
        <v>10</v>
      </c>
      <c r="D1111" s="5" t="s">
        <v>28</v>
      </c>
      <c r="E1111" s="5" t="s">
        <v>44</v>
      </c>
      <c r="F1111" s="5" t="s">
        <v>15</v>
      </c>
      <c r="G1111" s="5" t="s">
        <v>14</v>
      </c>
      <c r="H1111" s="5">
        <v>15900</v>
      </c>
      <c r="I1111" s="5">
        <v>9</v>
      </c>
      <c r="J1111" s="9">
        <v>143100</v>
      </c>
    </row>
    <row r="1112" spans="1:10" x14ac:dyDescent="0.3">
      <c r="A1112" s="3" t="s">
        <v>1177</v>
      </c>
      <c r="B1112" s="4">
        <v>43454</v>
      </c>
      <c r="C1112" s="5">
        <v>4</v>
      </c>
      <c r="D1112" s="5" t="s">
        <v>22</v>
      </c>
      <c r="E1112" s="5" t="s">
        <v>40</v>
      </c>
      <c r="F1112" s="5" t="s">
        <v>18</v>
      </c>
      <c r="G1112" s="5" t="s">
        <v>10</v>
      </c>
      <c r="H1112" s="5">
        <v>39900</v>
      </c>
      <c r="I1112" s="5">
        <v>8</v>
      </c>
      <c r="J1112" s="9">
        <v>319200</v>
      </c>
    </row>
    <row r="1113" spans="1:10" x14ac:dyDescent="0.3">
      <c r="A1113" s="3" t="s">
        <v>1178</v>
      </c>
      <c r="B1113" s="4">
        <v>43454</v>
      </c>
      <c r="C1113" s="5">
        <v>10</v>
      </c>
      <c r="D1113" s="5" t="s">
        <v>28</v>
      </c>
      <c r="E1113" s="5" t="s">
        <v>41</v>
      </c>
      <c r="F1113" s="5" t="s">
        <v>15</v>
      </c>
      <c r="G1113" s="5" t="s">
        <v>12</v>
      </c>
      <c r="H1113" s="5">
        <v>6900</v>
      </c>
      <c r="I1113" s="5">
        <v>6</v>
      </c>
      <c r="J1113" s="9">
        <v>41400</v>
      </c>
    </row>
    <row r="1114" spans="1:10" x14ac:dyDescent="0.3">
      <c r="A1114" s="3" t="s">
        <v>1179</v>
      </c>
      <c r="B1114" s="4">
        <v>43454</v>
      </c>
      <c r="C1114" s="5">
        <v>19</v>
      </c>
      <c r="D1114" s="5" t="s">
        <v>37</v>
      </c>
      <c r="E1114" s="5" t="s">
        <v>42</v>
      </c>
      <c r="F1114" s="5" t="s">
        <v>17</v>
      </c>
      <c r="G1114" s="5" t="s">
        <v>12</v>
      </c>
      <c r="H1114" s="5">
        <v>6900</v>
      </c>
      <c r="I1114" s="5">
        <v>7</v>
      </c>
      <c r="J1114" s="9">
        <v>48300</v>
      </c>
    </row>
    <row r="1115" spans="1:10" x14ac:dyDescent="0.3">
      <c r="A1115" s="3" t="s">
        <v>1180</v>
      </c>
      <c r="B1115" s="4">
        <v>43454</v>
      </c>
      <c r="C1115" s="5">
        <v>13</v>
      </c>
      <c r="D1115" s="5" t="s">
        <v>31</v>
      </c>
      <c r="E1115" s="5" t="s">
        <v>39</v>
      </c>
      <c r="F1115" s="5" t="s">
        <v>16</v>
      </c>
      <c r="G1115" s="5" t="s">
        <v>12</v>
      </c>
      <c r="H1115" s="5">
        <v>6900</v>
      </c>
      <c r="I1115" s="5">
        <v>8</v>
      </c>
      <c r="J1115" s="9">
        <v>55200</v>
      </c>
    </row>
    <row r="1116" spans="1:10" x14ac:dyDescent="0.3">
      <c r="A1116" s="3" t="s">
        <v>1181</v>
      </c>
      <c r="B1116" s="4">
        <v>43454</v>
      </c>
      <c r="C1116" s="5">
        <v>20</v>
      </c>
      <c r="D1116" s="5" t="s">
        <v>38</v>
      </c>
      <c r="E1116" s="5" t="s">
        <v>43</v>
      </c>
      <c r="F1116" s="5" t="s">
        <v>17</v>
      </c>
      <c r="G1116" s="5" t="s">
        <v>11</v>
      </c>
      <c r="H1116" s="5">
        <v>19900</v>
      </c>
      <c r="I1116" s="5">
        <v>1</v>
      </c>
      <c r="J1116" s="9">
        <v>19900</v>
      </c>
    </row>
    <row r="1117" spans="1:10" x14ac:dyDescent="0.3">
      <c r="A1117" s="3" t="s">
        <v>1182</v>
      </c>
      <c r="B1117" s="4">
        <v>43454</v>
      </c>
      <c r="C1117" s="5">
        <v>14</v>
      </c>
      <c r="D1117" s="5" t="s">
        <v>32</v>
      </c>
      <c r="E1117" s="5" t="s">
        <v>39</v>
      </c>
      <c r="F1117" s="5" t="s">
        <v>16</v>
      </c>
      <c r="G1117" s="5" t="s">
        <v>14</v>
      </c>
      <c r="H1117" s="5">
        <v>15900</v>
      </c>
      <c r="I1117" s="5">
        <v>9</v>
      </c>
      <c r="J1117" s="9">
        <v>143100</v>
      </c>
    </row>
    <row r="1118" spans="1:10" x14ac:dyDescent="0.3">
      <c r="A1118" s="3" t="s">
        <v>1183</v>
      </c>
      <c r="B1118" s="4">
        <v>43454</v>
      </c>
      <c r="C1118" s="5">
        <v>9</v>
      </c>
      <c r="D1118" s="5" t="s">
        <v>27</v>
      </c>
      <c r="E1118" s="5" t="s">
        <v>41</v>
      </c>
      <c r="F1118" s="5" t="s">
        <v>15</v>
      </c>
      <c r="G1118" s="5" t="s">
        <v>13</v>
      </c>
      <c r="H1118" s="5">
        <v>28900</v>
      </c>
      <c r="I1118" s="5">
        <v>5</v>
      </c>
      <c r="J1118" s="9">
        <v>144500</v>
      </c>
    </row>
    <row r="1119" spans="1:10" x14ac:dyDescent="0.3">
      <c r="A1119" s="3" t="s">
        <v>1184</v>
      </c>
      <c r="B1119" s="4">
        <v>43454</v>
      </c>
      <c r="C1119" s="5">
        <v>18</v>
      </c>
      <c r="D1119" s="5" t="s">
        <v>36</v>
      </c>
      <c r="E1119" s="5" t="s">
        <v>42</v>
      </c>
      <c r="F1119" s="5" t="s">
        <v>17</v>
      </c>
      <c r="G1119" s="5" t="s">
        <v>10</v>
      </c>
      <c r="H1119" s="5">
        <v>39900</v>
      </c>
      <c r="I1119" s="5">
        <v>7</v>
      </c>
      <c r="J1119" s="9">
        <v>279300</v>
      </c>
    </row>
    <row r="1120" spans="1:10" x14ac:dyDescent="0.3">
      <c r="A1120" s="3" t="s">
        <v>1185</v>
      </c>
      <c r="B1120" s="4">
        <v>43454</v>
      </c>
      <c r="C1120" s="5">
        <v>10</v>
      </c>
      <c r="D1120" s="5" t="s">
        <v>28</v>
      </c>
      <c r="E1120" s="5" t="s">
        <v>41</v>
      </c>
      <c r="F1120" s="5" t="s">
        <v>15</v>
      </c>
      <c r="G1120" s="5" t="s">
        <v>11</v>
      </c>
      <c r="H1120" s="5">
        <v>19900</v>
      </c>
      <c r="I1120" s="5">
        <v>6</v>
      </c>
      <c r="J1120" s="9">
        <v>119400</v>
      </c>
    </row>
    <row r="1121" spans="1:10" x14ac:dyDescent="0.3">
      <c r="A1121" s="3" t="s">
        <v>1186</v>
      </c>
      <c r="B1121" s="4">
        <v>43455</v>
      </c>
      <c r="C1121" s="5">
        <v>1</v>
      </c>
      <c r="D1121" s="5" t="s">
        <v>19</v>
      </c>
      <c r="E1121" s="5" t="s">
        <v>46</v>
      </c>
      <c r="F1121" s="5" t="s">
        <v>18</v>
      </c>
      <c r="G1121" s="5" t="s">
        <v>14</v>
      </c>
      <c r="H1121" s="5">
        <v>15900</v>
      </c>
      <c r="I1121" s="5">
        <v>8</v>
      </c>
      <c r="J1121" s="9">
        <v>127200</v>
      </c>
    </row>
    <row r="1122" spans="1:10" x14ac:dyDescent="0.3">
      <c r="A1122" s="3" t="s">
        <v>1187</v>
      </c>
      <c r="B1122" s="4">
        <v>43456</v>
      </c>
      <c r="C1122" s="5">
        <v>14</v>
      </c>
      <c r="D1122" s="5" t="s">
        <v>32</v>
      </c>
      <c r="E1122" s="5" t="s">
        <v>45</v>
      </c>
      <c r="F1122" s="5" t="s">
        <v>16</v>
      </c>
      <c r="G1122" s="5" t="s">
        <v>10</v>
      </c>
      <c r="H1122" s="5">
        <v>39900</v>
      </c>
      <c r="I1122" s="5">
        <v>7</v>
      </c>
      <c r="J1122" s="9">
        <v>279300</v>
      </c>
    </row>
    <row r="1123" spans="1:10" x14ac:dyDescent="0.3">
      <c r="A1123" s="3" t="s">
        <v>1188</v>
      </c>
      <c r="B1123" s="4">
        <v>43457</v>
      </c>
      <c r="C1123" s="5">
        <v>6</v>
      </c>
      <c r="D1123" s="5" t="s">
        <v>24</v>
      </c>
      <c r="E1123" s="5" t="s">
        <v>44</v>
      </c>
      <c r="F1123" s="5" t="s">
        <v>15</v>
      </c>
      <c r="G1123" s="5" t="s">
        <v>14</v>
      </c>
      <c r="H1123" s="5">
        <v>15900</v>
      </c>
      <c r="I1123" s="5">
        <v>2</v>
      </c>
      <c r="J1123" s="9">
        <v>31800</v>
      </c>
    </row>
    <row r="1124" spans="1:10" x14ac:dyDescent="0.3">
      <c r="A1124" s="3" t="s">
        <v>1189</v>
      </c>
      <c r="B1124" s="4">
        <v>43457</v>
      </c>
      <c r="C1124" s="5">
        <v>9</v>
      </c>
      <c r="D1124" s="5" t="s">
        <v>27</v>
      </c>
      <c r="E1124" s="5" t="s">
        <v>41</v>
      </c>
      <c r="F1124" s="5" t="s">
        <v>15</v>
      </c>
      <c r="G1124" s="5" t="s">
        <v>14</v>
      </c>
      <c r="H1124" s="5">
        <v>15900</v>
      </c>
      <c r="I1124" s="5">
        <v>9</v>
      </c>
      <c r="J1124" s="9">
        <v>143100</v>
      </c>
    </row>
    <row r="1125" spans="1:10" x14ac:dyDescent="0.3">
      <c r="A1125" s="3" t="s">
        <v>1190</v>
      </c>
      <c r="B1125" s="4">
        <v>43457</v>
      </c>
      <c r="C1125" s="5">
        <v>14</v>
      </c>
      <c r="D1125" s="5" t="s">
        <v>32</v>
      </c>
      <c r="E1125" s="5" t="s">
        <v>39</v>
      </c>
      <c r="F1125" s="5" t="s">
        <v>16</v>
      </c>
      <c r="G1125" s="5" t="s">
        <v>14</v>
      </c>
      <c r="H1125" s="5">
        <v>15900</v>
      </c>
      <c r="I1125" s="5">
        <v>2</v>
      </c>
      <c r="J1125" s="9">
        <v>31800</v>
      </c>
    </row>
    <row r="1126" spans="1:10" x14ac:dyDescent="0.3">
      <c r="A1126" s="3" t="s">
        <v>1191</v>
      </c>
      <c r="B1126" s="4">
        <v>43457</v>
      </c>
      <c r="C1126" s="5">
        <v>19</v>
      </c>
      <c r="D1126" s="5" t="s">
        <v>37</v>
      </c>
      <c r="E1126" s="5" t="s">
        <v>42</v>
      </c>
      <c r="F1126" s="5" t="s">
        <v>17</v>
      </c>
      <c r="G1126" s="5" t="s">
        <v>12</v>
      </c>
      <c r="H1126" s="5">
        <v>6900</v>
      </c>
      <c r="I1126" s="5">
        <v>5</v>
      </c>
      <c r="J1126" s="9">
        <v>34500</v>
      </c>
    </row>
    <row r="1127" spans="1:10" x14ac:dyDescent="0.3">
      <c r="A1127" s="3" t="s">
        <v>1192</v>
      </c>
      <c r="B1127" s="4">
        <v>43457</v>
      </c>
      <c r="C1127" s="5">
        <v>11</v>
      </c>
      <c r="D1127" s="5" t="s">
        <v>29</v>
      </c>
      <c r="E1127" s="5" t="s">
        <v>39</v>
      </c>
      <c r="F1127" s="5" t="s">
        <v>16</v>
      </c>
      <c r="G1127" s="5" t="s">
        <v>13</v>
      </c>
      <c r="H1127" s="5">
        <v>28900</v>
      </c>
      <c r="I1127" s="5">
        <v>9</v>
      </c>
      <c r="J1127" s="9">
        <v>260100</v>
      </c>
    </row>
    <row r="1128" spans="1:10" x14ac:dyDescent="0.3">
      <c r="A1128" s="3" t="s">
        <v>1193</v>
      </c>
      <c r="B1128" s="4">
        <v>43457</v>
      </c>
      <c r="C1128" s="5">
        <v>17</v>
      </c>
      <c r="D1128" s="5" t="s">
        <v>35</v>
      </c>
      <c r="E1128" s="5" t="s">
        <v>43</v>
      </c>
      <c r="F1128" s="5" t="s">
        <v>17</v>
      </c>
      <c r="G1128" s="5" t="s">
        <v>11</v>
      </c>
      <c r="H1128" s="5">
        <v>19900</v>
      </c>
      <c r="I1128" s="5">
        <v>9</v>
      </c>
      <c r="J1128" s="9">
        <v>179100</v>
      </c>
    </row>
    <row r="1129" spans="1:10" x14ac:dyDescent="0.3">
      <c r="A1129" s="3" t="s">
        <v>1194</v>
      </c>
      <c r="B1129" s="4">
        <v>43458</v>
      </c>
      <c r="C1129" s="5">
        <v>9</v>
      </c>
      <c r="D1129" s="5" t="s">
        <v>27</v>
      </c>
      <c r="E1129" s="5" t="s">
        <v>44</v>
      </c>
      <c r="F1129" s="5" t="s">
        <v>15</v>
      </c>
      <c r="G1129" s="5" t="s">
        <v>10</v>
      </c>
      <c r="H1129" s="5">
        <v>39900</v>
      </c>
      <c r="I1129" s="5">
        <v>2</v>
      </c>
      <c r="J1129" s="9">
        <v>79800</v>
      </c>
    </row>
    <row r="1130" spans="1:10" x14ac:dyDescent="0.3">
      <c r="A1130" s="3" t="s">
        <v>1195</v>
      </c>
      <c r="B1130" s="4">
        <v>43458</v>
      </c>
      <c r="C1130" s="5">
        <v>13</v>
      </c>
      <c r="D1130" s="5" t="s">
        <v>31</v>
      </c>
      <c r="E1130" s="5" t="s">
        <v>39</v>
      </c>
      <c r="F1130" s="5" t="s">
        <v>16</v>
      </c>
      <c r="G1130" s="5" t="s">
        <v>14</v>
      </c>
      <c r="H1130" s="5">
        <v>15900</v>
      </c>
      <c r="I1130" s="5">
        <v>2</v>
      </c>
      <c r="J1130" s="9">
        <v>31800</v>
      </c>
    </row>
    <row r="1131" spans="1:10" x14ac:dyDescent="0.3">
      <c r="A1131" s="3" t="s">
        <v>1196</v>
      </c>
      <c r="B1131" s="4">
        <v>43459</v>
      </c>
      <c r="C1131" s="5">
        <v>18</v>
      </c>
      <c r="D1131" s="5" t="s">
        <v>36</v>
      </c>
      <c r="E1131" s="5" t="s">
        <v>43</v>
      </c>
      <c r="F1131" s="5" t="s">
        <v>17</v>
      </c>
      <c r="G1131" s="5" t="s">
        <v>11</v>
      </c>
      <c r="H1131" s="5">
        <v>19900</v>
      </c>
      <c r="I1131" s="5">
        <v>8</v>
      </c>
      <c r="J1131" s="9">
        <v>159200</v>
      </c>
    </row>
    <row r="1132" spans="1:10" x14ac:dyDescent="0.3">
      <c r="A1132" s="3" t="s">
        <v>1197</v>
      </c>
      <c r="B1132" s="4">
        <v>43459</v>
      </c>
      <c r="C1132" s="5">
        <v>4</v>
      </c>
      <c r="D1132" s="5" t="s">
        <v>22</v>
      </c>
      <c r="E1132" s="5" t="s">
        <v>46</v>
      </c>
      <c r="F1132" s="5" t="s">
        <v>18</v>
      </c>
      <c r="G1132" s="5" t="s">
        <v>12</v>
      </c>
      <c r="H1132" s="5">
        <v>6900</v>
      </c>
      <c r="I1132" s="5">
        <v>7</v>
      </c>
      <c r="J1132" s="9">
        <v>48300</v>
      </c>
    </row>
    <row r="1133" spans="1:10" x14ac:dyDescent="0.3">
      <c r="A1133" s="3" t="s">
        <v>1198</v>
      </c>
      <c r="B1133" s="4">
        <v>43459</v>
      </c>
      <c r="C1133" s="5">
        <v>17</v>
      </c>
      <c r="D1133" s="5" t="s">
        <v>35</v>
      </c>
      <c r="E1133" s="5" t="s">
        <v>42</v>
      </c>
      <c r="F1133" s="5" t="s">
        <v>17</v>
      </c>
      <c r="G1133" s="5" t="s">
        <v>11</v>
      </c>
      <c r="H1133" s="5">
        <v>19900</v>
      </c>
      <c r="I1133" s="5">
        <v>3</v>
      </c>
      <c r="J1133" s="9">
        <v>59700</v>
      </c>
    </row>
    <row r="1134" spans="1:10" x14ac:dyDescent="0.3">
      <c r="A1134" s="3" t="s">
        <v>1199</v>
      </c>
      <c r="B1134" s="4">
        <v>43459</v>
      </c>
      <c r="C1134" s="5">
        <v>8</v>
      </c>
      <c r="D1134" s="5" t="s">
        <v>26</v>
      </c>
      <c r="E1134" s="5" t="s">
        <v>44</v>
      </c>
      <c r="F1134" s="5" t="s">
        <v>15</v>
      </c>
      <c r="G1134" s="5" t="s">
        <v>12</v>
      </c>
      <c r="H1134" s="5">
        <v>6900</v>
      </c>
      <c r="I1134" s="5">
        <v>2</v>
      </c>
      <c r="J1134" s="9">
        <v>13800</v>
      </c>
    </row>
    <row r="1135" spans="1:10" x14ac:dyDescent="0.3">
      <c r="A1135" s="3" t="s">
        <v>1200</v>
      </c>
      <c r="B1135" s="4">
        <v>43459</v>
      </c>
      <c r="C1135" s="5">
        <v>12</v>
      </c>
      <c r="D1135" s="5" t="s">
        <v>30</v>
      </c>
      <c r="E1135" s="5" t="s">
        <v>45</v>
      </c>
      <c r="F1135" s="5" t="s">
        <v>16</v>
      </c>
      <c r="G1135" s="5" t="s">
        <v>14</v>
      </c>
      <c r="H1135" s="5">
        <v>15900</v>
      </c>
      <c r="I1135" s="5">
        <v>5</v>
      </c>
      <c r="J1135" s="9">
        <v>79500</v>
      </c>
    </row>
    <row r="1136" spans="1:10" x14ac:dyDescent="0.3">
      <c r="A1136" s="3" t="s">
        <v>1201</v>
      </c>
      <c r="B1136" s="4">
        <v>43459</v>
      </c>
      <c r="C1136" s="5">
        <v>5</v>
      </c>
      <c r="D1136" s="5" t="s">
        <v>23</v>
      </c>
      <c r="E1136" s="5" t="s">
        <v>40</v>
      </c>
      <c r="F1136" s="5" t="s">
        <v>18</v>
      </c>
      <c r="G1136" s="5" t="s">
        <v>13</v>
      </c>
      <c r="H1136" s="5">
        <v>28900</v>
      </c>
      <c r="I1136" s="5">
        <v>4</v>
      </c>
      <c r="J1136" s="9">
        <v>115600</v>
      </c>
    </row>
    <row r="1137" spans="1:10" x14ac:dyDescent="0.3">
      <c r="A1137" s="3" t="s">
        <v>1202</v>
      </c>
      <c r="B1137" s="4">
        <v>43459</v>
      </c>
      <c r="C1137" s="5">
        <v>16</v>
      </c>
      <c r="D1137" s="5" t="s">
        <v>34</v>
      </c>
      <c r="E1137" s="5" t="s">
        <v>42</v>
      </c>
      <c r="F1137" s="5" t="s">
        <v>17</v>
      </c>
      <c r="G1137" s="5" t="s">
        <v>14</v>
      </c>
      <c r="H1137" s="5">
        <v>15900</v>
      </c>
      <c r="I1137" s="5">
        <v>4</v>
      </c>
      <c r="J1137" s="9">
        <v>63600</v>
      </c>
    </row>
    <row r="1138" spans="1:10" x14ac:dyDescent="0.3">
      <c r="A1138" s="3" t="s">
        <v>1203</v>
      </c>
      <c r="B1138" s="4">
        <v>43459</v>
      </c>
      <c r="C1138" s="5">
        <v>3</v>
      </c>
      <c r="D1138" s="5" t="s">
        <v>21</v>
      </c>
      <c r="E1138" s="5" t="s">
        <v>46</v>
      </c>
      <c r="F1138" s="5" t="s">
        <v>18</v>
      </c>
      <c r="G1138" s="5" t="s">
        <v>13</v>
      </c>
      <c r="H1138" s="5">
        <v>28900</v>
      </c>
      <c r="I1138" s="5">
        <v>6</v>
      </c>
      <c r="J1138" s="9">
        <v>173400</v>
      </c>
    </row>
    <row r="1139" spans="1:10" x14ac:dyDescent="0.3">
      <c r="A1139" s="3" t="s">
        <v>1204</v>
      </c>
      <c r="B1139" s="4">
        <v>43459</v>
      </c>
      <c r="C1139" s="5">
        <v>14</v>
      </c>
      <c r="D1139" s="5" t="s">
        <v>32</v>
      </c>
      <c r="E1139" s="5" t="s">
        <v>39</v>
      </c>
      <c r="F1139" s="5" t="s">
        <v>16</v>
      </c>
      <c r="G1139" s="5" t="s">
        <v>14</v>
      </c>
      <c r="H1139" s="5">
        <v>15900</v>
      </c>
      <c r="I1139" s="5">
        <v>0</v>
      </c>
      <c r="J1139" s="9">
        <v>0</v>
      </c>
    </row>
    <row r="1140" spans="1:10" x14ac:dyDescent="0.3">
      <c r="A1140" s="3" t="s">
        <v>1205</v>
      </c>
      <c r="B1140" s="4">
        <v>43460</v>
      </c>
      <c r="C1140" s="5">
        <v>11</v>
      </c>
      <c r="D1140" s="5" t="s">
        <v>29</v>
      </c>
      <c r="E1140" s="5" t="s">
        <v>39</v>
      </c>
      <c r="F1140" s="5" t="s">
        <v>16</v>
      </c>
      <c r="G1140" s="5" t="s">
        <v>13</v>
      </c>
      <c r="H1140" s="5">
        <v>28900</v>
      </c>
      <c r="I1140" s="5">
        <v>2</v>
      </c>
      <c r="J1140" s="9">
        <v>57800</v>
      </c>
    </row>
    <row r="1141" spans="1:10" x14ac:dyDescent="0.3">
      <c r="A1141" s="3" t="s">
        <v>1206</v>
      </c>
      <c r="B1141" s="4">
        <v>43461</v>
      </c>
      <c r="C1141" s="5">
        <v>6</v>
      </c>
      <c r="D1141" s="5" t="s">
        <v>24</v>
      </c>
      <c r="E1141" s="5" t="s">
        <v>44</v>
      </c>
      <c r="F1141" s="5" t="s">
        <v>15</v>
      </c>
      <c r="G1141" s="5" t="s">
        <v>14</v>
      </c>
      <c r="H1141" s="5">
        <v>15900</v>
      </c>
      <c r="I1141" s="5">
        <v>1</v>
      </c>
      <c r="J1141" s="9">
        <v>15900</v>
      </c>
    </row>
    <row r="1142" spans="1:10" x14ac:dyDescent="0.3">
      <c r="A1142" s="3" t="s">
        <v>1207</v>
      </c>
      <c r="B1142" s="4">
        <v>43461</v>
      </c>
      <c r="C1142" s="5">
        <v>15</v>
      </c>
      <c r="D1142" s="5" t="s">
        <v>33</v>
      </c>
      <c r="E1142" s="5" t="s">
        <v>39</v>
      </c>
      <c r="F1142" s="5" t="s">
        <v>16</v>
      </c>
      <c r="G1142" s="5" t="s">
        <v>14</v>
      </c>
      <c r="H1142" s="5">
        <v>15900</v>
      </c>
      <c r="I1142" s="5">
        <v>0</v>
      </c>
      <c r="J1142" s="9">
        <v>0</v>
      </c>
    </row>
    <row r="1143" spans="1:10" x14ac:dyDescent="0.3">
      <c r="A1143" s="3" t="s">
        <v>1208</v>
      </c>
      <c r="B1143" s="4">
        <v>43461</v>
      </c>
      <c r="C1143" s="5">
        <v>16</v>
      </c>
      <c r="D1143" s="5" t="s">
        <v>34</v>
      </c>
      <c r="E1143" s="5" t="s">
        <v>42</v>
      </c>
      <c r="F1143" s="5" t="s">
        <v>17</v>
      </c>
      <c r="G1143" s="5" t="s">
        <v>10</v>
      </c>
      <c r="H1143" s="5">
        <v>39900</v>
      </c>
      <c r="I1143" s="5">
        <v>8</v>
      </c>
      <c r="J1143" s="9">
        <v>319200</v>
      </c>
    </row>
    <row r="1144" spans="1:10" x14ac:dyDescent="0.3">
      <c r="A1144" s="3" t="s">
        <v>1209</v>
      </c>
      <c r="B1144" s="4">
        <v>43462</v>
      </c>
      <c r="C1144" s="5">
        <v>17</v>
      </c>
      <c r="D1144" s="5" t="s">
        <v>35</v>
      </c>
      <c r="E1144" s="5" t="s">
        <v>42</v>
      </c>
      <c r="F1144" s="5" t="s">
        <v>17</v>
      </c>
      <c r="G1144" s="5" t="s">
        <v>12</v>
      </c>
      <c r="H1144" s="5">
        <v>6900</v>
      </c>
      <c r="I1144" s="5">
        <v>6</v>
      </c>
      <c r="J1144" s="9">
        <v>41400</v>
      </c>
    </row>
    <row r="1145" spans="1:10" x14ac:dyDescent="0.3">
      <c r="A1145" s="3" t="s">
        <v>1210</v>
      </c>
      <c r="B1145" s="4">
        <v>43463</v>
      </c>
      <c r="C1145" s="5">
        <v>11</v>
      </c>
      <c r="D1145" s="5" t="s">
        <v>29</v>
      </c>
      <c r="E1145" s="5" t="s">
        <v>39</v>
      </c>
      <c r="F1145" s="5" t="s">
        <v>16</v>
      </c>
      <c r="G1145" s="5" t="s">
        <v>10</v>
      </c>
      <c r="H1145" s="5">
        <v>39900</v>
      </c>
      <c r="I1145" s="5">
        <v>2</v>
      </c>
      <c r="J1145" s="9">
        <v>79800</v>
      </c>
    </row>
    <row r="1146" spans="1:10" x14ac:dyDescent="0.3">
      <c r="A1146" s="3" t="s">
        <v>1211</v>
      </c>
      <c r="B1146" s="4">
        <v>43464</v>
      </c>
      <c r="C1146" s="5">
        <v>12</v>
      </c>
      <c r="D1146" s="5" t="s">
        <v>30</v>
      </c>
      <c r="E1146" s="5" t="s">
        <v>39</v>
      </c>
      <c r="F1146" s="5" t="s">
        <v>16</v>
      </c>
      <c r="G1146" s="5" t="s">
        <v>10</v>
      </c>
      <c r="H1146" s="5">
        <v>39900</v>
      </c>
      <c r="I1146" s="5">
        <v>8</v>
      </c>
      <c r="J1146" s="9">
        <v>319200</v>
      </c>
    </row>
    <row r="1147" spans="1:10" x14ac:dyDescent="0.3">
      <c r="A1147" s="3" t="s">
        <v>1212</v>
      </c>
      <c r="B1147" s="4">
        <v>43465</v>
      </c>
      <c r="C1147" s="5">
        <v>4</v>
      </c>
      <c r="D1147" s="5" t="s">
        <v>22</v>
      </c>
      <c r="E1147" s="5" t="s">
        <v>40</v>
      </c>
      <c r="F1147" s="5" t="s">
        <v>18</v>
      </c>
      <c r="G1147" s="5" t="s">
        <v>11</v>
      </c>
      <c r="H1147" s="5">
        <v>19900</v>
      </c>
      <c r="I1147" s="5">
        <v>8</v>
      </c>
      <c r="J1147" s="9">
        <v>159200</v>
      </c>
    </row>
    <row r="1148" spans="1:10" x14ac:dyDescent="0.3">
      <c r="A1148" s="3" t="s">
        <v>1213</v>
      </c>
      <c r="B1148" s="4">
        <v>43466</v>
      </c>
      <c r="C1148" s="5">
        <v>20</v>
      </c>
      <c r="D1148" s="5" t="s">
        <v>38</v>
      </c>
      <c r="E1148" s="5" t="s">
        <v>43</v>
      </c>
      <c r="F1148" s="5" t="s">
        <v>17</v>
      </c>
      <c r="G1148" s="5" t="s">
        <v>10</v>
      </c>
      <c r="H1148" s="5">
        <v>39900</v>
      </c>
      <c r="I1148" s="5">
        <v>4</v>
      </c>
      <c r="J1148" s="9">
        <v>159600</v>
      </c>
    </row>
    <row r="1149" spans="1:10" x14ac:dyDescent="0.3">
      <c r="A1149" s="3" t="s">
        <v>1214</v>
      </c>
      <c r="B1149" s="4">
        <v>43467</v>
      </c>
      <c r="C1149" s="5">
        <v>19</v>
      </c>
      <c r="D1149" s="5" t="s">
        <v>37</v>
      </c>
      <c r="E1149" s="5" t="s">
        <v>43</v>
      </c>
      <c r="F1149" s="5" t="s">
        <v>17</v>
      </c>
      <c r="G1149" s="5" t="s">
        <v>11</v>
      </c>
      <c r="H1149" s="5">
        <v>19900</v>
      </c>
      <c r="I1149" s="5">
        <v>0</v>
      </c>
      <c r="J1149" s="9">
        <v>0</v>
      </c>
    </row>
    <row r="1150" spans="1:10" x14ac:dyDescent="0.3">
      <c r="A1150" s="3" t="s">
        <v>1215</v>
      </c>
      <c r="B1150" s="4">
        <v>43467</v>
      </c>
      <c r="C1150" s="5">
        <v>10</v>
      </c>
      <c r="D1150" s="5" t="s">
        <v>28</v>
      </c>
      <c r="E1150" s="5" t="s">
        <v>41</v>
      </c>
      <c r="F1150" s="5" t="s">
        <v>15</v>
      </c>
      <c r="G1150" s="5" t="s">
        <v>14</v>
      </c>
      <c r="H1150" s="5">
        <v>15900</v>
      </c>
      <c r="I1150" s="5">
        <v>7</v>
      </c>
      <c r="J1150" s="9">
        <v>111300</v>
      </c>
    </row>
    <row r="1151" spans="1:10" x14ac:dyDescent="0.3">
      <c r="A1151" s="3" t="s">
        <v>1216</v>
      </c>
      <c r="B1151" s="4">
        <v>43467</v>
      </c>
      <c r="C1151" s="5">
        <v>5</v>
      </c>
      <c r="D1151" s="5" t="s">
        <v>23</v>
      </c>
      <c r="E1151" s="5" t="s">
        <v>46</v>
      </c>
      <c r="F1151" s="5" t="s">
        <v>18</v>
      </c>
      <c r="G1151" s="5" t="s">
        <v>14</v>
      </c>
      <c r="H1151" s="5">
        <v>15900</v>
      </c>
      <c r="I1151" s="5">
        <v>0</v>
      </c>
      <c r="J1151" s="9">
        <v>0</v>
      </c>
    </row>
    <row r="1152" spans="1:10" x14ac:dyDescent="0.3">
      <c r="A1152" s="3" t="s">
        <v>1217</v>
      </c>
      <c r="B1152" s="4">
        <v>43468</v>
      </c>
      <c r="C1152" s="5">
        <v>1</v>
      </c>
      <c r="D1152" s="5" t="s">
        <v>19</v>
      </c>
      <c r="E1152" s="5" t="s">
        <v>46</v>
      </c>
      <c r="F1152" s="5" t="s">
        <v>18</v>
      </c>
      <c r="G1152" s="5" t="s">
        <v>13</v>
      </c>
      <c r="H1152" s="5">
        <v>28900</v>
      </c>
      <c r="I1152" s="5">
        <v>4</v>
      </c>
      <c r="J1152" s="9">
        <v>115600</v>
      </c>
    </row>
    <row r="1153" spans="1:10" x14ac:dyDescent="0.3">
      <c r="A1153" s="3" t="s">
        <v>1218</v>
      </c>
      <c r="B1153" s="4">
        <v>43468</v>
      </c>
      <c r="C1153" s="5">
        <v>1</v>
      </c>
      <c r="D1153" s="5" t="s">
        <v>19</v>
      </c>
      <c r="E1153" s="5" t="s">
        <v>46</v>
      </c>
      <c r="F1153" s="5" t="s">
        <v>18</v>
      </c>
      <c r="G1153" s="5" t="s">
        <v>12</v>
      </c>
      <c r="H1153" s="5">
        <v>6900</v>
      </c>
      <c r="I1153" s="5">
        <v>7</v>
      </c>
      <c r="J1153" s="9">
        <v>48300</v>
      </c>
    </row>
    <row r="1154" spans="1:10" x14ac:dyDescent="0.3">
      <c r="A1154" s="3" t="s">
        <v>1219</v>
      </c>
      <c r="B1154" s="4">
        <v>43469</v>
      </c>
      <c r="C1154" s="5">
        <v>20</v>
      </c>
      <c r="D1154" s="5" t="s">
        <v>38</v>
      </c>
      <c r="E1154" s="5" t="s">
        <v>43</v>
      </c>
      <c r="F1154" s="5" t="s">
        <v>17</v>
      </c>
      <c r="G1154" s="5" t="s">
        <v>14</v>
      </c>
      <c r="H1154" s="5">
        <v>15900</v>
      </c>
      <c r="I1154" s="5">
        <v>2</v>
      </c>
      <c r="J1154" s="9">
        <v>31800</v>
      </c>
    </row>
    <row r="1155" spans="1:10" x14ac:dyDescent="0.3">
      <c r="A1155" s="3" t="s">
        <v>1220</v>
      </c>
      <c r="B1155" s="4">
        <v>43470</v>
      </c>
      <c r="C1155" s="5">
        <v>4</v>
      </c>
      <c r="D1155" s="5" t="s">
        <v>22</v>
      </c>
      <c r="E1155" s="5" t="s">
        <v>46</v>
      </c>
      <c r="F1155" s="5" t="s">
        <v>18</v>
      </c>
      <c r="G1155" s="5" t="s">
        <v>12</v>
      </c>
      <c r="H1155" s="5">
        <v>6900</v>
      </c>
      <c r="I1155" s="5">
        <v>1</v>
      </c>
      <c r="J1155" s="9">
        <v>6900</v>
      </c>
    </row>
    <row r="1156" spans="1:10" x14ac:dyDescent="0.3">
      <c r="A1156" s="3" t="s">
        <v>1221</v>
      </c>
      <c r="B1156" s="4">
        <v>43470</v>
      </c>
      <c r="C1156" s="5">
        <v>12</v>
      </c>
      <c r="D1156" s="5" t="s">
        <v>30</v>
      </c>
      <c r="E1156" s="5" t="s">
        <v>39</v>
      </c>
      <c r="F1156" s="5" t="s">
        <v>16</v>
      </c>
      <c r="G1156" s="5" t="s">
        <v>12</v>
      </c>
      <c r="H1156" s="5">
        <v>6900</v>
      </c>
      <c r="I1156" s="5">
        <v>5</v>
      </c>
      <c r="J1156" s="9">
        <v>34500</v>
      </c>
    </row>
    <row r="1157" spans="1:10" x14ac:dyDescent="0.3">
      <c r="A1157" s="3" t="s">
        <v>1222</v>
      </c>
      <c r="B1157" s="4">
        <v>43470</v>
      </c>
      <c r="C1157" s="5">
        <v>15</v>
      </c>
      <c r="D1157" s="5" t="s">
        <v>33</v>
      </c>
      <c r="E1157" s="5" t="s">
        <v>45</v>
      </c>
      <c r="F1157" s="5" t="s">
        <v>16</v>
      </c>
      <c r="G1157" s="5" t="s">
        <v>13</v>
      </c>
      <c r="H1157" s="5">
        <v>28900</v>
      </c>
      <c r="I1157" s="5">
        <v>0</v>
      </c>
      <c r="J1157" s="9">
        <v>0</v>
      </c>
    </row>
    <row r="1158" spans="1:10" x14ac:dyDescent="0.3">
      <c r="A1158" s="3" t="s">
        <v>1223</v>
      </c>
      <c r="B1158" s="4">
        <v>43470</v>
      </c>
      <c r="C1158" s="5">
        <v>17</v>
      </c>
      <c r="D1158" s="5" t="s">
        <v>35</v>
      </c>
      <c r="E1158" s="5" t="s">
        <v>42</v>
      </c>
      <c r="F1158" s="5" t="s">
        <v>17</v>
      </c>
      <c r="G1158" s="5" t="s">
        <v>12</v>
      </c>
      <c r="H1158" s="5">
        <v>6900</v>
      </c>
      <c r="I1158" s="5">
        <v>6</v>
      </c>
      <c r="J1158" s="9">
        <v>41400</v>
      </c>
    </row>
    <row r="1159" spans="1:10" x14ac:dyDescent="0.3">
      <c r="A1159" s="3" t="s">
        <v>1224</v>
      </c>
      <c r="B1159" s="4">
        <v>43470</v>
      </c>
      <c r="C1159" s="5">
        <v>17</v>
      </c>
      <c r="D1159" s="5" t="s">
        <v>35</v>
      </c>
      <c r="E1159" s="5" t="s">
        <v>42</v>
      </c>
      <c r="F1159" s="5" t="s">
        <v>17</v>
      </c>
      <c r="G1159" s="5" t="s">
        <v>11</v>
      </c>
      <c r="H1159" s="5">
        <v>19900</v>
      </c>
      <c r="I1159" s="5">
        <v>6</v>
      </c>
      <c r="J1159" s="9">
        <v>119400</v>
      </c>
    </row>
    <row r="1160" spans="1:10" x14ac:dyDescent="0.3">
      <c r="A1160" s="3" t="s">
        <v>1225</v>
      </c>
      <c r="B1160" s="4">
        <v>43471</v>
      </c>
      <c r="C1160" s="5">
        <v>7</v>
      </c>
      <c r="D1160" s="5" t="s">
        <v>25</v>
      </c>
      <c r="E1160" s="5" t="s">
        <v>44</v>
      </c>
      <c r="F1160" s="5" t="s">
        <v>15</v>
      </c>
      <c r="G1160" s="5" t="s">
        <v>14</v>
      </c>
      <c r="H1160" s="5">
        <v>15900</v>
      </c>
      <c r="I1160" s="5">
        <v>1</v>
      </c>
      <c r="J1160" s="9">
        <v>15900</v>
      </c>
    </row>
    <row r="1161" spans="1:10" x14ac:dyDescent="0.3">
      <c r="A1161" s="3" t="s">
        <v>1226</v>
      </c>
      <c r="B1161" s="4">
        <v>43471</v>
      </c>
      <c r="C1161" s="5">
        <v>20</v>
      </c>
      <c r="D1161" s="5" t="s">
        <v>38</v>
      </c>
      <c r="E1161" s="5" t="s">
        <v>43</v>
      </c>
      <c r="F1161" s="5" t="s">
        <v>17</v>
      </c>
      <c r="G1161" s="5" t="s">
        <v>11</v>
      </c>
      <c r="H1161" s="5">
        <v>19900</v>
      </c>
      <c r="I1161" s="5">
        <v>0</v>
      </c>
      <c r="J1161" s="9">
        <v>0</v>
      </c>
    </row>
    <row r="1162" spans="1:10" x14ac:dyDescent="0.3">
      <c r="A1162" s="3" t="s">
        <v>1227</v>
      </c>
      <c r="B1162" s="4">
        <v>43471</v>
      </c>
      <c r="C1162" s="5">
        <v>10</v>
      </c>
      <c r="D1162" s="5" t="s">
        <v>28</v>
      </c>
      <c r="E1162" s="5" t="s">
        <v>44</v>
      </c>
      <c r="F1162" s="5" t="s">
        <v>15</v>
      </c>
      <c r="G1162" s="5" t="s">
        <v>13</v>
      </c>
      <c r="H1162" s="5">
        <v>28900</v>
      </c>
      <c r="I1162" s="5">
        <v>3</v>
      </c>
      <c r="J1162" s="9">
        <v>86700</v>
      </c>
    </row>
    <row r="1163" spans="1:10" x14ac:dyDescent="0.3">
      <c r="A1163" s="3" t="s">
        <v>1228</v>
      </c>
      <c r="B1163" s="4">
        <v>43471</v>
      </c>
      <c r="C1163" s="5">
        <v>15</v>
      </c>
      <c r="D1163" s="5" t="s">
        <v>33</v>
      </c>
      <c r="E1163" s="5" t="s">
        <v>45</v>
      </c>
      <c r="F1163" s="5" t="s">
        <v>16</v>
      </c>
      <c r="G1163" s="5" t="s">
        <v>11</v>
      </c>
      <c r="H1163" s="5">
        <v>19900</v>
      </c>
      <c r="I1163" s="5">
        <v>7</v>
      </c>
      <c r="J1163" s="9">
        <v>139300</v>
      </c>
    </row>
    <row r="1164" spans="1:10" x14ac:dyDescent="0.3">
      <c r="A1164" s="3" t="s">
        <v>1229</v>
      </c>
      <c r="B1164" s="4">
        <v>43472</v>
      </c>
      <c r="C1164" s="5">
        <v>17</v>
      </c>
      <c r="D1164" s="5" t="s">
        <v>35</v>
      </c>
      <c r="E1164" s="5" t="s">
        <v>43</v>
      </c>
      <c r="F1164" s="5" t="s">
        <v>17</v>
      </c>
      <c r="G1164" s="5" t="s">
        <v>11</v>
      </c>
      <c r="H1164" s="5">
        <v>19900</v>
      </c>
      <c r="I1164" s="5">
        <v>0</v>
      </c>
      <c r="J1164" s="9">
        <v>0</v>
      </c>
    </row>
    <row r="1165" spans="1:10" x14ac:dyDescent="0.3">
      <c r="A1165" s="3" t="s">
        <v>1230</v>
      </c>
      <c r="B1165" s="4">
        <v>43472</v>
      </c>
      <c r="C1165" s="5">
        <v>7</v>
      </c>
      <c r="D1165" s="5" t="s">
        <v>25</v>
      </c>
      <c r="E1165" s="5" t="s">
        <v>41</v>
      </c>
      <c r="F1165" s="5" t="s">
        <v>15</v>
      </c>
      <c r="G1165" s="5" t="s">
        <v>12</v>
      </c>
      <c r="H1165" s="5">
        <v>6900</v>
      </c>
      <c r="I1165" s="5">
        <v>6</v>
      </c>
      <c r="J1165" s="9">
        <v>41400</v>
      </c>
    </row>
    <row r="1166" spans="1:10" x14ac:dyDescent="0.3">
      <c r="A1166" s="3" t="s">
        <v>1231</v>
      </c>
      <c r="B1166" s="4">
        <v>43472</v>
      </c>
      <c r="C1166" s="5">
        <v>6</v>
      </c>
      <c r="D1166" s="5" t="s">
        <v>24</v>
      </c>
      <c r="E1166" s="5" t="s">
        <v>41</v>
      </c>
      <c r="F1166" s="5" t="s">
        <v>15</v>
      </c>
      <c r="G1166" s="5" t="s">
        <v>11</v>
      </c>
      <c r="H1166" s="5">
        <v>19900</v>
      </c>
      <c r="I1166" s="5">
        <v>1</v>
      </c>
      <c r="J1166" s="9">
        <v>19900</v>
      </c>
    </row>
    <row r="1167" spans="1:10" x14ac:dyDescent="0.3">
      <c r="A1167" s="3" t="s">
        <v>1232</v>
      </c>
      <c r="B1167" s="4">
        <v>43472</v>
      </c>
      <c r="C1167" s="5">
        <v>13</v>
      </c>
      <c r="D1167" s="5" t="s">
        <v>31</v>
      </c>
      <c r="E1167" s="5" t="s">
        <v>45</v>
      </c>
      <c r="F1167" s="5" t="s">
        <v>16</v>
      </c>
      <c r="G1167" s="5" t="s">
        <v>13</v>
      </c>
      <c r="H1167" s="5">
        <v>28900</v>
      </c>
      <c r="I1167" s="5">
        <v>9</v>
      </c>
      <c r="J1167" s="9">
        <v>260100</v>
      </c>
    </row>
    <row r="1168" spans="1:10" x14ac:dyDescent="0.3">
      <c r="A1168" s="3" t="s">
        <v>1233</v>
      </c>
      <c r="B1168" s="4">
        <v>43473</v>
      </c>
      <c r="C1168" s="5">
        <v>13</v>
      </c>
      <c r="D1168" s="5" t="s">
        <v>31</v>
      </c>
      <c r="E1168" s="5" t="s">
        <v>45</v>
      </c>
      <c r="F1168" s="5" t="s">
        <v>16</v>
      </c>
      <c r="G1168" s="5" t="s">
        <v>12</v>
      </c>
      <c r="H1168" s="5">
        <v>6900</v>
      </c>
      <c r="I1168" s="5">
        <v>9</v>
      </c>
      <c r="J1168" s="9">
        <v>62100</v>
      </c>
    </row>
    <row r="1169" spans="1:10" x14ac:dyDescent="0.3">
      <c r="A1169" s="3" t="s">
        <v>1234</v>
      </c>
      <c r="B1169" s="4">
        <v>43473</v>
      </c>
      <c r="C1169" s="5">
        <v>3</v>
      </c>
      <c r="D1169" s="5" t="s">
        <v>21</v>
      </c>
      <c r="E1169" s="5" t="s">
        <v>46</v>
      </c>
      <c r="F1169" s="5" t="s">
        <v>18</v>
      </c>
      <c r="G1169" s="5" t="s">
        <v>14</v>
      </c>
      <c r="H1169" s="5">
        <v>15900</v>
      </c>
      <c r="I1169" s="5">
        <v>6</v>
      </c>
      <c r="J1169" s="9">
        <v>95400</v>
      </c>
    </row>
    <row r="1170" spans="1:10" x14ac:dyDescent="0.3">
      <c r="A1170" s="3" t="s">
        <v>1235</v>
      </c>
      <c r="B1170" s="4">
        <v>43473</v>
      </c>
      <c r="C1170" s="5">
        <v>13</v>
      </c>
      <c r="D1170" s="5" t="s">
        <v>31</v>
      </c>
      <c r="E1170" s="5" t="s">
        <v>45</v>
      </c>
      <c r="F1170" s="5" t="s">
        <v>16</v>
      </c>
      <c r="G1170" s="5" t="s">
        <v>12</v>
      </c>
      <c r="H1170" s="5">
        <v>6900</v>
      </c>
      <c r="I1170" s="5">
        <v>6</v>
      </c>
      <c r="J1170" s="9">
        <v>41400</v>
      </c>
    </row>
    <row r="1171" spans="1:10" x14ac:dyDescent="0.3">
      <c r="A1171" s="3" t="s">
        <v>1236</v>
      </c>
      <c r="B1171" s="4">
        <v>43474</v>
      </c>
      <c r="C1171" s="5">
        <v>3</v>
      </c>
      <c r="D1171" s="5" t="s">
        <v>21</v>
      </c>
      <c r="E1171" s="5" t="s">
        <v>46</v>
      </c>
      <c r="F1171" s="5" t="s">
        <v>18</v>
      </c>
      <c r="G1171" s="5" t="s">
        <v>14</v>
      </c>
      <c r="H1171" s="5">
        <v>15900</v>
      </c>
      <c r="I1171" s="5">
        <v>0</v>
      </c>
      <c r="J1171" s="9">
        <v>0</v>
      </c>
    </row>
    <row r="1172" spans="1:10" x14ac:dyDescent="0.3">
      <c r="A1172" s="3" t="s">
        <v>1237</v>
      </c>
      <c r="B1172" s="4">
        <v>43475</v>
      </c>
      <c r="C1172" s="5">
        <v>14</v>
      </c>
      <c r="D1172" s="5" t="s">
        <v>32</v>
      </c>
      <c r="E1172" s="5" t="s">
        <v>39</v>
      </c>
      <c r="F1172" s="5" t="s">
        <v>16</v>
      </c>
      <c r="G1172" s="5" t="s">
        <v>11</v>
      </c>
      <c r="H1172" s="5">
        <v>19900</v>
      </c>
      <c r="I1172" s="5">
        <v>7</v>
      </c>
      <c r="J1172" s="9">
        <v>139300</v>
      </c>
    </row>
    <row r="1173" spans="1:10" x14ac:dyDescent="0.3">
      <c r="A1173" s="3" t="s">
        <v>1238</v>
      </c>
      <c r="B1173" s="4">
        <v>43475</v>
      </c>
      <c r="C1173" s="5">
        <v>11</v>
      </c>
      <c r="D1173" s="5" t="s">
        <v>29</v>
      </c>
      <c r="E1173" s="5" t="s">
        <v>45</v>
      </c>
      <c r="F1173" s="5" t="s">
        <v>16</v>
      </c>
      <c r="G1173" s="5" t="s">
        <v>14</v>
      </c>
      <c r="H1173" s="5">
        <v>15900</v>
      </c>
      <c r="I1173" s="5">
        <v>4</v>
      </c>
      <c r="J1173" s="9">
        <v>63600</v>
      </c>
    </row>
    <row r="1174" spans="1:10" x14ac:dyDescent="0.3">
      <c r="A1174" s="3" t="s">
        <v>1239</v>
      </c>
      <c r="B1174" s="4">
        <v>43475</v>
      </c>
      <c r="C1174" s="5">
        <v>6</v>
      </c>
      <c r="D1174" s="5" t="s">
        <v>24</v>
      </c>
      <c r="E1174" s="5" t="s">
        <v>44</v>
      </c>
      <c r="F1174" s="5" t="s">
        <v>15</v>
      </c>
      <c r="G1174" s="5" t="s">
        <v>11</v>
      </c>
      <c r="H1174" s="5">
        <v>19900</v>
      </c>
      <c r="I1174" s="5">
        <v>2</v>
      </c>
      <c r="J1174" s="9">
        <v>39800</v>
      </c>
    </row>
    <row r="1175" spans="1:10" x14ac:dyDescent="0.3">
      <c r="A1175" s="3" t="s">
        <v>1240</v>
      </c>
      <c r="B1175" s="4">
        <v>43476</v>
      </c>
      <c r="C1175" s="5">
        <v>11</v>
      </c>
      <c r="D1175" s="5" t="s">
        <v>29</v>
      </c>
      <c r="E1175" s="5" t="s">
        <v>39</v>
      </c>
      <c r="F1175" s="5" t="s">
        <v>16</v>
      </c>
      <c r="G1175" s="5" t="s">
        <v>11</v>
      </c>
      <c r="H1175" s="5">
        <v>19900</v>
      </c>
      <c r="I1175" s="5">
        <v>6</v>
      </c>
      <c r="J1175" s="9">
        <v>119400</v>
      </c>
    </row>
    <row r="1176" spans="1:10" x14ac:dyDescent="0.3">
      <c r="A1176" s="3" t="s">
        <v>1241</v>
      </c>
      <c r="B1176" s="4">
        <v>43477</v>
      </c>
      <c r="C1176" s="5">
        <v>16</v>
      </c>
      <c r="D1176" s="5" t="s">
        <v>34</v>
      </c>
      <c r="E1176" s="5" t="s">
        <v>43</v>
      </c>
      <c r="F1176" s="5" t="s">
        <v>17</v>
      </c>
      <c r="G1176" s="5" t="s">
        <v>12</v>
      </c>
      <c r="H1176" s="5">
        <v>6900</v>
      </c>
      <c r="I1176" s="5">
        <v>1</v>
      </c>
      <c r="J1176" s="9">
        <v>6900</v>
      </c>
    </row>
    <row r="1177" spans="1:10" x14ac:dyDescent="0.3">
      <c r="A1177" s="3" t="s">
        <v>1242</v>
      </c>
      <c r="B1177" s="4">
        <v>43477</v>
      </c>
      <c r="C1177" s="5">
        <v>8</v>
      </c>
      <c r="D1177" s="5" t="s">
        <v>26</v>
      </c>
      <c r="E1177" s="5" t="s">
        <v>41</v>
      </c>
      <c r="F1177" s="5" t="s">
        <v>15</v>
      </c>
      <c r="G1177" s="5" t="s">
        <v>12</v>
      </c>
      <c r="H1177" s="5">
        <v>6900</v>
      </c>
      <c r="I1177" s="5">
        <v>1</v>
      </c>
      <c r="J1177" s="9">
        <v>6900</v>
      </c>
    </row>
    <row r="1178" spans="1:10" x14ac:dyDescent="0.3">
      <c r="A1178" s="3" t="s">
        <v>1243</v>
      </c>
      <c r="B1178" s="4">
        <v>43477</v>
      </c>
      <c r="C1178" s="5">
        <v>5</v>
      </c>
      <c r="D1178" s="5" t="s">
        <v>23</v>
      </c>
      <c r="E1178" s="5" t="s">
        <v>46</v>
      </c>
      <c r="F1178" s="5" t="s">
        <v>18</v>
      </c>
      <c r="G1178" s="5" t="s">
        <v>11</v>
      </c>
      <c r="H1178" s="5">
        <v>19900</v>
      </c>
      <c r="I1178" s="5">
        <v>9</v>
      </c>
      <c r="J1178" s="9">
        <v>179100</v>
      </c>
    </row>
    <row r="1179" spans="1:10" x14ac:dyDescent="0.3">
      <c r="A1179" s="3" t="s">
        <v>1244</v>
      </c>
      <c r="B1179" s="4">
        <v>43477</v>
      </c>
      <c r="C1179" s="5">
        <v>19</v>
      </c>
      <c r="D1179" s="5" t="s">
        <v>37</v>
      </c>
      <c r="E1179" s="5" t="s">
        <v>42</v>
      </c>
      <c r="F1179" s="5" t="s">
        <v>17</v>
      </c>
      <c r="G1179" s="5" t="s">
        <v>10</v>
      </c>
      <c r="H1179" s="5">
        <v>39900</v>
      </c>
      <c r="I1179" s="5">
        <v>5</v>
      </c>
      <c r="J1179" s="9">
        <v>199500</v>
      </c>
    </row>
    <row r="1180" spans="1:10" x14ac:dyDescent="0.3">
      <c r="A1180" s="3" t="s">
        <v>1245</v>
      </c>
      <c r="B1180" s="4">
        <v>43477</v>
      </c>
      <c r="C1180" s="5">
        <v>10</v>
      </c>
      <c r="D1180" s="5" t="s">
        <v>28</v>
      </c>
      <c r="E1180" s="5" t="s">
        <v>44</v>
      </c>
      <c r="F1180" s="5" t="s">
        <v>15</v>
      </c>
      <c r="G1180" s="5" t="s">
        <v>10</v>
      </c>
      <c r="H1180" s="5">
        <v>39900</v>
      </c>
      <c r="I1180" s="5">
        <v>7</v>
      </c>
      <c r="J1180" s="9">
        <v>279300</v>
      </c>
    </row>
    <row r="1181" spans="1:10" x14ac:dyDescent="0.3">
      <c r="A1181" s="3" t="s">
        <v>1246</v>
      </c>
      <c r="B1181" s="4">
        <v>43477</v>
      </c>
      <c r="C1181" s="5">
        <v>14</v>
      </c>
      <c r="D1181" s="5" t="s">
        <v>32</v>
      </c>
      <c r="E1181" s="5" t="s">
        <v>39</v>
      </c>
      <c r="F1181" s="5" t="s">
        <v>16</v>
      </c>
      <c r="G1181" s="5" t="s">
        <v>12</v>
      </c>
      <c r="H1181" s="5">
        <v>6900</v>
      </c>
      <c r="I1181" s="5">
        <v>8</v>
      </c>
      <c r="J1181" s="9">
        <v>55200</v>
      </c>
    </row>
    <row r="1182" spans="1:10" x14ac:dyDescent="0.3">
      <c r="A1182" s="3" t="s">
        <v>1247</v>
      </c>
      <c r="B1182" s="4">
        <v>43477</v>
      </c>
      <c r="C1182" s="5">
        <v>11</v>
      </c>
      <c r="D1182" s="5" t="s">
        <v>29</v>
      </c>
      <c r="E1182" s="5" t="s">
        <v>45</v>
      </c>
      <c r="F1182" s="5" t="s">
        <v>16</v>
      </c>
      <c r="G1182" s="5" t="s">
        <v>10</v>
      </c>
      <c r="H1182" s="5">
        <v>39900</v>
      </c>
      <c r="I1182" s="5">
        <v>4</v>
      </c>
      <c r="J1182" s="9">
        <v>159600</v>
      </c>
    </row>
    <row r="1183" spans="1:10" x14ac:dyDescent="0.3">
      <c r="A1183" s="3" t="s">
        <v>1248</v>
      </c>
      <c r="B1183" s="4">
        <v>43478</v>
      </c>
      <c r="C1183" s="5">
        <v>15</v>
      </c>
      <c r="D1183" s="5" t="s">
        <v>33</v>
      </c>
      <c r="E1183" s="5" t="s">
        <v>45</v>
      </c>
      <c r="F1183" s="5" t="s">
        <v>16</v>
      </c>
      <c r="G1183" s="5" t="s">
        <v>13</v>
      </c>
      <c r="H1183" s="5">
        <v>28900</v>
      </c>
      <c r="I1183" s="5">
        <v>2</v>
      </c>
      <c r="J1183" s="9">
        <v>57800</v>
      </c>
    </row>
    <row r="1184" spans="1:10" x14ac:dyDescent="0.3">
      <c r="A1184" s="3" t="s">
        <v>1249</v>
      </c>
      <c r="B1184" s="4">
        <v>43478</v>
      </c>
      <c r="C1184" s="5">
        <v>3</v>
      </c>
      <c r="D1184" s="5" t="s">
        <v>21</v>
      </c>
      <c r="E1184" s="5" t="s">
        <v>46</v>
      </c>
      <c r="F1184" s="5" t="s">
        <v>18</v>
      </c>
      <c r="G1184" s="5" t="s">
        <v>10</v>
      </c>
      <c r="H1184" s="5">
        <v>39900</v>
      </c>
      <c r="I1184" s="5">
        <v>7</v>
      </c>
      <c r="J1184" s="9">
        <v>279300</v>
      </c>
    </row>
    <row r="1185" spans="1:10" x14ac:dyDescent="0.3">
      <c r="A1185" s="3" t="s">
        <v>1250</v>
      </c>
      <c r="B1185" s="4">
        <v>43478</v>
      </c>
      <c r="C1185" s="5">
        <v>15</v>
      </c>
      <c r="D1185" s="5" t="s">
        <v>33</v>
      </c>
      <c r="E1185" s="5" t="s">
        <v>45</v>
      </c>
      <c r="F1185" s="5" t="s">
        <v>16</v>
      </c>
      <c r="G1185" s="5" t="s">
        <v>11</v>
      </c>
      <c r="H1185" s="5">
        <v>19900</v>
      </c>
      <c r="I1185" s="5">
        <v>3</v>
      </c>
      <c r="J1185" s="9">
        <v>59700</v>
      </c>
    </row>
    <row r="1186" spans="1:10" x14ac:dyDescent="0.3">
      <c r="A1186" s="3" t="s">
        <v>1251</v>
      </c>
      <c r="B1186" s="4">
        <v>43478</v>
      </c>
      <c r="C1186" s="5">
        <v>13</v>
      </c>
      <c r="D1186" s="5" t="s">
        <v>31</v>
      </c>
      <c r="E1186" s="5" t="s">
        <v>39</v>
      </c>
      <c r="F1186" s="5" t="s">
        <v>16</v>
      </c>
      <c r="G1186" s="5" t="s">
        <v>14</v>
      </c>
      <c r="H1186" s="5">
        <v>15900</v>
      </c>
      <c r="I1186" s="5">
        <v>0</v>
      </c>
      <c r="J1186" s="9">
        <v>0</v>
      </c>
    </row>
    <row r="1187" spans="1:10" x14ac:dyDescent="0.3">
      <c r="A1187" s="3" t="s">
        <v>1252</v>
      </c>
      <c r="B1187" s="4">
        <v>43478</v>
      </c>
      <c r="C1187" s="5">
        <v>3</v>
      </c>
      <c r="D1187" s="5" t="s">
        <v>21</v>
      </c>
      <c r="E1187" s="5" t="s">
        <v>46</v>
      </c>
      <c r="F1187" s="5" t="s">
        <v>18</v>
      </c>
      <c r="G1187" s="5" t="s">
        <v>14</v>
      </c>
      <c r="H1187" s="5">
        <v>15900</v>
      </c>
      <c r="I1187" s="5">
        <v>4</v>
      </c>
      <c r="J1187" s="9">
        <v>63600</v>
      </c>
    </row>
    <row r="1188" spans="1:10" x14ac:dyDescent="0.3">
      <c r="A1188" s="3" t="s">
        <v>1253</v>
      </c>
      <c r="B1188" s="4">
        <v>43478</v>
      </c>
      <c r="C1188" s="5">
        <v>4</v>
      </c>
      <c r="D1188" s="5" t="s">
        <v>22</v>
      </c>
      <c r="E1188" s="5" t="s">
        <v>46</v>
      </c>
      <c r="F1188" s="5" t="s">
        <v>18</v>
      </c>
      <c r="G1188" s="5" t="s">
        <v>10</v>
      </c>
      <c r="H1188" s="5">
        <v>39900</v>
      </c>
      <c r="I1188" s="5">
        <v>2</v>
      </c>
      <c r="J1188" s="9">
        <v>79800</v>
      </c>
    </row>
    <row r="1189" spans="1:10" x14ac:dyDescent="0.3">
      <c r="A1189" s="3" t="s">
        <v>1254</v>
      </c>
      <c r="B1189" s="4">
        <v>43478</v>
      </c>
      <c r="C1189" s="5">
        <v>8</v>
      </c>
      <c r="D1189" s="5" t="s">
        <v>26</v>
      </c>
      <c r="E1189" s="5" t="s">
        <v>41</v>
      </c>
      <c r="F1189" s="5" t="s">
        <v>15</v>
      </c>
      <c r="G1189" s="5" t="s">
        <v>14</v>
      </c>
      <c r="H1189" s="5">
        <v>15900</v>
      </c>
      <c r="I1189" s="5">
        <v>6</v>
      </c>
      <c r="J1189" s="9">
        <v>95400</v>
      </c>
    </row>
    <row r="1190" spans="1:10" x14ac:dyDescent="0.3">
      <c r="A1190" s="3" t="s">
        <v>1255</v>
      </c>
      <c r="B1190" s="4">
        <v>43478</v>
      </c>
      <c r="C1190" s="5">
        <v>12</v>
      </c>
      <c r="D1190" s="5" t="s">
        <v>30</v>
      </c>
      <c r="E1190" s="5" t="s">
        <v>39</v>
      </c>
      <c r="F1190" s="5" t="s">
        <v>16</v>
      </c>
      <c r="G1190" s="5" t="s">
        <v>12</v>
      </c>
      <c r="H1190" s="5">
        <v>6900</v>
      </c>
      <c r="I1190" s="5">
        <v>4</v>
      </c>
      <c r="J1190" s="9">
        <v>27600</v>
      </c>
    </row>
    <row r="1191" spans="1:10" x14ac:dyDescent="0.3">
      <c r="A1191" s="3" t="s">
        <v>1256</v>
      </c>
      <c r="B1191" s="4">
        <v>43478</v>
      </c>
      <c r="C1191" s="5">
        <v>2</v>
      </c>
      <c r="D1191" s="5" t="s">
        <v>20</v>
      </c>
      <c r="E1191" s="5" t="s">
        <v>40</v>
      </c>
      <c r="F1191" s="5" t="s">
        <v>18</v>
      </c>
      <c r="G1191" s="5" t="s">
        <v>10</v>
      </c>
      <c r="H1191" s="5">
        <v>39900</v>
      </c>
      <c r="I1191" s="5">
        <v>4</v>
      </c>
      <c r="J1191" s="9">
        <v>159600</v>
      </c>
    </row>
    <row r="1192" spans="1:10" x14ac:dyDescent="0.3">
      <c r="A1192" s="3" t="s">
        <v>1257</v>
      </c>
      <c r="B1192" s="4">
        <v>43478</v>
      </c>
      <c r="C1192" s="5">
        <v>18</v>
      </c>
      <c r="D1192" s="5" t="s">
        <v>36</v>
      </c>
      <c r="E1192" s="5" t="s">
        <v>43</v>
      </c>
      <c r="F1192" s="5" t="s">
        <v>17</v>
      </c>
      <c r="G1192" s="5" t="s">
        <v>10</v>
      </c>
      <c r="H1192" s="5">
        <v>39900</v>
      </c>
      <c r="I1192" s="5">
        <v>1</v>
      </c>
      <c r="J1192" s="9">
        <v>39900</v>
      </c>
    </row>
    <row r="1193" spans="1:10" x14ac:dyDescent="0.3">
      <c r="A1193" s="3" t="s">
        <v>1258</v>
      </c>
      <c r="B1193" s="4">
        <v>43479</v>
      </c>
      <c r="C1193" s="5">
        <v>10</v>
      </c>
      <c r="D1193" s="5" t="s">
        <v>28</v>
      </c>
      <c r="E1193" s="5" t="s">
        <v>44</v>
      </c>
      <c r="F1193" s="5" t="s">
        <v>15</v>
      </c>
      <c r="G1193" s="5" t="s">
        <v>14</v>
      </c>
      <c r="H1193" s="5">
        <v>15900</v>
      </c>
      <c r="I1193" s="5">
        <v>3</v>
      </c>
      <c r="J1193" s="9">
        <v>47700</v>
      </c>
    </row>
    <row r="1194" spans="1:10" x14ac:dyDescent="0.3">
      <c r="A1194" s="3" t="s">
        <v>1259</v>
      </c>
      <c r="B1194" s="4">
        <v>43479</v>
      </c>
      <c r="C1194" s="5">
        <v>3</v>
      </c>
      <c r="D1194" s="5" t="s">
        <v>21</v>
      </c>
      <c r="E1194" s="5" t="s">
        <v>46</v>
      </c>
      <c r="F1194" s="5" t="s">
        <v>18</v>
      </c>
      <c r="G1194" s="5" t="s">
        <v>12</v>
      </c>
      <c r="H1194" s="5">
        <v>6900</v>
      </c>
      <c r="I1194" s="5">
        <v>0</v>
      </c>
      <c r="J1194" s="9">
        <v>0</v>
      </c>
    </row>
    <row r="1195" spans="1:10" x14ac:dyDescent="0.3">
      <c r="A1195" s="3" t="s">
        <v>1260</v>
      </c>
      <c r="B1195" s="4">
        <v>43479</v>
      </c>
      <c r="C1195" s="5">
        <v>12</v>
      </c>
      <c r="D1195" s="5" t="s">
        <v>30</v>
      </c>
      <c r="E1195" s="5" t="s">
        <v>45</v>
      </c>
      <c r="F1195" s="5" t="s">
        <v>16</v>
      </c>
      <c r="G1195" s="5" t="s">
        <v>13</v>
      </c>
      <c r="H1195" s="5">
        <v>28900</v>
      </c>
      <c r="I1195" s="5">
        <v>7</v>
      </c>
      <c r="J1195" s="9">
        <v>202300</v>
      </c>
    </row>
    <row r="1196" spans="1:10" x14ac:dyDescent="0.3">
      <c r="A1196" s="3" t="s">
        <v>1261</v>
      </c>
      <c r="B1196" s="4">
        <v>43479</v>
      </c>
      <c r="C1196" s="5">
        <v>19</v>
      </c>
      <c r="D1196" s="5" t="s">
        <v>37</v>
      </c>
      <c r="E1196" s="5" t="s">
        <v>42</v>
      </c>
      <c r="F1196" s="5" t="s">
        <v>17</v>
      </c>
      <c r="G1196" s="5" t="s">
        <v>10</v>
      </c>
      <c r="H1196" s="5">
        <v>39900</v>
      </c>
      <c r="I1196" s="5">
        <v>8</v>
      </c>
      <c r="J1196" s="9">
        <v>319200</v>
      </c>
    </row>
    <row r="1197" spans="1:10" x14ac:dyDescent="0.3">
      <c r="A1197" s="3" t="s">
        <v>1262</v>
      </c>
      <c r="B1197" s="4">
        <v>43480</v>
      </c>
      <c r="C1197" s="5">
        <v>16</v>
      </c>
      <c r="D1197" s="5" t="s">
        <v>34</v>
      </c>
      <c r="E1197" s="5" t="s">
        <v>43</v>
      </c>
      <c r="F1197" s="5" t="s">
        <v>17</v>
      </c>
      <c r="G1197" s="5" t="s">
        <v>13</v>
      </c>
      <c r="H1197" s="5">
        <v>28900</v>
      </c>
      <c r="I1197" s="5">
        <v>9</v>
      </c>
      <c r="J1197" s="9">
        <v>260100</v>
      </c>
    </row>
    <row r="1198" spans="1:10" x14ac:dyDescent="0.3">
      <c r="A1198" s="3" t="s">
        <v>1263</v>
      </c>
      <c r="B1198" s="4">
        <v>43481</v>
      </c>
      <c r="C1198" s="5">
        <v>6</v>
      </c>
      <c r="D1198" s="5" t="s">
        <v>24</v>
      </c>
      <c r="E1198" s="5" t="s">
        <v>41</v>
      </c>
      <c r="F1198" s="5" t="s">
        <v>15</v>
      </c>
      <c r="G1198" s="5" t="s">
        <v>11</v>
      </c>
      <c r="H1198" s="5">
        <v>19900</v>
      </c>
      <c r="I1198" s="5">
        <v>2</v>
      </c>
      <c r="J1198" s="9">
        <v>39800</v>
      </c>
    </row>
    <row r="1199" spans="1:10" x14ac:dyDescent="0.3">
      <c r="A1199" s="3" t="s">
        <v>1264</v>
      </c>
      <c r="B1199" s="4">
        <v>43481</v>
      </c>
      <c r="C1199" s="5">
        <v>16</v>
      </c>
      <c r="D1199" s="5" t="s">
        <v>34</v>
      </c>
      <c r="E1199" s="5" t="s">
        <v>43</v>
      </c>
      <c r="F1199" s="5" t="s">
        <v>17</v>
      </c>
      <c r="G1199" s="5" t="s">
        <v>12</v>
      </c>
      <c r="H1199" s="5">
        <v>6900</v>
      </c>
      <c r="I1199" s="5">
        <v>9</v>
      </c>
      <c r="J1199" s="9">
        <v>62100</v>
      </c>
    </row>
    <row r="1200" spans="1:10" x14ac:dyDescent="0.3">
      <c r="A1200" s="3" t="s">
        <v>1265</v>
      </c>
      <c r="B1200" s="4">
        <v>43481</v>
      </c>
      <c r="C1200" s="5">
        <v>16</v>
      </c>
      <c r="D1200" s="5" t="s">
        <v>34</v>
      </c>
      <c r="E1200" s="5" t="s">
        <v>43</v>
      </c>
      <c r="F1200" s="5" t="s">
        <v>17</v>
      </c>
      <c r="G1200" s="5" t="s">
        <v>12</v>
      </c>
      <c r="H1200" s="5">
        <v>6900</v>
      </c>
      <c r="I1200" s="5">
        <v>5</v>
      </c>
      <c r="J1200" s="9">
        <v>34500</v>
      </c>
    </row>
    <row r="1201" spans="1:10" x14ac:dyDescent="0.3">
      <c r="A1201" s="3" t="s">
        <v>1266</v>
      </c>
      <c r="B1201" s="4">
        <v>43481</v>
      </c>
      <c r="C1201" s="5">
        <v>16</v>
      </c>
      <c r="D1201" s="5" t="s">
        <v>34</v>
      </c>
      <c r="E1201" s="5" t="s">
        <v>42</v>
      </c>
      <c r="F1201" s="5" t="s">
        <v>17</v>
      </c>
      <c r="G1201" s="5" t="s">
        <v>12</v>
      </c>
      <c r="H1201" s="5">
        <v>6900</v>
      </c>
      <c r="I1201" s="5">
        <v>2</v>
      </c>
      <c r="J1201" s="9">
        <v>13800</v>
      </c>
    </row>
    <row r="1202" spans="1:10" x14ac:dyDescent="0.3">
      <c r="A1202" s="3" t="s">
        <v>1267</v>
      </c>
      <c r="B1202" s="4">
        <v>43482</v>
      </c>
      <c r="C1202" s="5">
        <v>16</v>
      </c>
      <c r="D1202" s="5" t="s">
        <v>34</v>
      </c>
      <c r="E1202" s="5" t="s">
        <v>42</v>
      </c>
      <c r="F1202" s="5" t="s">
        <v>17</v>
      </c>
      <c r="G1202" s="5" t="s">
        <v>12</v>
      </c>
      <c r="H1202" s="5">
        <v>6900</v>
      </c>
      <c r="I1202" s="5">
        <v>1</v>
      </c>
      <c r="J1202" s="9">
        <v>6900</v>
      </c>
    </row>
    <row r="1203" spans="1:10" x14ac:dyDescent="0.3">
      <c r="A1203" s="3" t="s">
        <v>1268</v>
      </c>
      <c r="B1203" s="4">
        <v>43482</v>
      </c>
      <c r="C1203" s="5">
        <v>18</v>
      </c>
      <c r="D1203" s="5" t="s">
        <v>36</v>
      </c>
      <c r="E1203" s="5" t="s">
        <v>43</v>
      </c>
      <c r="F1203" s="5" t="s">
        <v>17</v>
      </c>
      <c r="G1203" s="5" t="s">
        <v>13</v>
      </c>
      <c r="H1203" s="5">
        <v>28900</v>
      </c>
      <c r="I1203" s="5">
        <v>2</v>
      </c>
      <c r="J1203" s="9">
        <v>57800</v>
      </c>
    </row>
    <row r="1204" spans="1:10" x14ac:dyDescent="0.3">
      <c r="A1204" s="3" t="s">
        <v>1269</v>
      </c>
      <c r="B1204" s="4">
        <v>43482</v>
      </c>
      <c r="C1204" s="5">
        <v>14</v>
      </c>
      <c r="D1204" s="5" t="s">
        <v>32</v>
      </c>
      <c r="E1204" s="5" t="s">
        <v>39</v>
      </c>
      <c r="F1204" s="5" t="s">
        <v>16</v>
      </c>
      <c r="G1204" s="5" t="s">
        <v>10</v>
      </c>
      <c r="H1204" s="5">
        <v>39900</v>
      </c>
      <c r="I1204" s="5">
        <v>2</v>
      </c>
      <c r="J1204" s="9">
        <v>79800</v>
      </c>
    </row>
    <row r="1205" spans="1:10" x14ac:dyDescent="0.3">
      <c r="A1205" s="3" t="s">
        <v>1270</v>
      </c>
      <c r="B1205" s="4">
        <v>43482</v>
      </c>
      <c r="C1205" s="5">
        <v>5</v>
      </c>
      <c r="D1205" s="5" t="s">
        <v>23</v>
      </c>
      <c r="E1205" s="5" t="s">
        <v>40</v>
      </c>
      <c r="F1205" s="5" t="s">
        <v>18</v>
      </c>
      <c r="G1205" s="5" t="s">
        <v>12</v>
      </c>
      <c r="H1205" s="5">
        <v>6900</v>
      </c>
      <c r="I1205" s="5">
        <v>3</v>
      </c>
      <c r="J1205" s="9">
        <v>20700</v>
      </c>
    </row>
    <row r="1206" spans="1:10" x14ac:dyDescent="0.3">
      <c r="A1206" s="3" t="s">
        <v>1271</v>
      </c>
      <c r="B1206" s="4">
        <v>43482</v>
      </c>
      <c r="C1206" s="5">
        <v>7</v>
      </c>
      <c r="D1206" s="5" t="s">
        <v>25</v>
      </c>
      <c r="E1206" s="5" t="s">
        <v>41</v>
      </c>
      <c r="F1206" s="5" t="s">
        <v>15</v>
      </c>
      <c r="G1206" s="5" t="s">
        <v>13</v>
      </c>
      <c r="H1206" s="5">
        <v>28900</v>
      </c>
      <c r="I1206" s="5">
        <v>5</v>
      </c>
      <c r="J1206" s="9">
        <v>144500</v>
      </c>
    </row>
    <row r="1207" spans="1:10" x14ac:dyDescent="0.3">
      <c r="A1207" s="3" t="s">
        <v>1272</v>
      </c>
      <c r="B1207" s="4">
        <v>43482</v>
      </c>
      <c r="C1207" s="5">
        <v>17</v>
      </c>
      <c r="D1207" s="5" t="s">
        <v>35</v>
      </c>
      <c r="E1207" s="5" t="s">
        <v>42</v>
      </c>
      <c r="F1207" s="5" t="s">
        <v>17</v>
      </c>
      <c r="G1207" s="5" t="s">
        <v>12</v>
      </c>
      <c r="H1207" s="5">
        <v>6900</v>
      </c>
      <c r="I1207" s="5">
        <v>6</v>
      </c>
      <c r="J1207" s="9">
        <v>41400</v>
      </c>
    </row>
    <row r="1208" spans="1:10" x14ac:dyDescent="0.3">
      <c r="A1208" s="3" t="s">
        <v>1273</v>
      </c>
      <c r="B1208" s="4">
        <v>43482</v>
      </c>
      <c r="C1208" s="5">
        <v>10</v>
      </c>
      <c r="D1208" s="5" t="s">
        <v>28</v>
      </c>
      <c r="E1208" s="5" t="s">
        <v>44</v>
      </c>
      <c r="F1208" s="5" t="s">
        <v>15</v>
      </c>
      <c r="G1208" s="5" t="s">
        <v>14</v>
      </c>
      <c r="H1208" s="5">
        <v>15900</v>
      </c>
      <c r="I1208" s="5">
        <v>3</v>
      </c>
      <c r="J1208" s="9">
        <v>47700</v>
      </c>
    </row>
    <row r="1209" spans="1:10" x14ac:dyDescent="0.3">
      <c r="A1209" s="3" t="s">
        <v>1274</v>
      </c>
      <c r="B1209" s="4">
        <v>43483</v>
      </c>
      <c r="C1209" s="5">
        <v>7</v>
      </c>
      <c r="D1209" s="5" t="s">
        <v>25</v>
      </c>
      <c r="E1209" s="5" t="s">
        <v>41</v>
      </c>
      <c r="F1209" s="5" t="s">
        <v>15</v>
      </c>
      <c r="G1209" s="5" t="s">
        <v>10</v>
      </c>
      <c r="H1209" s="5">
        <v>39900</v>
      </c>
      <c r="I1209" s="5">
        <v>6</v>
      </c>
      <c r="J1209" s="9">
        <v>239400</v>
      </c>
    </row>
    <row r="1210" spans="1:10" x14ac:dyDescent="0.3">
      <c r="A1210" s="3" t="s">
        <v>1275</v>
      </c>
      <c r="B1210" s="4">
        <v>43483</v>
      </c>
      <c r="C1210" s="5">
        <v>12</v>
      </c>
      <c r="D1210" s="5" t="s">
        <v>30</v>
      </c>
      <c r="E1210" s="5" t="s">
        <v>45</v>
      </c>
      <c r="F1210" s="5" t="s">
        <v>16</v>
      </c>
      <c r="G1210" s="5" t="s">
        <v>10</v>
      </c>
      <c r="H1210" s="5">
        <v>39900</v>
      </c>
      <c r="I1210" s="5">
        <v>3</v>
      </c>
      <c r="J1210" s="9">
        <v>119700</v>
      </c>
    </row>
    <row r="1211" spans="1:10" x14ac:dyDescent="0.3">
      <c r="A1211" s="3" t="s">
        <v>1276</v>
      </c>
      <c r="B1211" s="4">
        <v>43483</v>
      </c>
      <c r="C1211" s="5">
        <v>11</v>
      </c>
      <c r="D1211" s="5" t="s">
        <v>29</v>
      </c>
      <c r="E1211" s="5" t="s">
        <v>45</v>
      </c>
      <c r="F1211" s="5" t="s">
        <v>16</v>
      </c>
      <c r="G1211" s="5" t="s">
        <v>11</v>
      </c>
      <c r="H1211" s="5">
        <v>19900</v>
      </c>
      <c r="I1211" s="5">
        <v>7</v>
      </c>
      <c r="J1211" s="9">
        <v>139300</v>
      </c>
    </row>
    <row r="1212" spans="1:10" x14ac:dyDescent="0.3">
      <c r="A1212" s="3" t="s">
        <v>1277</v>
      </c>
      <c r="B1212" s="4">
        <v>43484</v>
      </c>
      <c r="C1212" s="5">
        <v>9</v>
      </c>
      <c r="D1212" s="5" t="s">
        <v>27</v>
      </c>
      <c r="E1212" s="5" t="s">
        <v>44</v>
      </c>
      <c r="F1212" s="5" t="s">
        <v>15</v>
      </c>
      <c r="G1212" s="5" t="s">
        <v>14</v>
      </c>
      <c r="H1212" s="5">
        <v>15900</v>
      </c>
      <c r="I1212" s="5">
        <v>7</v>
      </c>
      <c r="J1212" s="9">
        <v>111300</v>
      </c>
    </row>
    <row r="1213" spans="1:10" x14ac:dyDescent="0.3">
      <c r="A1213" s="3" t="s">
        <v>1278</v>
      </c>
      <c r="B1213" s="4">
        <v>43485</v>
      </c>
      <c r="C1213" s="5">
        <v>14</v>
      </c>
      <c r="D1213" s="5" t="s">
        <v>32</v>
      </c>
      <c r="E1213" s="5" t="s">
        <v>39</v>
      </c>
      <c r="F1213" s="5" t="s">
        <v>16</v>
      </c>
      <c r="G1213" s="5" t="s">
        <v>14</v>
      </c>
      <c r="H1213" s="5">
        <v>15900</v>
      </c>
      <c r="I1213" s="5">
        <v>1</v>
      </c>
      <c r="J1213" s="9">
        <v>15900</v>
      </c>
    </row>
    <row r="1214" spans="1:10" x14ac:dyDescent="0.3">
      <c r="A1214" s="3" t="s">
        <v>1279</v>
      </c>
      <c r="B1214" s="4">
        <v>43485</v>
      </c>
      <c r="C1214" s="5">
        <v>16</v>
      </c>
      <c r="D1214" s="5" t="s">
        <v>34</v>
      </c>
      <c r="E1214" s="5" t="s">
        <v>42</v>
      </c>
      <c r="F1214" s="5" t="s">
        <v>17</v>
      </c>
      <c r="G1214" s="5" t="s">
        <v>12</v>
      </c>
      <c r="H1214" s="5">
        <v>6900</v>
      </c>
      <c r="I1214" s="5">
        <v>2</v>
      </c>
      <c r="J1214" s="9">
        <v>13800</v>
      </c>
    </row>
    <row r="1215" spans="1:10" x14ac:dyDescent="0.3">
      <c r="A1215" s="3" t="s">
        <v>1280</v>
      </c>
      <c r="B1215" s="4">
        <v>43486</v>
      </c>
      <c r="C1215" s="5">
        <v>8</v>
      </c>
      <c r="D1215" s="5" t="s">
        <v>26</v>
      </c>
      <c r="E1215" s="5" t="s">
        <v>44</v>
      </c>
      <c r="F1215" s="5" t="s">
        <v>15</v>
      </c>
      <c r="G1215" s="5" t="s">
        <v>13</v>
      </c>
      <c r="H1215" s="5">
        <v>28900</v>
      </c>
      <c r="I1215" s="5">
        <v>4</v>
      </c>
      <c r="J1215" s="9">
        <v>115600</v>
      </c>
    </row>
    <row r="1216" spans="1:10" x14ac:dyDescent="0.3">
      <c r="A1216" s="3" t="s">
        <v>1281</v>
      </c>
      <c r="B1216" s="4">
        <v>43486</v>
      </c>
      <c r="C1216" s="5">
        <v>4</v>
      </c>
      <c r="D1216" s="5" t="s">
        <v>22</v>
      </c>
      <c r="E1216" s="5" t="s">
        <v>40</v>
      </c>
      <c r="F1216" s="5" t="s">
        <v>18</v>
      </c>
      <c r="G1216" s="5" t="s">
        <v>12</v>
      </c>
      <c r="H1216" s="5">
        <v>6900</v>
      </c>
      <c r="I1216" s="5">
        <v>6</v>
      </c>
      <c r="J1216" s="9">
        <v>41400</v>
      </c>
    </row>
    <row r="1217" spans="1:10" x14ac:dyDescent="0.3">
      <c r="A1217" s="3" t="s">
        <v>1282</v>
      </c>
      <c r="B1217" s="4">
        <v>43486</v>
      </c>
      <c r="C1217" s="5">
        <v>10</v>
      </c>
      <c r="D1217" s="5" t="s">
        <v>28</v>
      </c>
      <c r="E1217" s="5" t="s">
        <v>44</v>
      </c>
      <c r="F1217" s="5" t="s">
        <v>15</v>
      </c>
      <c r="G1217" s="5" t="s">
        <v>14</v>
      </c>
      <c r="H1217" s="5">
        <v>15900</v>
      </c>
      <c r="I1217" s="5">
        <v>1</v>
      </c>
      <c r="J1217" s="9">
        <v>15900</v>
      </c>
    </row>
    <row r="1218" spans="1:10" x14ac:dyDescent="0.3">
      <c r="A1218" s="3" t="s">
        <v>1283</v>
      </c>
      <c r="B1218" s="4">
        <v>43486</v>
      </c>
      <c r="C1218" s="5">
        <v>4</v>
      </c>
      <c r="D1218" s="5" t="s">
        <v>22</v>
      </c>
      <c r="E1218" s="5" t="s">
        <v>46</v>
      </c>
      <c r="F1218" s="5" t="s">
        <v>18</v>
      </c>
      <c r="G1218" s="5" t="s">
        <v>14</v>
      </c>
      <c r="H1218" s="5">
        <v>15900</v>
      </c>
      <c r="I1218" s="5">
        <v>4</v>
      </c>
      <c r="J1218" s="9">
        <v>63600</v>
      </c>
    </row>
    <row r="1219" spans="1:10" x14ac:dyDescent="0.3">
      <c r="A1219" s="3" t="s">
        <v>1284</v>
      </c>
      <c r="B1219" s="4">
        <v>43487</v>
      </c>
      <c r="C1219" s="5">
        <v>12</v>
      </c>
      <c r="D1219" s="5" t="s">
        <v>30</v>
      </c>
      <c r="E1219" s="5" t="s">
        <v>39</v>
      </c>
      <c r="F1219" s="5" t="s">
        <v>16</v>
      </c>
      <c r="G1219" s="5" t="s">
        <v>12</v>
      </c>
      <c r="H1219" s="5">
        <v>6900</v>
      </c>
      <c r="I1219" s="5">
        <v>7</v>
      </c>
      <c r="J1219" s="9">
        <v>48300</v>
      </c>
    </row>
    <row r="1220" spans="1:10" x14ac:dyDescent="0.3">
      <c r="A1220" s="3" t="s">
        <v>1285</v>
      </c>
      <c r="B1220" s="4">
        <v>43487</v>
      </c>
      <c r="C1220" s="5">
        <v>2</v>
      </c>
      <c r="D1220" s="5" t="s">
        <v>20</v>
      </c>
      <c r="E1220" s="5" t="s">
        <v>46</v>
      </c>
      <c r="F1220" s="5" t="s">
        <v>18</v>
      </c>
      <c r="G1220" s="5" t="s">
        <v>13</v>
      </c>
      <c r="H1220" s="5">
        <v>28900</v>
      </c>
      <c r="I1220" s="5">
        <v>5</v>
      </c>
      <c r="J1220" s="9">
        <v>144500</v>
      </c>
    </row>
    <row r="1221" spans="1:10" x14ac:dyDescent="0.3">
      <c r="A1221" s="3" t="s">
        <v>1286</v>
      </c>
      <c r="B1221" s="4">
        <v>43487</v>
      </c>
      <c r="C1221" s="5">
        <v>7</v>
      </c>
      <c r="D1221" s="5" t="s">
        <v>25</v>
      </c>
      <c r="E1221" s="5" t="s">
        <v>41</v>
      </c>
      <c r="F1221" s="5" t="s">
        <v>15</v>
      </c>
      <c r="G1221" s="5" t="s">
        <v>13</v>
      </c>
      <c r="H1221" s="5">
        <v>28900</v>
      </c>
      <c r="I1221" s="5">
        <v>7</v>
      </c>
      <c r="J1221" s="9">
        <v>202300</v>
      </c>
    </row>
    <row r="1222" spans="1:10" x14ac:dyDescent="0.3">
      <c r="A1222" s="3" t="s">
        <v>1287</v>
      </c>
      <c r="B1222" s="4">
        <v>43488</v>
      </c>
      <c r="C1222" s="5">
        <v>10</v>
      </c>
      <c r="D1222" s="5" t="s">
        <v>28</v>
      </c>
      <c r="E1222" s="5" t="s">
        <v>44</v>
      </c>
      <c r="F1222" s="5" t="s">
        <v>15</v>
      </c>
      <c r="G1222" s="5" t="s">
        <v>14</v>
      </c>
      <c r="H1222" s="5">
        <v>15900</v>
      </c>
      <c r="I1222" s="5">
        <v>6</v>
      </c>
      <c r="J1222" s="9">
        <v>95400</v>
      </c>
    </row>
    <row r="1223" spans="1:10" x14ac:dyDescent="0.3">
      <c r="A1223" s="3" t="s">
        <v>1288</v>
      </c>
      <c r="B1223" s="4">
        <v>43489</v>
      </c>
      <c r="C1223" s="5">
        <v>8</v>
      </c>
      <c r="D1223" s="5" t="s">
        <v>26</v>
      </c>
      <c r="E1223" s="5" t="s">
        <v>41</v>
      </c>
      <c r="F1223" s="5" t="s">
        <v>15</v>
      </c>
      <c r="G1223" s="5" t="s">
        <v>14</v>
      </c>
      <c r="H1223" s="5">
        <v>15900</v>
      </c>
      <c r="I1223" s="5">
        <v>4</v>
      </c>
      <c r="J1223" s="9">
        <v>63600</v>
      </c>
    </row>
    <row r="1224" spans="1:10" x14ac:dyDescent="0.3">
      <c r="A1224" s="3" t="s">
        <v>1289</v>
      </c>
      <c r="B1224" s="4">
        <v>43490</v>
      </c>
      <c r="C1224" s="5">
        <v>18</v>
      </c>
      <c r="D1224" s="5" t="s">
        <v>36</v>
      </c>
      <c r="E1224" s="5" t="s">
        <v>43</v>
      </c>
      <c r="F1224" s="5" t="s">
        <v>17</v>
      </c>
      <c r="G1224" s="5" t="s">
        <v>10</v>
      </c>
      <c r="H1224" s="5">
        <v>39900</v>
      </c>
      <c r="I1224" s="5">
        <v>9</v>
      </c>
      <c r="J1224" s="9">
        <v>359100</v>
      </c>
    </row>
    <row r="1225" spans="1:10" x14ac:dyDescent="0.3">
      <c r="A1225" s="3" t="s">
        <v>1290</v>
      </c>
      <c r="B1225" s="4">
        <v>43491</v>
      </c>
      <c r="C1225" s="5">
        <v>4</v>
      </c>
      <c r="D1225" s="5" t="s">
        <v>22</v>
      </c>
      <c r="E1225" s="5" t="s">
        <v>40</v>
      </c>
      <c r="F1225" s="5" t="s">
        <v>18</v>
      </c>
      <c r="G1225" s="5" t="s">
        <v>11</v>
      </c>
      <c r="H1225" s="5">
        <v>19900</v>
      </c>
      <c r="I1225" s="5">
        <v>5</v>
      </c>
      <c r="J1225" s="9">
        <v>99500</v>
      </c>
    </row>
    <row r="1226" spans="1:10" x14ac:dyDescent="0.3">
      <c r="A1226" s="3" t="s">
        <v>1291</v>
      </c>
      <c r="B1226" s="4">
        <v>43491</v>
      </c>
      <c r="C1226" s="5">
        <v>7</v>
      </c>
      <c r="D1226" s="5" t="s">
        <v>25</v>
      </c>
      <c r="E1226" s="5" t="s">
        <v>44</v>
      </c>
      <c r="F1226" s="5" t="s">
        <v>15</v>
      </c>
      <c r="G1226" s="5" t="s">
        <v>10</v>
      </c>
      <c r="H1226" s="5">
        <v>39900</v>
      </c>
      <c r="I1226" s="5">
        <v>8</v>
      </c>
      <c r="J1226" s="9">
        <v>319200</v>
      </c>
    </row>
    <row r="1227" spans="1:10" x14ac:dyDescent="0.3">
      <c r="A1227" s="3" t="s">
        <v>1292</v>
      </c>
      <c r="B1227" s="4">
        <v>43491</v>
      </c>
      <c r="C1227" s="5">
        <v>1</v>
      </c>
      <c r="D1227" s="5" t="s">
        <v>19</v>
      </c>
      <c r="E1227" s="5" t="s">
        <v>46</v>
      </c>
      <c r="F1227" s="5" t="s">
        <v>18</v>
      </c>
      <c r="G1227" s="5" t="s">
        <v>10</v>
      </c>
      <c r="H1227" s="5">
        <v>39900</v>
      </c>
      <c r="I1227" s="5">
        <v>4</v>
      </c>
      <c r="J1227" s="9">
        <v>159600</v>
      </c>
    </row>
    <row r="1228" spans="1:10" x14ac:dyDescent="0.3">
      <c r="A1228" s="3" t="s">
        <v>1293</v>
      </c>
      <c r="B1228" s="4">
        <v>43491</v>
      </c>
      <c r="C1228" s="5">
        <v>10</v>
      </c>
      <c r="D1228" s="5" t="s">
        <v>28</v>
      </c>
      <c r="E1228" s="5" t="s">
        <v>41</v>
      </c>
      <c r="F1228" s="5" t="s">
        <v>15</v>
      </c>
      <c r="G1228" s="5" t="s">
        <v>10</v>
      </c>
      <c r="H1228" s="5">
        <v>39900</v>
      </c>
      <c r="I1228" s="5">
        <v>4</v>
      </c>
      <c r="J1228" s="9">
        <v>159600</v>
      </c>
    </row>
    <row r="1229" spans="1:10" x14ac:dyDescent="0.3">
      <c r="A1229" s="3" t="s">
        <v>1294</v>
      </c>
      <c r="B1229" s="4">
        <v>43492</v>
      </c>
      <c r="C1229" s="5">
        <v>17</v>
      </c>
      <c r="D1229" s="5" t="s">
        <v>35</v>
      </c>
      <c r="E1229" s="5" t="s">
        <v>42</v>
      </c>
      <c r="F1229" s="5" t="s">
        <v>17</v>
      </c>
      <c r="G1229" s="5" t="s">
        <v>13</v>
      </c>
      <c r="H1229" s="5">
        <v>28900</v>
      </c>
      <c r="I1229" s="5">
        <v>2</v>
      </c>
      <c r="J1229" s="9">
        <v>57800</v>
      </c>
    </row>
    <row r="1230" spans="1:10" x14ac:dyDescent="0.3">
      <c r="A1230" s="3" t="s">
        <v>1295</v>
      </c>
      <c r="B1230" s="4">
        <v>43493</v>
      </c>
      <c r="C1230" s="5">
        <v>12</v>
      </c>
      <c r="D1230" s="5" t="s">
        <v>30</v>
      </c>
      <c r="E1230" s="5" t="s">
        <v>45</v>
      </c>
      <c r="F1230" s="5" t="s">
        <v>16</v>
      </c>
      <c r="G1230" s="5" t="s">
        <v>11</v>
      </c>
      <c r="H1230" s="5">
        <v>19900</v>
      </c>
      <c r="I1230" s="5">
        <v>4</v>
      </c>
      <c r="J1230" s="9">
        <v>79600</v>
      </c>
    </row>
    <row r="1231" spans="1:10" x14ac:dyDescent="0.3">
      <c r="A1231" s="3" t="s">
        <v>1296</v>
      </c>
      <c r="B1231" s="4">
        <v>43493</v>
      </c>
      <c r="C1231" s="5">
        <v>3</v>
      </c>
      <c r="D1231" s="5" t="s">
        <v>21</v>
      </c>
      <c r="E1231" s="5" t="s">
        <v>40</v>
      </c>
      <c r="F1231" s="5" t="s">
        <v>18</v>
      </c>
      <c r="G1231" s="5" t="s">
        <v>10</v>
      </c>
      <c r="H1231" s="5">
        <v>39900</v>
      </c>
      <c r="I1231" s="5">
        <v>5</v>
      </c>
      <c r="J1231" s="9">
        <v>199500</v>
      </c>
    </row>
    <row r="1232" spans="1:10" x14ac:dyDescent="0.3">
      <c r="A1232" s="3" t="s">
        <v>1297</v>
      </c>
      <c r="B1232" s="4">
        <v>43493</v>
      </c>
      <c r="C1232" s="5">
        <v>2</v>
      </c>
      <c r="D1232" s="5" t="s">
        <v>20</v>
      </c>
      <c r="E1232" s="5" t="s">
        <v>46</v>
      </c>
      <c r="F1232" s="5" t="s">
        <v>18</v>
      </c>
      <c r="G1232" s="5" t="s">
        <v>12</v>
      </c>
      <c r="H1232" s="5">
        <v>6900</v>
      </c>
      <c r="I1232" s="5">
        <v>3</v>
      </c>
      <c r="J1232" s="9">
        <v>20700</v>
      </c>
    </row>
    <row r="1233" spans="1:10" x14ac:dyDescent="0.3">
      <c r="A1233" s="3" t="s">
        <v>1298</v>
      </c>
      <c r="B1233" s="4">
        <v>43493</v>
      </c>
      <c r="C1233" s="5">
        <v>4</v>
      </c>
      <c r="D1233" s="5" t="s">
        <v>22</v>
      </c>
      <c r="E1233" s="5" t="s">
        <v>40</v>
      </c>
      <c r="F1233" s="5" t="s">
        <v>18</v>
      </c>
      <c r="G1233" s="5" t="s">
        <v>14</v>
      </c>
      <c r="H1233" s="5">
        <v>15900</v>
      </c>
      <c r="I1233" s="5">
        <v>7</v>
      </c>
      <c r="J1233" s="9">
        <v>111300</v>
      </c>
    </row>
    <row r="1234" spans="1:10" x14ac:dyDescent="0.3">
      <c r="A1234" s="3" t="s">
        <v>1299</v>
      </c>
      <c r="B1234" s="4">
        <v>43493</v>
      </c>
      <c r="C1234" s="5">
        <v>5</v>
      </c>
      <c r="D1234" s="5" t="s">
        <v>23</v>
      </c>
      <c r="E1234" s="5" t="s">
        <v>40</v>
      </c>
      <c r="F1234" s="5" t="s">
        <v>18</v>
      </c>
      <c r="G1234" s="5" t="s">
        <v>12</v>
      </c>
      <c r="H1234" s="5">
        <v>6900</v>
      </c>
      <c r="I1234" s="5">
        <v>2</v>
      </c>
      <c r="J1234" s="9">
        <v>13800</v>
      </c>
    </row>
    <row r="1235" spans="1:10" x14ac:dyDescent="0.3">
      <c r="A1235" s="3" t="s">
        <v>1300</v>
      </c>
      <c r="B1235" s="4">
        <v>43494</v>
      </c>
      <c r="C1235" s="5">
        <v>9</v>
      </c>
      <c r="D1235" s="5" t="s">
        <v>27</v>
      </c>
      <c r="E1235" s="5" t="s">
        <v>44</v>
      </c>
      <c r="F1235" s="5" t="s">
        <v>15</v>
      </c>
      <c r="G1235" s="5" t="s">
        <v>14</v>
      </c>
      <c r="H1235" s="5">
        <v>15900</v>
      </c>
      <c r="I1235" s="5">
        <v>3</v>
      </c>
      <c r="J1235" s="9">
        <v>47700</v>
      </c>
    </row>
    <row r="1236" spans="1:10" x14ac:dyDescent="0.3">
      <c r="A1236" s="3" t="s">
        <v>1301</v>
      </c>
      <c r="B1236" s="4">
        <v>43494</v>
      </c>
      <c r="C1236" s="5">
        <v>9</v>
      </c>
      <c r="D1236" s="5" t="s">
        <v>27</v>
      </c>
      <c r="E1236" s="5" t="s">
        <v>44</v>
      </c>
      <c r="F1236" s="5" t="s">
        <v>15</v>
      </c>
      <c r="G1236" s="5" t="s">
        <v>13</v>
      </c>
      <c r="H1236" s="5">
        <v>28900</v>
      </c>
      <c r="I1236" s="5">
        <v>1</v>
      </c>
      <c r="J1236" s="9">
        <v>28900</v>
      </c>
    </row>
    <row r="1237" spans="1:10" x14ac:dyDescent="0.3">
      <c r="A1237" s="3" t="s">
        <v>1302</v>
      </c>
      <c r="B1237" s="4">
        <v>43495</v>
      </c>
      <c r="C1237" s="5">
        <v>3</v>
      </c>
      <c r="D1237" s="5" t="s">
        <v>21</v>
      </c>
      <c r="E1237" s="5" t="s">
        <v>46</v>
      </c>
      <c r="F1237" s="5" t="s">
        <v>18</v>
      </c>
      <c r="G1237" s="5" t="s">
        <v>14</v>
      </c>
      <c r="H1237" s="5">
        <v>15900</v>
      </c>
      <c r="I1237" s="5">
        <v>9</v>
      </c>
      <c r="J1237" s="9">
        <v>143100</v>
      </c>
    </row>
    <row r="1238" spans="1:10" x14ac:dyDescent="0.3">
      <c r="A1238" s="3" t="s">
        <v>1303</v>
      </c>
      <c r="B1238" s="4">
        <v>43496</v>
      </c>
      <c r="C1238" s="5">
        <v>2</v>
      </c>
      <c r="D1238" s="5" t="s">
        <v>20</v>
      </c>
      <c r="E1238" s="5" t="s">
        <v>46</v>
      </c>
      <c r="F1238" s="5" t="s">
        <v>18</v>
      </c>
      <c r="G1238" s="5" t="s">
        <v>10</v>
      </c>
      <c r="H1238" s="5">
        <v>39900</v>
      </c>
      <c r="I1238" s="5">
        <v>7</v>
      </c>
      <c r="J1238" s="9">
        <v>279300</v>
      </c>
    </row>
    <row r="1239" spans="1:10" x14ac:dyDescent="0.3">
      <c r="A1239" s="3" t="s">
        <v>1304</v>
      </c>
      <c r="B1239" s="4">
        <v>43497</v>
      </c>
      <c r="C1239" s="5">
        <v>13</v>
      </c>
      <c r="D1239" s="5" t="s">
        <v>31</v>
      </c>
      <c r="E1239" s="5" t="s">
        <v>45</v>
      </c>
      <c r="F1239" s="5" t="s">
        <v>16</v>
      </c>
      <c r="G1239" s="5" t="s">
        <v>13</v>
      </c>
      <c r="H1239" s="5">
        <v>28900</v>
      </c>
      <c r="I1239" s="5">
        <v>9</v>
      </c>
      <c r="J1239" s="9">
        <v>260100</v>
      </c>
    </row>
    <row r="1240" spans="1:10" x14ac:dyDescent="0.3">
      <c r="A1240" s="3" t="s">
        <v>1305</v>
      </c>
      <c r="B1240" s="4">
        <v>43498</v>
      </c>
      <c r="C1240" s="5">
        <v>8</v>
      </c>
      <c r="D1240" s="5" t="s">
        <v>26</v>
      </c>
      <c r="E1240" s="5" t="s">
        <v>41</v>
      </c>
      <c r="F1240" s="5" t="s">
        <v>15</v>
      </c>
      <c r="G1240" s="5" t="s">
        <v>13</v>
      </c>
      <c r="H1240" s="5">
        <v>28900</v>
      </c>
      <c r="I1240" s="5">
        <v>3</v>
      </c>
      <c r="J1240" s="9">
        <v>86700</v>
      </c>
    </row>
    <row r="1241" spans="1:10" x14ac:dyDescent="0.3">
      <c r="A1241" s="3" t="s">
        <v>1306</v>
      </c>
      <c r="B1241" s="4">
        <v>43499</v>
      </c>
      <c r="C1241" s="5">
        <v>12</v>
      </c>
      <c r="D1241" s="5" t="s">
        <v>30</v>
      </c>
      <c r="E1241" s="5" t="s">
        <v>39</v>
      </c>
      <c r="F1241" s="5" t="s">
        <v>16</v>
      </c>
      <c r="G1241" s="5" t="s">
        <v>11</v>
      </c>
      <c r="H1241" s="5">
        <v>19900</v>
      </c>
      <c r="I1241" s="5">
        <v>3</v>
      </c>
      <c r="J1241" s="9">
        <v>59700</v>
      </c>
    </row>
    <row r="1242" spans="1:10" x14ac:dyDescent="0.3">
      <c r="A1242" s="3" t="s">
        <v>1307</v>
      </c>
      <c r="B1242" s="4">
        <v>43499</v>
      </c>
      <c r="C1242" s="5">
        <v>6</v>
      </c>
      <c r="D1242" s="5" t="s">
        <v>24</v>
      </c>
      <c r="E1242" s="5" t="s">
        <v>44</v>
      </c>
      <c r="F1242" s="5" t="s">
        <v>15</v>
      </c>
      <c r="G1242" s="5" t="s">
        <v>12</v>
      </c>
      <c r="H1242" s="5">
        <v>6900</v>
      </c>
      <c r="I1242" s="5">
        <v>5</v>
      </c>
      <c r="J1242" s="9">
        <v>34500</v>
      </c>
    </row>
    <row r="1243" spans="1:10" x14ac:dyDescent="0.3">
      <c r="A1243" s="3" t="s">
        <v>1308</v>
      </c>
      <c r="B1243" s="4">
        <v>43500</v>
      </c>
      <c r="C1243" s="5">
        <v>9</v>
      </c>
      <c r="D1243" s="5" t="s">
        <v>27</v>
      </c>
      <c r="E1243" s="5" t="s">
        <v>44</v>
      </c>
      <c r="F1243" s="5" t="s">
        <v>15</v>
      </c>
      <c r="G1243" s="5" t="s">
        <v>13</v>
      </c>
      <c r="H1243" s="5">
        <v>28900</v>
      </c>
      <c r="I1243" s="5">
        <v>0</v>
      </c>
      <c r="J1243" s="9">
        <v>0</v>
      </c>
    </row>
    <row r="1244" spans="1:10" x14ac:dyDescent="0.3">
      <c r="A1244" s="3" t="s">
        <v>1309</v>
      </c>
      <c r="B1244" s="4">
        <v>43501</v>
      </c>
      <c r="C1244" s="5">
        <v>16</v>
      </c>
      <c r="D1244" s="5" t="s">
        <v>34</v>
      </c>
      <c r="E1244" s="5" t="s">
        <v>43</v>
      </c>
      <c r="F1244" s="5" t="s">
        <v>17</v>
      </c>
      <c r="G1244" s="5" t="s">
        <v>13</v>
      </c>
      <c r="H1244" s="5">
        <v>28900</v>
      </c>
      <c r="I1244" s="5">
        <v>9</v>
      </c>
      <c r="J1244" s="9">
        <v>260100</v>
      </c>
    </row>
    <row r="1245" spans="1:10" x14ac:dyDescent="0.3">
      <c r="A1245" s="3" t="s">
        <v>1310</v>
      </c>
      <c r="B1245" s="4">
        <v>43501</v>
      </c>
      <c r="C1245" s="5">
        <v>16</v>
      </c>
      <c r="D1245" s="5" t="s">
        <v>34</v>
      </c>
      <c r="E1245" s="5" t="s">
        <v>42</v>
      </c>
      <c r="F1245" s="5" t="s">
        <v>17</v>
      </c>
      <c r="G1245" s="5" t="s">
        <v>13</v>
      </c>
      <c r="H1245" s="5">
        <v>28900</v>
      </c>
      <c r="I1245" s="5">
        <v>9</v>
      </c>
      <c r="J1245" s="9">
        <v>260100</v>
      </c>
    </row>
    <row r="1246" spans="1:10" x14ac:dyDescent="0.3">
      <c r="A1246" s="3" t="s">
        <v>1311</v>
      </c>
      <c r="B1246" s="4">
        <v>43501</v>
      </c>
      <c r="C1246" s="5">
        <v>8</v>
      </c>
      <c r="D1246" s="5" t="s">
        <v>26</v>
      </c>
      <c r="E1246" s="5" t="s">
        <v>41</v>
      </c>
      <c r="F1246" s="5" t="s">
        <v>15</v>
      </c>
      <c r="G1246" s="5" t="s">
        <v>11</v>
      </c>
      <c r="H1246" s="5">
        <v>19900</v>
      </c>
      <c r="I1246" s="5">
        <v>0</v>
      </c>
      <c r="J1246" s="9">
        <v>0</v>
      </c>
    </row>
    <row r="1247" spans="1:10" x14ac:dyDescent="0.3">
      <c r="A1247" s="3" t="s">
        <v>1312</v>
      </c>
      <c r="B1247" s="4">
        <v>43501</v>
      </c>
      <c r="C1247" s="5">
        <v>3</v>
      </c>
      <c r="D1247" s="5" t="s">
        <v>21</v>
      </c>
      <c r="E1247" s="5" t="s">
        <v>46</v>
      </c>
      <c r="F1247" s="5" t="s">
        <v>18</v>
      </c>
      <c r="G1247" s="5" t="s">
        <v>13</v>
      </c>
      <c r="H1247" s="5">
        <v>28900</v>
      </c>
      <c r="I1247" s="5">
        <v>9</v>
      </c>
      <c r="J1247" s="9">
        <v>260100</v>
      </c>
    </row>
    <row r="1248" spans="1:10" x14ac:dyDescent="0.3">
      <c r="A1248" s="3" t="s">
        <v>1313</v>
      </c>
      <c r="B1248" s="4">
        <v>43501</v>
      </c>
      <c r="C1248" s="5">
        <v>12</v>
      </c>
      <c r="D1248" s="5" t="s">
        <v>30</v>
      </c>
      <c r="E1248" s="5" t="s">
        <v>39</v>
      </c>
      <c r="F1248" s="5" t="s">
        <v>16</v>
      </c>
      <c r="G1248" s="5" t="s">
        <v>14</v>
      </c>
      <c r="H1248" s="5">
        <v>15900</v>
      </c>
      <c r="I1248" s="5">
        <v>2</v>
      </c>
      <c r="J1248" s="9">
        <v>31800</v>
      </c>
    </row>
    <row r="1249" spans="1:10" x14ac:dyDescent="0.3">
      <c r="A1249" s="3" t="s">
        <v>1314</v>
      </c>
      <c r="B1249" s="4">
        <v>43501</v>
      </c>
      <c r="C1249" s="5">
        <v>11</v>
      </c>
      <c r="D1249" s="5" t="s">
        <v>29</v>
      </c>
      <c r="E1249" s="5" t="s">
        <v>39</v>
      </c>
      <c r="F1249" s="5" t="s">
        <v>16</v>
      </c>
      <c r="G1249" s="5" t="s">
        <v>12</v>
      </c>
      <c r="H1249" s="5">
        <v>6900</v>
      </c>
      <c r="I1249" s="5">
        <v>4</v>
      </c>
      <c r="J1249" s="9">
        <v>27600</v>
      </c>
    </row>
    <row r="1250" spans="1:10" x14ac:dyDescent="0.3">
      <c r="A1250" s="3" t="s">
        <v>1315</v>
      </c>
      <c r="B1250" s="4">
        <v>43501</v>
      </c>
      <c r="C1250" s="5">
        <v>9</v>
      </c>
      <c r="D1250" s="5" t="s">
        <v>27</v>
      </c>
      <c r="E1250" s="5" t="s">
        <v>44</v>
      </c>
      <c r="F1250" s="5" t="s">
        <v>15</v>
      </c>
      <c r="G1250" s="5" t="s">
        <v>10</v>
      </c>
      <c r="H1250" s="5">
        <v>39900</v>
      </c>
      <c r="I1250" s="5">
        <v>7</v>
      </c>
      <c r="J1250" s="9">
        <v>279300</v>
      </c>
    </row>
    <row r="1251" spans="1:10" x14ac:dyDescent="0.3">
      <c r="A1251" s="3" t="s">
        <v>1316</v>
      </c>
      <c r="B1251" s="4">
        <v>43501</v>
      </c>
      <c r="C1251" s="5">
        <v>3</v>
      </c>
      <c r="D1251" s="5" t="s">
        <v>21</v>
      </c>
      <c r="E1251" s="5" t="s">
        <v>40</v>
      </c>
      <c r="F1251" s="5" t="s">
        <v>18</v>
      </c>
      <c r="G1251" s="5" t="s">
        <v>12</v>
      </c>
      <c r="H1251" s="5">
        <v>6900</v>
      </c>
      <c r="I1251" s="5">
        <v>6</v>
      </c>
      <c r="J1251" s="9">
        <v>41400</v>
      </c>
    </row>
    <row r="1252" spans="1:10" x14ac:dyDescent="0.3">
      <c r="A1252" s="3" t="s">
        <v>1317</v>
      </c>
      <c r="B1252" s="4">
        <v>43501</v>
      </c>
      <c r="C1252" s="5">
        <v>3</v>
      </c>
      <c r="D1252" s="5" t="s">
        <v>21</v>
      </c>
      <c r="E1252" s="5" t="s">
        <v>46</v>
      </c>
      <c r="F1252" s="5" t="s">
        <v>18</v>
      </c>
      <c r="G1252" s="5" t="s">
        <v>11</v>
      </c>
      <c r="H1252" s="5">
        <v>19900</v>
      </c>
      <c r="I1252" s="5">
        <v>1</v>
      </c>
      <c r="J1252" s="9">
        <v>19900</v>
      </c>
    </row>
    <row r="1253" spans="1:10" x14ac:dyDescent="0.3">
      <c r="A1253" s="3" t="s">
        <v>1318</v>
      </c>
      <c r="B1253" s="4">
        <v>43502</v>
      </c>
      <c r="C1253" s="5">
        <v>9</v>
      </c>
      <c r="D1253" s="5" t="s">
        <v>27</v>
      </c>
      <c r="E1253" s="5" t="s">
        <v>41</v>
      </c>
      <c r="F1253" s="5" t="s">
        <v>15</v>
      </c>
      <c r="G1253" s="5" t="s">
        <v>13</v>
      </c>
      <c r="H1253" s="5">
        <v>28900</v>
      </c>
      <c r="I1253" s="5">
        <v>4</v>
      </c>
      <c r="J1253" s="9">
        <v>115600</v>
      </c>
    </row>
    <row r="1254" spans="1:10" x14ac:dyDescent="0.3">
      <c r="A1254" s="3" t="s">
        <v>1319</v>
      </c>
      <c r="B1254" s="4">
        <v>43502</v>
      </c>
      <c r="C1254" s="5">
        <v>12</v>
      </c>
      <c r="D1254" s="5" t="s">
        <v>30</v>
      </c>
      <c r="E1254" s="5" t="s">
        <v>45</v>
      </c>
      <c r="F1254" s="5" t="s">
        <v>16</v>
      </c>
      <c r="G1254" s="5" t="s">
        <v>14</v>
      </c>
      <c r="H1254" s="5">
        <v>15900</v>
      </c>
      <c r="I1254" s="5">
        <v>2</v>
      </c>
      <c r="J1254" s="9">
        <v>31800</v>
      </c>
    </row>
    <row r="1255" spans="1:10" x14ac:dyDescent="0.3">
      <c r="A1255" s="3" t="s">
        <v>1320</v>
      </c>
      <c r="B1255" s="4">
        <v>43503</v>
      </c>
      <c r="C1255" s="5">
        <v>15</v>
      </c>
      <c r="D1255" s="5" t="s">
        <v>33</v>
      </c>
      <c r="E1255" s="5" t="s">
        <v>39</v>
      </c>
      <c r="F1255" s="5" t="s">
        <v>16</v>
      </c>
      <c r="G1255" s="5" t="s">
        <v>11</v>
      </c>
      <c r="H1255" s="5">
        <v>19900</v>
      </c>
      <c r="I1255" s="5">
        <v>8</v>
      </c>
      <c r="J1255" s="9">
        <v>159200</v>
      </c>
    </row>
    <row r="1256" spans="1:10" x14ac:dyDescent="0.3">
      <c r="A1256" s="3" t="s">
        <v>1321</v>
      </c>
      <c r="B1256" s="4">
        <v>43503</v>
      </c>
      <c r="C1256" s="5">
        <v>14</v>
      </c>
      <c r="D1256" s="5" t="s">
        <v>32</v>
      </c>
      <c r="E1256" s="5" t="s">
        <v>39</v>
      </c>
      <c r="F1256" s="5" t="s">
        <v>16</v>
      </c>
      <c r="G1256" s="5" t="s">
        <v>10</v>
      </c>
      <c r="H1256" s="5">
        <v>39900</v>
      </c>
      <c r="I1256" s="5">
        <v>4</v>
      </c>
      <c r="J1256" s="9">
        <v>159600</v>
      </c>
    </row>
    <row r="1257" spans="1:10" x14ac:dyDescent="0.3">
      <c r="A1257" s="3" t="s">
        <v>1322</v>
      </c>
      <c r="B1257" s="4">
        <v>43503</v>
      </c>
      <c r="C1257" s="5">
        <v>8</v>
      </c>
      <c r="D1257" s="5" t="s">
        <v>26</v>
      </c>
      <c r="E1257" s="5" t="s">
        <v>41</v>
      </c>
      <c r="F1257" s="5" t="s">
        <v>15</v>
      </c>
      <c r="G1257" s="5" t="s">
        <v>10</v>
      </c>
      <c r="H1257" s="5">
        <v>39900</v>
      </c>
      <c r="I1257" s="5">
        <v>9</v>
      </c>
      <c r="J1257" s="9">
        <v>359100</v>
      </c>
    </row>
    <row r="1258" spans="1:10" x14ac:dyDescent="0.3">
      <c r="A1258" s="3" t="s">
        <v>1323</v>
      </c>
      <c r="B1258" s="4">
        <v>43504</v>
      </c>
      <c r="C1258" s="5">
        <v>14</v>
      </c>
      <c r="D1258" s="5" t="s">
        <v>32</v>
      </c>
      <c r="E1258" s="5" t="s">
        <v>45</v>
      </c>
      <c r="F1258" s="5" t="s">
        <v>16</v>
      </c>
      <c r="G1258" s="5" t="s">
        <v>14</v>
      </c>
      <c r="H1258" s="5">
        <v>15900</v>
      </c>
      <c r="I1258" s="5">
        <v>8</v>
      </c>
      <c r="J1258" s="9">
        <v>127200</v>
      </c>
    </row>
    <row r="1259" spans="1:10" x14ac:dyDescent="0.3">
      <c r="A1259" s="3" t="s">
        <v>1324</v>
      </c>
      <c r="B1259" s="4">
        <v>43504</v>
      </c>
      <c r="C1259" s="5">
        <v>11</v>
      </c>
      <c r="D1259" s="5" t="s">
        <v>29</v>
      </c>
      <c r="E1259" s="5" t="s">
        <v>39</v>
      </c>
      <c r="F1259" s="5" t="s">
        <v>16</v>
      </c>
      <c r="G1259" s="5" t="s">
        <v>12</v>
      </c>
      <c r="H1259" s="5">
        <v>6900</v>
      </c>
      <c r="I1259" s="5">
        <v>6</v>
      </c>
      <c r="J1259" s="9">
        <v>41400</v>
      </c>
    </row>
    <row r="1260" spans="1:10" x14ac:dyDescent="0.3">
      <c r="A1260" s="3" t="s">
        <v>1325</v>
      </c>
      <c r="B1260" s="4">
        <v>43505</v>
      </c>
      <c r="C1260" s="5">
        <v>7</v>
      </c>
      <c r="D1260" s="5" t="s">
        <v>25</v>
      </c>
      <c r="E1260" s="5" t="s">
        <v>41</v>
      </c>
      <c r="F1260" s="5" t="s">
        <v>15</v>
      </c>
      <c r="G1260" s="5" t="s">
        <v>10</v>
      </c>
      <c r="H1260" s="5">
        <v>39900</v>
      </c>
      <c r="I1260" s="5">
        <v>5</v>
      </c>
      <c r="J1260" s="9">
        <v>199500</v>
      </c>
    </row>
    <row r="1261" spans="1:10" x14ac:dyDescent="0.3">
      <c r="A1261" s="3" t="s">
        <v>1326</v>
      </c>
      <c r="B1261" s="4">
        <v>43505</v>
      </c>
      <c r="C1261" s="5">
        <v>8</v>
      </c>
      <c r="D1261" s="5" t="s">
        <v>26</v>
      </c>
      <c r="E1261" s="5" t="s">
        <v>44</v>
      </c>
      <c r="F1261" s="5" t="s">
        <v>15</v>
      </c>
      <c r="G1261" s="5" t="s">
        <v>11</v>
      </c>
      <c r="H1261" s="5">
        <v>19900</v>
      </c>
      <c r="I1261" s="5">
        <v>3</v>
      </c>
      <c r="J1261" s="9">
        <v>59700</v>
      </c>
    </row>
    <row r="1262" spans="1:10" x14ac:dyDescent="0.3">
      <c r="A1262" s="3" t="s">
        <v>1327</v>
      </c>
      <c r="B1262" s="4">
        <v>43506</v>
      </c>
      <c r="C1262" s="5">
        <v>5</v>
      </c>
      <c r="D1262" s="5" t="s">
        <v>23</v>
      </c>
      <c r="E1262" s="5" t="s">
        <v>46</v>
      </c>
      <c r="F1262" s="5" t="s">
        <v>18</v>
      </c>
      <c r="G1262" s="5" t="s">
        <v>11</v>
      </c>
      <c r="H1262" s="5">
        <v>19900</v>
      </c>
      <c r="I1262" s="5">
        <v>5</v>
      </c>
      <c r="J1262" s="9">
        <v>99500</v>
      </c>
    </row>
    <row r="1263" spans="1:10" x14ac:dyDescent="0.3">
      <c r="A1263" s="3" t="s">
        <v>1328</v>
      </c>
      <c r="B1263" s="4">
        <v>43506</v>
      </c>
      <c r="C1263" s="5">
        <v>13</v>
      </c>
      <c r="D1263" s="5" t="s">
        <v>31</v>
      </c>
      <c r="E1263" s="5" t="s">
        <v>45</v>
      </c>
      <c r="F1263" s="5" t="s">
        <v>16</v>
      </c>
      <c r="G1263" s="5" t="s">
        <v>14</v>
      </c>
      <c r="H1263" s="5">
        <v>15900</v>
      </c>
      <c r="I1263" s="5">
        <v>8</v>
      </c>
      <c r="J1263" s="9">
        <v>127200</v>
      </c>
    </row>
    <row r="1264" spans="1:10" x14ac:dyDescent="0.3">
      <c r="A1264" s="3" t="s">
        <v>1329</v>
      </c>
      <c r="B1264" s="4">
        <v>43507</v>
      </c>
      <c r="C1264" s="5">
        <v>20</v>
      </c>
      <c r="D1264" s="5" t="s">
        <v>38</v>
      </c>
      <c r="E1264" s="5" t="s">
        <v>42</v>
      </c>
      <c r="F1264" s="5" t="s">
        <v>17</v>
      </c>
      <c r="G1264" s="5" t="s">
        <v>10</v>
      </c>
      <c r="H1264" s="5">
        <v>39900</v>
      </c>
      <c r="I1264" s="5">
        <v>2</v>
      </c>
      <c r="J1264" s="9">
        <v>79800</v>
      </c>
    </row>
    <row r="1265" spans="1:10" x14ac:dyDescent="0.3">
      <c r="A1265" s="3" t="s">
        <v>1330</v>
      </c>
      <c r="B1265" s="4">
        <v>43508</v>
      </c>
      <c r="C1265" s="5">
        <v>10</v>
      </c>
      <c r="D1265" s="5" t="s">
        <v>28</v>
      </c>
      <c r="E1265" s="5" t="s">
        <v>41</v>
      </c>
      <c r="F1265" s="5" t="s">
        <v>15</v>
      </c>
      <c r="G1265" s="5" t="s">
        <v>10</v>
      </c>
      <c r="H1265" s="5">
        <v>39900</v>
      </c>
      <c r="I1265" s="5">
        <v>5</v>
      </c>
      <c r="J1265" s="9">
        <v>199500</v>
      </c>
    </row>
    <row r="1266" spans="1:10" x14ac:dyDescent="0.3">
      <c r="A1266" s="3" t="s">
        <v>1331</v>
      </c>
      <c r="B1266" s="4">
        <v>43509</v>
      </c>
      <c r="C1266" s="5">
        <v>13</v>
      </c>
      <c r="D1266" s="5" t="s">
        <v>31</v>
      </c>
      <c r="E1266" s="5" t="s">
        <v>39</v>
      </c>
      <c r="F1266" s="5" t="s">
        <v>16</v>
      </c>
      <c r="G1266" s="5" t="s">
        <v>14</v>
      </c>
      <c r="H1266" s="5">
        <v>15900</v>
      </c>
      <c r="I1266" s="5">
        <v>3</v>
      </c>
      <c r="J1266" s="9">
        <v>47700</v>
      </c>
    </row>
    <row r="1267" spans="1:10" x14ac:dyDescent="0.3">
      <c r="A1267" s="3" t="s">
        <v>1332</v>
      </c>
      <c r="B1267" s="4">
        <v>43509</v>
      </c>
      <c r="C1267" s="5">
        <v>8</v>
      </c>
      <c r="D1267" s="5" t="s">
        <v>26</v>
      </c>
      <c r="E1267" s="5" t="s">
        <v>44</v>
      </c>
      <c r="F1267" s="5" t="s">
        <v>15</v>
      </c>
      <c r="G1267" s="5" t="s">
        <v>11</v>
      </c>
      <c r="H1267" s="5">
        <v>19900</v>
      </c>
      <c r="I1267" s="5">
        <v>7</v>
      </c>
      <c r="J1267" s="9">
        <v>139300</v>
      </c>
    </row>
    <row r="1268" spans="1:10" x14ac:dyDescent="0.3">
      <c r="A1268" s="3" t="s">
        <v>1333</v>
      </c>
      <c r="B1268" s="4">
        <v>43509</v>
      </c>
      <c r="C1268" s="5">
        <v>17</v>
      </c>
      <c r="D1268" s="5" t="s">
        <v>35</v>
      </c>
      <c r="E1268" s="5" t="s">
        <v>42</v>
      </c>
      <c r="F1268" s="5" t="s">
        <v>17</v>
      </c>
      <c r="G1268" s="5" t="s">
        <v>11</v>
      </c>
      <c r="H1268" s="5">
        <v>19900</v>
      </c>
      <c r="I1268" s="5">
        <v>9</v>
      </c>
      <c r="J1268" s="9">
        <v>179100</v>
      </c>
    </row>
    <row r="1269" spans="1:10" x14ac:dyDescent="0.3">
      <c r="A1269" s="3" t="s">
        <v>1334</v>
      </c>
      <c r="B1269" s="4">
        <v>43510</v>
      </c>
      <c r="C1269" s="5">
        <v>2</v>
      </c>
      <c r="D1269" s="5" t="s">
        <v>20</v>
      </c>
      <c r="E1269" s="5" t="s">
        <v>40</v>
      </c>
      <c r="F1269" s="5" t="s">
        <v>18</v>
      </c>
      <c r="G1269" s="5" t="s">
        <v>12</v>
      </c>
      <c r="H1269" s="5">
        <v>6900</v>
      </c>
      <c r="I1269" s="5">
        <v>9</v>
      </c>
      <c r="J1269" s="9">
        <v>62100</v>
      </c>
    </row>
    <row r="1270" spans="1:10" x14ac:dyDescent="0.3">
      <c r="A1270" s="3" t="s">
        <v>1335</v>
      </c>
      <c r="B1270" s="4">
        <v>43510</v>
      </c>
      <c r="C1270" s="5">
        <v>13</v>
      </c>
      <c r="D1270" s="5" t="s">
        <v>31</v>
      </c>
      <c r="E1270" s="5" t="s">
        <v>39</v>
      </c>
      <c r="F1270" s="5" t="s">
        <v>16</v>
      </c>
      <c r="G1270" s="5" t="s">
        <v>10</v>
      </c>
      <c r="H1270" s="5">
        <v>39900</v>
      </c>
      <c r="I1270" s="5">
        <v>6</v>
      </c>
      <c r="J1270" s="9">
        <v>239400</v>
      </c>
    </row>
    <row r="1271" spans="1:10" x14ac:dyDescent="0.3">
      <c r="A1271" s="3" t="s">
        <v>1336</v>
      </c>
      <c r="B1271" s="4">
        <v>43511</v>
      </c>
      <c r="C1271" s="5">
        <v>1</v>
      </c>
      <c r="D1271" s="5" t="s">
        <v>19</v>
      </c>
      <c r="E1271" s="5" t="s">
        <v>46</v>
      </c>
      <c r="F1271" s="5" t="s">
        <v>18</v>
      </c>
      <c r="G1271" s="5" t="s">
        <v>13</v>
      </c>
      <c r="H1271" s="5">
        <v>28900</v>
      </c>
      <c r="I1271" s="5">
        <v>7</v>
      </c>
      <c r="J1271" s="9">
        <v>202300</v>
      </c>
    </row>
    <row r="1272" spans="1:10" x14ac:dyDescent="0.3">
      <c r="A1272" s="3" t="s">
        <v>1337</v>
      </c>
      <c r="B1272" s="4">
        <v>43512</v>
      </c>
      <c r="C1272" s="5">
        <v>16</v>
      </c>
      <c r="D1272" s="5" t="s">
        <v>34</v>
      </c>
      <c r="E1272" s="5" t="s">
        <v>42</v>
      </c>
      <c r="F1272" s="5" t="s">
        <v>17</v>
      </c>
      <c r="G1272" s="5" t="s">
        <v>11</v>
      </c>
      <c r="H1272" s="5">
        <v>19900</v>
      </c>
      <c r="I1272" s="5">
        <v>1</v>
      </c>
      <c r="J1272" s="9">
        <v>19900</v>
      </c>
    </row>
    <row r="1273" spans="1:10" x14ac:dyDescent="0.3">
      <c r="A1273" s="3" t="s">
        <v>1338</v>
      </c>
      <c r="B1273" s="4">
        <v>43513</v>
      </c>
      <c r="C1273" s="5">
        <v>11</v>
      </c>
      <c r="D1273" s="5" t="s">
        <v>29</v>
      </c>
      <c r="E1273" s="5" t="s">
        <v>45</v>
      </c>
      <c r="F1273" s="5" t="s">
        <v>16</v>
      </c>
      <c r="G1273" s="5" t="s">
        <v>13</v>
      </c>
      <c r="H1273" s="5">
        <v>28900</v>
      </c>
      <c r="I1273" s="5">
        <v>4</v>
      </c>
      <c r="J1273" s="9">
        <v>115600</v>
      </c>
    </row>
    <row r="1274" spans="1:10" x14ac:dyDescent="0.3">
      <c r="A1274" s="3" t="s">
        <v>1339</v>
      </c>
      <c r="B1274" s="4">
        <v>43514</v>
      </c>
      <c r="C1274" s="5">
        <v>20</v>
      </c>
      <c r="D1274" s="5" t="s">
        <v>38</v>
      </c>
      <c r="E1274" s="5" t="s">
        <v>43</v>
      </c>
      <c r="F1274" s="5" t="s">
        <v>17</v>
      </c>
      <c r="G1274" s="5" t="s">
        <v>11</v>
      </c>
      <c r="H1274" s="5">
        <v>19900</v>
      </c>
      <c r="I1274" s="5">
        <v>5</v>
      </c>
      <c r="J1274" s="9">
        <v>99500</v>
      </c>
    </row>
    <row r="1275" spans="1:10" x14ac:dyDescent="0.3">
      <c r="A1275" s="3" t="s">
        <v>1340</v>
      </c>
      <c r="B1275" s="4">
        <v>43514</v>
      </c>
      <c r="C1275" s="5">
        <v>5</v>
      </c>
      <c r="D1275" s="5" t="s">
        <v>23</v>
      </c>
      <c r="E1275" s="5" t="s">
        <v>46</v>
      </c>
      <c r="F1275" s="5" t="s">
        <v>18</v>
      </c>
      <c r="G1275" s="5" t="s">
        <v>13</v>
      </c>
      <c r="H1275" s="5">
        <v>28900</v>
      </c>
      <c r="I1275" s="5">
        <v>0</v>
      </c>
      <c r="J1275" s="9">
        <v>0</v>
      </c>
    </row>
    <row r="1276" spans="1:10" x14ac:dyDescent="0.3">
      <c r="A1276" s="3" t="s">
        <v>1341</v>
      </c>
      <c r="B1276" s="4">
        <v>43514</v>
      </c>
      <c r="C1276" s="5">
        <v>8</v>
      </c>
      <c r="D1276" s="5" t="s">
        <v>26</v>
      </c>
      <c r="E1276" s="5" t="s">
        <v>44</v>
      </c>
      <c r="F1276" s="5" t="s">
        <v>15</v>
      </c>
      <c r="G1276" s="5" t="s">
        <v>10</v>
      </c>
      <c r="H1276" s="5">
        <v>39900</v>
      </c>
      <c r="I1276" s="5">
        <v>7</v>
      </c>
      <c r="J1276" s="9">
        <v>279300</v>
      </c>
    </row>
    <row r="1277" spans="1:10" x14ac:dyDescent="0.3">
      <c r="A1277" s="3" t="s">
        <v>1342</v>
      </c>
      <c r="B1277" s="4">
        <v>43514</v>
      </c>
      <c r="C1277" s="5">
        <v>14</v>
      </c>
      <c r="D1277" s="5" t="s">
        <v>32</v>
      </c>
      <c r="E1277" s="5" t="s">
        <v>45</v>
      </c>
      <c r="F1277" s="5" t="s">
        <v>16</v>
      </c>
      <c r="G1277" s="5" t="s">
        <v>10</v>
      </c>
      <c r="H1277" s="5">
        <v>39900</v>
      </c>
      <c r="I1277" s="5">
        <v>9</v>
      </c>
      <c r="J1277" s="9">
        <v>359100</v>
      </c>
    </row>
    <row r="1278" spans="1:10" x14ac:dyDescent="0.3">
      <c r="A1278" s="3" t="s">
        <v>1343</v>
      </c>
      <c r="B1278" s="4">
        <v>43515</v>
      </c>
      <c r="C1278" s="5">
        <v>9</v>
      </c>
      <c r="D1278" s="5" t="s">
        <v>27</v>
      </c>
      <c r="E1278" s="5" t="s">
        <v>41</v>
      </c>
      <c r="F1278" s="5" t="s">
        <v>15</v>
      </c>
      <c r="G1278" s="5" t="s">
        <v>10</v>
      </c>
      <c r="H1278" s="5">
        <v>39900</v>
      </c>
      <c r="I1278" s="5">
        <v>5</v>
      </c>
      <c r="J1278" s="9">
        <v>199500</v>
      </c>
    </row>
    <row r="1279" spans="1:10" x14ac:dyDescent="0.3">
      <c r="A1279" s="3" t="s">
        <v>1344</v>
      </c>
      <c r="B1279" s="4">
        <v>43515</v>
      </c>
      <c r="C1279" s="5">
        <v>3</v>
      </c>
      <c r="D1279" s="5" t="s">
        <v>21</v>
      </c>
      <c r="E1279" s="5" t="s">
        <v>46</v>
      </c>
      <c r="F1279" s="5" t="s">
        <v>18</v>
      </c>
      <c r="G1279" s="5" t="s">
        <v>10</v>
      </c>
      <c r="H1279" s="5">
        <v>39900</v>
      </c>
      <c r="I1279" s="5">
        <v>7</v>
      </c>
      <c r="J1279" s="9">
        <v>279300</v>
      </c>
    </row>
    <row r="1280" spans="1:10" x14ac:dyDescent="0.3">
      <c r="A1280" s="3" t="s">
        <v>1345</v>
      </c>
      <c r="B1280" s="4">
        <v>43515</v>
      </c>
      <c r="C1280" s="5">
        <v>17</v>
      </c>
      <c r="D1280" s="5" t="s">
        <v>35</v>
      </c>
      <c r="E1280" s="5" t="s">
        <v>42</v>
      </c>
      <c r="F1280" s="5" t="s">
        <v>17</v>
      </c>
      <c r="G1280" s="5" t="s">
        <v>12</v>
      </c>
      <c r="H1280" s="5">
        <v>6900</v>
      </c>
      <c r="I1280" s="5">
        <v>4</v>
      </c>
      <c r="J1280" s="9">
        <v>27600</v>
      </c>
    </row>
    <row r="1281" spans="1:10" x14ac:dyDescent="0.3">
      <c r="A1281" s="3" t="s">
        <v>1346</v>
      </c>
      <c r="B1281" s="4">
        <v>43515</v>
      </c>
      <c r="C1281" s="5">
        <v>3</v>
      </c>
      <c r="D1281" s="5" t="s">
        <v>21</v>
      </c>
      <c r="E1281" s="5" t="s">
        <v>40</v>
      </c>
      <c r="F1281" s="5" t="s">
        <v>18</v>
      </c>
      <c r="G1281" s="5" t="s">
        <v>13</v>
      </c>
      <c r="H1281" s="5">
        <v>28900</v>
      </c>
      <c r="I1281" s="5">
        <v>7</v>
      </c>
      <c r="J1281" s="9">
        <v>202300</v>
      </c>
    </row>
    <row r="1282" spans="1:10" x14ac:dyDescent="0.3">
      <c r="A1282" s="3" t="s">
        <v>1347</v>
      </c>
      <c r="B1282" s="4">
        <v>43515</v>
      </c>
      <c r="C1282" s="5">
        <v>19</v>
      </c>
      <c r="D1282" s="5" t="s">
        <v>37</v>
      </c>
      <c r="E1282" s="5" t="s">
        <v>42</v>
      </c>
      <c r="F1282" s="5" t="s">
        <v>17</v>
      </c>
      <c r="G1282" s="5" t="s">
        <v>11</v>
      </c>
      <c r="H1282" s="5">
        <v>19900</v>
      </c>
      <c r="I1282" s="5">
        <v>0</v>
      </c>
      <c r="J1282" s="9">
        <v>0</v>
      </c>
    </row>
    <row r="1283" spans="1:10" x14ac:dyDescent="0.3">
      <c r="A1283" s="3" t="s">
        <v>1348</v>
      </c>
      <c r="B1283" s="4">
        <v>43515</v>
      </c>
      <c r="C1283" s="5">
        <v>6</v>
      </c>
      <c r="D1283" s="5" t="s">
        <v>24</v>
      </c>
      <c r="E1283" s="5" t="s">
        <v>41</v>
      </c>
      <c r="F1283" s="5" t="s">
        <v>15</v>
      </c>
      <c r="G1283" s="5" t="s">
        <v>12</v>
      </c>
      <c r="H1283" s="5">
        <v>6900</v>
      </c>
      <c r="I1283" s="5">
        <v>8</v>
      </c>
      <c r="J1283" s="9">
        <v>55200</v>
      </c>
    </row>
    <row r="1284" spans="1:10" x14ac:dyDescent="0.3">
      <c r="A1284" s="3" t="s">
        <v>1349</v>
      </c>
      <c r="B1284" s="4">
        <v>43515</v>
      </c>
      <c r="C1284" s="5">
        <v>7</v>
      </c>
      <c r="D1284" s="5" t="s">
        <v>25</v>
      </c>
      <c r="E1284" s="5" t="s">
        <v>41</v>
      </c>
      <c r="F1284" s="5" t="s">
        <v>15</v>
      </c>
      <c r="G1284" s="5" t="s">
        <v>10</v>
      </c>
      <c r="H1284" s="5">
        <v>39900</v>
      </c>
      <c r="I1284" s="5">
        <v>3</v>
      </c>
      <c r="J1284" s="9">
        <v>119700</v>
      </c>
    </row>
    <row r="1285" spans="1:10" x14ac:dyDescent="0.3">
      <c r="A1285" s="3" t="s">
        <v>1350</v>
      </c>
      <c r="B1285" s="4">
        <v>43515</v>
      </c>
      <c r="C1285" s="5">
        <v>8</v>
      </c>
      <c r="D1285" s="5" t="s">
        <v>26</v>
      </c>
      <c r="E1285" s="5" t="s">
        <v>44</v>
      </c>
      <c r="F1285" s="5" t="s">
        <v>15</v>
      </c>
      <c r="G1285" s="5" t="s">
        <v>11</v>
      </c>
      <c r="H1285" s="5">
        <v>19900</v>
      </c>
      <c r="I1285" s="5">
        <v>5</v>
      </c>
      <c r="J1285" s="9">
        <v>99500</v>
      </c>
    </row>
    <row r="1286" spans="1:10" x14ac:dyDescent="0.3">
      <c r="A1286" s="3" t="s">
        <v>1351</v>
      </c>
      <c r="B1286" s="4">
        <v>43515</v>
      </c>
      <c r="C1286" s="5">
        <v>2</v>
      </c>
      <c r="D1286" s="5" t="s">
        <v>20</v>
      </c>
      <c r="E1286" s="5" t="s">
        <v>46</v>
      </c>
      <c r="F1286" s="5" t="s">
        <v>18</v>
      </c>
      <c r="G1286" s="5" t="s">
        <v>12</v>
      </c>
      <c r="H1286" s="5">
        <v>6900</v>
      </c>
      <c r="I1286" s="5">
        <v>8</v>
      </c>
      <c r="J1286" s="9">
        <v>55200</v>
      </c>
    </row>
    <row r="1287" spans="1:10" x14ac:dyDescent="0.3">
      <c r="A1287" s="3" t="s">
        <v>1352</v>
      </c>
      <c r="B1287" s="4">
        <v>43515</v>
      </c>
      <c r="C1287" s="5">
        <v>3</v>
      </c>
      <c r="D1287" s="5" t="s">
        <v>21</v>
      </c>
      <c r="E1287" s="5" t="s">
        <v>40</v>
      </c>
      <c r="F1287" s="5" t="s">
        <v>18</v>
      </c>
      <c r="G1287" s="5" t="s">
        <v>13</v>
      </c>
      <c r="H1287" s="5">
        <v>28900</v>
      </c>
      <c r="I1287" s="5">
        <v>7</v>
      </c>
      <c r="J1287" s="9">
        <v>202300</v>
      </c>
    </row>
    <row r="1288" spans="1:10" x14ac:dyDescent="0.3">
      <c r="A1288" s="3" t="s">
        <v>1353</v>
      </c>
      <c r="B1288" s="4">
        <v>43515</v>
      </c>
      <c r="C1288" s="5">
        <v>16</v>
      </c>
      <c r="D1288" s="5" t="s">
        <v>34</v>
      </c>
      <c r="E1288" s="5" t="s">
        <v>42</v>
      </c>
      <c r="F1288" s="5" t="s">
        <v>17</v>
      </c>
      <c r="G1288" s="5" t="s">
        <v>10</v>
      </c>
      <c r="H1288" s="5">
        <v>39900</v>
      </c>
      <c r="I1288" s="5">
        <v>7</v>
      </c>
      <c r="J1288" s="9">
        <v>279300</v>
      </c>
    </row>
    <row r="1289" spans="1:10" x14ac:dyDescent="0.3">
      <c r="A1289" s="3" t="s">
        <v>1354</v>
      </c>
      <c r="B1289" s="4">
        <v>43515</v>
      </c>
      <c r="C1289" s="5">
        <v>7</v>
      </c>
      <c r="D1289" s="5" t="s">
        <v>25</v>
      </c>
      <c r="E1289" s="5" t="s">
        <v>44</v>
      </c>
      <c r="F1289" s="5" t="s">
        <v>15</v>
      </c>
      <c r="G1289" s="5" t="s">
        <v>11</v>
      </c>
      <c r="H1289" s="5">
        <v>19900</v>
      </c>
      <c r="I1289" s="5">
        <v>1</v>
      </c>
      <c r="J1289" s="9">
        <v>19900</v>
      </c>
    </row>
    <row r="1290" spans="1:10" x14ac:dyDescent="0.3">
      <c r="A1290" s="3" t="s">
        <v>1355</v>
      </c>
      <c r="B1290" s="4">
        <v>43515</v>
      </c>
      <c r="C1290" s="5">
        <v>17</v>
      </c>
      <c r="D1290" s="5" t="s">
        <v>35</v>
      </c>
      <c r="E1290" s="5" t="s">
        <v>43</v>
      </c>
      <c r="F1290" s="5" t="s">
        <v>17</v>
      </c>
      <c r="G1290" s="5" t="s">
        <v>11</v>
      </c>
      <c r="H1290" s="5">
        <v>19900</v>
      </c>
      <c r="I1290" s="5">
        <v>4</v>
      </c>
      <c r="J1290" s="9">
        <v>79600</v>
      </c>
    </row>
    <row r="1291" spans="1:10" x14ac:dyDescent="0.3">
      <c r="A1291" s="3" t="s">
        <v>1356</v>
      </c>
      <c r="B1291" s="4">
        <v>43515</v>
      </c>
      <c r="C1291" s="5">
        <v>14</v>
      </c>
      <c r="D1291" s="5" t="s">
        <v>32</v>
      </c>
      <c r="E1291" s="5" t="s">
        <v>45</v>
      </c>
      <c r="F1291" s="5" t="s">
        <v>16</v>
      </c>
      <c r="G1291" s="5" t="s">
        <v>13</v>
      </c>
      <c r="H1291" s="5">
        <v>28900</v>
      </c>
      <c r="I1291" s="5">
        <v>9</v>
      </c>
      <c r="J1291" s="9">
        <v>260100</v>
      </c>
    </row>
    <row r="1292" spans="1:10" x14ac:dyDescent="0.3">
      <c r="A1292" s="3" t="s">
        <v>1357</v>
      </c>
      <c r="B1292" s="4">
        <v>43516</v>
      </c>
      <c r="C1292" s="5">
        <v>8</v>
      </c>
      <c r="D1292" s="5" t="s">
        <v>26</v>
      </c>
      <c r="E1292" s="5" t="s">
        <v>44</v>
      </c>
      <c r="F1292" s="5" t="s">
        <v>15</v>
      </c>
      <c r="G1292" s="5" t="s">
        <v>13</v>
      </c>
      <c r="H1292" s="5">
        <v>28900</v>
      </c>
      <c r="I1292" s="5">
        <v>5</v>
      </c>
      <c r="J1292" s="9">
        <v>144500</v>
      </c>
    </row>
    <row r="1293" spans="1:10" x14ac:dyDescent="0.3">
      <c r="A1293" s="3" t="s">
        <v>1358</v>
      </c>
      <c r="B1293" s="4">
        <v>43516</v>
      </c>
      <c r="C1293" s="5">
        <v>2</v>
      </c>
      <c r="D1293" s="5" t="s">
        <v>20</v>
      </c>
      <c r="E1293" s="5" t="s">
        <v>40</v>
      </c>
      <c r="F1293" s="5" t="s">
        <v>18</v>
      </c>
      <c r="G1293" s="5" t="s">
        <v>11</v>
      </c>
      <c r="H1293" s="5">
        <v>19900</v>
      </c>
      <c r="I1293" s="5">
        <v>3</v>
      </c>
      <c r="J1293" s="9">
        <v>59700</v>
      </c>
    </row>
    <row r="1294" spans="1:10" x14ac:dyDescent="0.3">
      <c r="A1294" s="3" t="s">
        <v>1359</v>
      </c>
      <c r="B1294" s="4">
        <v>43516</v>
      </c>
      <c r="C1294" s="5">
        <v>9</v>
      </c>
      <c r="D1294" s="5" t="s">
        <v>27</v>
      </c>
      <c r="E1294" s="5" t="s">
        <v>44</v>
      </c>
      <c r="F1294" s="5" t="s">
        <v>15</v>
      </c>
      <c r="G1294" s="5" t="s">
        <v>14</v>
      </c>
      <c r="H1294" s="5">
        <v>15900</v>
      </c>
      <c r="I1294" s="5">
        <v>2</v>
      </c>
      <c r="J1294" s="9">
        <v>31800</v>
      </c>
    </row>
    <row r="1295" spans="1:10" x14ac:dyDescent="0.3">
      <c r="A1295" s="3" t="s">
        <v>1360</v>
      </c>
      <c r="B1295" s="4">
        <v>43517</v>
      </c>
      <c r="C1295" s="5">
        <v>8</v>
      </c>
      <c r="D1295" s="5" t="s">
        <v>26</v>
      </c>
      <c r="E1295" s="5" t="s">
        <v>44</v>
      </c>
      <c r="F1295" s="5" t="s">
        <v>15</v>
      </c>
      <c r="G1295" s="5" t="s">
        <v>13</v>
      </c>
      <c r="H1295" s="5">
        <v>28900</v>
      </c>
      <c r="I1295" s="5">
        <v>1</v>
      </c>
      <c r="J1295" s="9">
        <v>28900</v>
      </c>
    </row>
    <row r="1296" spans="1:10" x14ac:dyDescent="0.3">
      <c r="A1296" s="3" t="s">
        <v>1361</v>
      </c>
      <c r="B1296" s="4">
        <v>43517</v>
      </c>
      <c r="C1296" s="5">
        <v>18</v>
      </c>
      <c r="D1296" s="5" t="s">
        <v>36</v>
      </c>
      <c r="E1296" s="5" t="s">
        <v>42</v>
      </c>
      <c r="F1296" s="5" t="s">
        <v>17</v>
      </c>
      <c r="G1296" s="5" t="s">
        <v>10</v>
      </c>
      <c r="H1296" s="5">
        <v>39900</v>
      </c>
      <c r="I1296" s="5">
        <v>3</v>
      </c>
      <c r="J1296" s="9">
        <v>119700</v>
      </c>
    </row>
    <row r="1297" spans="1:10" x14ac:dyDescent="0.3">
      <c r="A1297" s="3" t="s">
        <v>1362</v>
      </c>
      <c r="B1297" s="4">
        <v>43518</v>
      </c>
      <c r="C1297" s="5">
        <v>20</v>
      </c>
      <c r="D1297" s="5" t="s">
        <v>38</v>
      </c>
      <c r="E1297" s="5" t="s">
        <v>42</v>
      </c>
      <c r="F1297" s="5" t="s">
        <v>17</v>
      </c>
      <c r="G1297" s="5" t="s">
        <v>13</v>
      </c>
      <c r="H1297" s="5">
        <v>28900</v>
      </c>
      <c r="I1297" s="5">
        <v>0</v>
      </c>
      <c r="J1297" s="9">
        <v>0</v>
      </c>
    </row>
    <row r="1298" spans="1:10" x14ac:dyDescent="0.3">
      <c r="A1298" s="3" t="s">
        <v>1363</v>
      </c>
      <c r="B1298" s="4">
        <v>43518</v>
      </c>
      <c r="C1298" s="5">
        <v>13</v>
      </c>
      <c r="D1298" s="5" t="s">
        <v>31</v>
      </c>
      <c r="E1298" s="5" t="s">
        <v>39</v>
      </c>
      <c r="F1298" s="5" t="s">
        <v>16</v>
      </c>
      <c r="G1298" s="5" t="s">
        <v>13</v>
      </c>
      <c r="H1298" s="5">
        <v>28900</v>
      </c>
      <c r="I1298" s="5">
        <v>7</v>
      </c>
      <c r="J1298" s="9">
        <v>202300</v>
      </c>
    </row>
    <row r="1299" spans="1:10" x14ac:dyDescent="0.3">
      <c r="A1299" s="3" t="s">
        <v>1364</v>
      </c>
      <c r="B1299" s="4">
        <v>43518</v>
      </c>
      <c r="C1299" s="5">
        <v>3</v>
      </c>
      <c r="D1299" s="5" t="s">
        <v>21</v>
      </c>
      <c r="E1299" s="5" t="s">
        <v>46</v>
      </c>
      <c r="F1299" s="5" t="s">
        <v>18</v>
      </c>
      <c r="G1299" s="5" t="s">
        <v>10</v>
      </c>
      <c r="H1299" s="5">
        <v>39900</v>
      </c>
      <c r="I1299" s="5">
        <v>3</v>
      </c>
      <c r="J1299" s="9">
        <v>119700</v>
      </c>
    </row>
    <row r="1300" spans="1:10" x14ac:dyDescent="0.3">
      <c r="A1300" s="3" t="s">
        <v>1365</v>
      </c>
      <c r="B1300" s="4">
        <v>43518</v>
      </c>
      <c r="C1300" s="5">
        <v>16</v>
      </c>
      <c r="D1300" s="5" t="s">
        <v>34</v>
      </c>
      <c r="E1300" s="5" t="s">
        <v>43</v>
      </c>
      <c r="F1300" s="5" t="s">
        <v>17</v>
      </c>
      <c r="G1300" s="5" t="s">
        <v>11</v>
      </c>
      <c r="H1300" s="5">
        <v>19900</v>
      </c>
      <c r="I1300" s="5">
        <v>2</v>
      </c>
      <c r="J1300" s="9">
        <v>39800</v>
      </c>
    </row>
    <row r="1301" spans="1:10" x14ac:dyDescent="0.3">
      <c r="A1301" s="3" t="s">
        <v>1366</v>
      </c>
      <c r="B1301" s="4">
        <v>43518</v>
      </c>
      <c r="C1301" s="5">
        <v>16</v>
      </c>
      <c r="D1301" s="5" t="s">
        <v>34</v>
      </c>
      <c r="E1301" s="5" t="s">
        <v>42</v>
      </c>
      <c r="F1301" s="5" t="s">
        <v>17</v>
      </c>
      <c r="G1301" s="5" t="s">
        <v>13</v>
      </c>
      <c r="H1301" s="5">
        <v>28900</v>
      </c>
      <c r="I1301" s="5">
        <v>3</v>
      </c>
      <c r="J1301" s="9">
        <v>86700</v>
      </c>
    </row>
    <row r="1302" spans="1:10" x14ac:dyDescent="0.3">
      <c r="A1302" s="3" t="s">
        <v>1367</v>
      </c>
      <c r="B1302" s="4">
        <v>43518</v>
      </c>
      <c r="C1302" s="5">
        <v>3</v>
      </c>
      <c r="D1302" s="5" t="s">
        <v>21</v>
      </c>
      <c r="E1302" s="5" t="s">
        <v>46</v>
      </c>
      <c r="F1302" s="5" t="s">
        <v>18</v>
      </c>
      <c r="G1302" s="5" t="s">
        <v>11</v>
      </c>
      <c r="H1302" s="5">
        <v>19900</v>
      </c>
      <c r="I1302" s="5">
        <v>9</v>
      </c>
      <c r="J1302" s="9">
        <v>179100</v>
      </c>
    </row>
    <row r="1303" spans="1:10" x14ac:dyDescent="0.3">
      <c r="A1303" s="3" t="s">
        <v>1368</v>
      </c>
      <c r="B1303" s="4">
        <v>43518</v>
      </c>
      <c r="C1303" s="5">
        <v>20</v>
      </c>
      <c r="D1303" s="5" t="s">
        <v>38</v>
      </c>
      <c r="E1303" s="5" t="s">
        <v>43</v>
      </c>
      <c r="F1303" s="5" t="s">
        <v>17</v>
      </c>
      <c r="G1303" s="5" t="s">
        <v>13</v>
      </c>
      <c r="H1303" s="5">
        <v>28900</v>
      </c>
      <c r="I1303" s="5">
        <v>0</v>
      </c>
      <c r="J1303" s="9">
        <v>0</v>
      </c>
    </row>
    <row r="1304" spans="1:10" x14ac:dyDescent="0.3">
      <c r="A1304" s="3" t="s">
        <v>1369</v>
      </c>
      <c r="B1304" s="4">
        <v>43518</v>
      </c>
      <c r="C1304" s="5">
        <v>3</v>
      </c>
      <c r="D1304" s="5" t="s">
        <v>21</v>
      </c>
      <c r="E1304" s="5" t="s">
        <v>40</v>
      </c>
      <c r="F1304" s="5" t="s">
        <v>18</v>
      </c>
      <c r="G1304" s="5" t="s">
        <v>13</v>
      </c>
      <c r="H1304" s="5">
        <v>28900</v>
      </c>
      <c r="I1304" s="5">
        <v>7</v>
      </c>
      <c r="J1304" s="9">
        <v>202300</v>
      </c>
    </row>
    <row r="1305" spans="1:10" x14ac:dyDescent="0.3">
      <c r="A1305" s="3" t="s">
        <v>1370</v>
      </c>
      <c r="B1305" s="4">
        <v>43519</v>
      </c>
      <c r="C1305" s="5">
        <v>8</v>
      </c>
      <c r="D1305" s="5" t="s">
        <v>26</v>
      </c>
      <c r="E1305" s="5" t="s">
        <v>41</v>
      </c>
      <c r="F1305" s="5" t="s">
        <v>15</v>
      </c>
      <c r="G1305" s="5" t="s">
        <v>10</v>
      </c>
      <c r="H1305" s="5">
        <v>39900</v>
      </c>
      <c r="I1305" s="5">
        <v>5</v>
      </c>
      <c r="J1305" s="9">
        <v>199500</v>
      </c>
    </row>
    <row r="1306" spans="1:10" x14ac:dyDescent="0.3">
      <c r="A1306" s="3" t="s">
        <v>1371</v>
      </c>
      <c r="B1306" s="4">
        <v>43519</v>
      </c>
      <c r="C1306" s="5">
        <v>6</v>
      </c>
      <c r="D1306" s="5" t="s">
        <v>24</v>
      </c>
      <c r="E1306" s="5" t="s">
        <v>44</v>
      </c>
      <c r="F1306" s="5" t="s">
        <v>15</v>
      </c>
      <c r="G1306" s="5" t="s">
        <v>11</v>
      </c>
      <c r="H1306" s="5">
        <v>19900</v>
      </c>
      <c r="I1306" s="5">
        <v>8</v>
      </c>
      <c r="J1306" s="9">
        <v>159200</v>
      </c>
    </row>
    <row r="1307" spans="1:10" x14ac:dyDescent="0.3">
      <c r="A1307" s="3" t="s">
        <v>1372</v>
      </c>
      <c r="B1307" s="4">
        <v>43519</v>
      </c>
      <c r="C1307" s="5">
        <v>7</v>
      </c>
      <c r="D1307" s="5" t="s">
        <v>25</v>
      </c>
      <c r="E1307" s="5" t="s">
        <v>41</v>
      </c>
      <c r="F1307" s="5" t="s">
        <v>15</v>
      </c>
      <c r="G1307" s="5" t="s">
        <v>12</v>
      </c>
      <c r="H1307" s="5">
        <v>6900</v>
      </c>
      <c r="I1307" s="5">
        <v>5</v>
      </c>
      <c r="J1307" s="9">
        <v>34500</v>
      </c>
    </row>
    <row r="1308" spans="1:10" x14ac:dyDescent="0.3">
      <c r="A1308" s="3" t="s">
        <v>1373</v>
      </c>
      <c r="B1308" s="4">
        <v>43519</v>
      </c>
      <c r="C1308" s="5">
        <v>3</v>
      </c>
      <c r="D1308" s="5" t="s">
        <v>21</v>
      </c>
      <c r="E1308" s="5" t="s">
        <v>46</v>
      </c>
      <c r="F1308" s="5" t="s">
        <v>18</v>
      </c>
      <c r="G1308" s="5" t="s">
        <v>10</v>
      </c>
      <c r="H1308" s="5">
        <v>39900</v>
      </c>
      <c r="I1308" s="5">
        <v>8</v>
      </c>
      <c r="J1308" s="9">
        <v>319200</v>
      </c>
    </row>
    <row r="1309" spans="1:10" x14ac:dyDescent="0.3">
      <c r="A1309" s="3" t="s">
        <v>1374</v>
      </c>
      <c r="B1309" s="4">
        <v>43520</v>
      </c>
      <c r="C1309" s="5">
        <v>4</v>
      </c>
      <c r="D1309" s="5" t="s">
        <v>22</v>
      </c>
      <c r="E1309" s="5" t="s">
        <v>40</v>
      </c>
      <c r="F1309" s="5" t="s">
        <v>18</v>
      </c>
      <c r="G1309" s="5" t="s">
        <v>10</v>
      </c>
      <c r="H1309" s="5">
        <v>39900</v>
      </c>
      <c r="I1309" s="5">
        <v>2</v>
      </c>
      <c r="J1309" s="9">
        <v>79800</v>
      </c>
    </row>
    <row r="1310" spans="1:10" x14ac:dyDescent="0.3">
      <c r="A1310" s="3" t="s">
        <v>1375</v>
      </c>
      <c r="B1310" s="4">
        <v>43520</v>
      </c>
      <c r="C1310" s="5">
        <v>2</v>
      </c>
      <c r="D1310" s="5" t="s">
        <v>20</v>
      </c>
      <c r="E1310" s="5" t="s">
        <v>46</v>
      </c>
      <c r="F1310" s="5" t="s">
        <v>18</v>
      </c>
      <c r="G1310" s="5" t="s">
        <v>10</v>
      </c>
      <c r="H1310" s="5">
        <v>39900</v>
      </c>
      <c r="I1310" s="5">
        <v>6</v>
      </c>
      <c r="J1310" s="9">
        <v>239400</v>
      </c>
    </row>
    <row r="1311" spans="1:10" x14ac:dyDescent="0.3">
      <c r="A1311" s="3" t="s">
        <v>1376</v>
      </c>
      <c r="B1311" s="4">
        <v>43520</v>
      </c>
      <c r="C1311" s="5">
        <v>8</v>
      </c>
      <c r="D1311" s="5" t="s">
        <v>26</v>
      </c>
      <c r="E1311" s="5" t="s">
        <v>44</v>
      </c>
      <c r="F1311" s="5" t="s">
        <v>15</v>
      </c>
      <c r="G1311" s="5" t="s">
        <v>13</v>
      </c>
      <c r="H1311" s="5">
        <v>28900</v>
      </c>
      <c r="I1311" s="5">
        <v>0</v>
      </c>
      <c r="J1311" s="9">
        <v>0</v>
      </c>
    </row>
    <row r="1312" spans="1:10" x14ac:dyDescent="0.3">
      <c r="A1312" s="3" t="s">
        <v>1377</v>
      </c>
      <c r="B1312" s="4">
        <v>43521</v>
      </c>
      <c r="C1312" s="5">
        <v>4</v>
      </c>
      <c r="D1312" s="5" t="s">
        <v>22</v>
      </c>
      <c r="E1312" s="5" t="s">
        <v>46</v>
      </c>
      <c r="F1312" s="5" t="s">
        <v>18</v>
      </c>
      <c r="G1312" s="5" t="s">
        <v>12</v>
      </c>
      <c r="H1312" s="5">
        <v>6900</v>
      </c>
      <c r="I1312" s="5">
        <v>4</v>
      </c>
      <c r="J1312" s="9">
        <v>27600</v>
      </c>
    </row>
    <row r="1313" spans="1:10" x14ac:dyDescent="0.3">
      <c r="A1313" s="3" t="s">
        <v>1378</v>
      </c>
      <c r="B1313" s="4">
        <v>43522</v>
      </c>
      <c r="C1313" s="5">
        <v>13</v>
      </c>
      <c r="D1313" s="5" t="s">
        <v>31</v>
      </c>
      <c r="E1313" s="5" t="s">
        <v>45</v>
      </c>
      <c r="F1313" s="5" t="s">
        <v>16</v>
      </c>
      <c r="G1313" s="5" t="s">
        <v>14</v>
      </c>
      <c r="H1313" s="5">
        <v>15900</v>
      </c>
      <c r="I1313" s="5">
        <v>5</v>
      </c>
      <c r="J1313" s="9">
        <v>79500</v>
      </c>
    </row>
    <row r="1314" spans="1:10" x14ac:dyDescent="0.3">
      <c r="A1314" s="3" t="s">
        <v>1379</v>
      </c>
      <c r="B1314" s="4">
        <v>43522</v>
      </c>
      <c r="C1314" s="5">
        <v>8</v>
      </c>
      <c r="D1314" s="5" t="s">
        <v>26</v>
      </c>
      <c r="E1314" s="5" t="s">
        <v>41</v>
      </c>
      <c r="F1314" s="5" t="s">
        <v>15</v>
      </c>
      <c r="G1314" s="5" t="s">
        <v>14</v>
      </c>
      <c r="H1314" s="5">
        <v>15900</v>
      </c>
      <c r="I1314" s="5">
        <v>8</v>
      </c>
      <c r="J1314" s="9">
        <v>127200</v>
      </c>
    </row>
    <row r="1315" spans="1:10" x14ac:dyDescent="0.3">
      <c r="A1315" s="3" t="s">
        <v>1380</v>
      </c>
      <c r="B1315" s="4">
        <v>43522</v>
      </c>
      <c r="C1315" s="5">
        <v>11</v>
      </c>
      <c r="D1315" s="5" t="s">
        <v>29</v>
      </c>
      <c r="E1315" s="5" t="s">
        <v>39</v>
      </c>
      <c r="F1315" s="5" t="s">
        <v>16</v>
      </c>
      <c r="G1315" s="5" t="s">
        <v>11</v>
      </c>
      <c r="H1315" s="5">
        <v>19900</v>
      </c>
      <c r="I1315" s="5">
        <v>9</v>
      </c>
      <c r="J1315" s="9">
        <v>179100</v>
      </c>
    </row>
    <row r="1316" spans="1:10" x14ac:dyDescent="0.3">
      <c r="A1316" s="3" t="s">
        <v>1381</v>
      </c>
      <c r="B1316" s="4">
        <v>43522</v>
      </c>
      <c r="C1316" s="5">
        <v>12</v>
      </c>
      <c r="D1316" s="5" t="s">
        <v>30</v>
      </c>
      <c r="E1316" s="5" t="s">
        <v>45</v>
      </c>
      <c r="F1316" s="5" t="s">
        <v>16</v>
      </c>
      <c r="G1316" s="5" t="s">
        <v>12</v>
      </c>
      <c r="H1316" s="5">
        <v>6900</v>
      </c>
      <c r="I1316" s="5">
        <v>8</v>
      </c>
      <c r="J1316" s="9">
        <v>55200</v>
      </c>
    </row>
    <row r="1317" spans="1:10" x14ac:dyDescent="0.3">
      <c r="A1317" s="3" t="s">
        <v>1382</v>
      </c>
      <c r="B1317" s="4">
        <v>43522</v>
      </c>
      <c r="C1317" s="5">
        <v>1</v>
      </c>
      <c r="D1317" s="5" t="s">
        <v>19</v>
      </c>
      <c r="E1317" s="5" t="s">
        <v>40</v>
      </c>
      <c r="F1317" s="5" t="s">
        <v>18</v>
      </c>
      <c r="G1317" s="5" t="s">
        <v>12</v>
      </c>
      <c r="H1317" s="5">
        <v>6900</v>
      </c>
      <c r="I1317" s="5">
        <v>9</v>
      </c>
      <c r="J1317" s="9">
        <v>62100</v>
      </c>
    </row>
    <row r="1318" spans="1:10" x14ac:dyDescent="0.3">
      <c r="A1318" s="3" t="s">
        <v>1383</v>
      </c>
      <c r="B1318" s="4">
        <v>43522</v>
      </c>
      <c r="C1318" s="5">
        <v>3</v>
      </c>
      <c r="D1318" s="5" t="s">
        <v>21</v>
      </c>
      <c r="E1318" s="5" t="s">
        <v>40</v>
      </c>
      <c r="F1318" s="5" t="s">
        <v>18</v>
      </c>
      <c r="G1318" s="5" t="s">
        <v>13</v>
      </c>
      <c r="H1318" s="5">
        <v>28900</v>
      </c>
      <c r="I1318" s="5">
        <v>3</v>
      </c>
      <c r="J1318" s="9">
        <v>86700</v>
      </c>
    </row>
    <row r="1319" spans="1:10" x14ac:dyDescent="0.3">
      <c r="A1319" s="3" t="s">
        <v>1384</v>
      </c>
      <c r="B1319" s="4">
        <v>43522</v>
      </c>
      <c r="C1319" s="5">
        <v>14</v>
      </c>
      <c r="D1319" s="5" t="s">
        <v>32</v>
      </c>
      <c r="E1319" s="5" t="s">
        <v>39</v>
      </c>
      <c r="F1319" s="5" t="s">
        <v>16</v>
      </c>
      <c r="G1319" s="5" t="s">
        <v>10</v>
      </c>
      <c r="H1319" s="5">
        <v>39900</v>
      </c>
      <c r="I1319" s="5">
        <v>2</v>
      </c>
      <c r="J1319" s="9">
        <v>79800</v>
      </c>
    </row>
    <row r="1320" spans="1:10" x14ac:dyDescent="0.3">
      <c r="A1320" s="3" t="s">
        <v>1385</v>
      </c>
      <c r="B1320" s="4">
        <v>43523</v>
      </c>
      <c r="C1320" s="5">
        <v>11</v>
      </c>
      <c r="D1320" s="5" t="s">
        <v>29</v>
      </c>
      <c r="E1320" s="5" t="s">
        <v>45</v>
      </c>
      <c r="F1320" s="5" t="s">
        <v>16</v>
      </c>
      <c r="G1320" s="5" t="s">
        <v>11</v>
      </c>
      <c r="H1320" s="5">
        <v>19900</v>
      </c>
      <c r="I1320" s="5">
        <v>9</v>
      </c>
      <c r="J1320" s="9">
        <v>179100</v>
      </c>
    </row>
    <row r="1321" spans="1:10" x14ac:dyDescent="0.3">
      <c r="A1321" s="3" t="s">
        <v>1386</v>
      </c>
      <c r="B1321" s="4">
        <v>43523</v>
      </c>
      <c r="C1321" s="5">
        <v>8</v>
      </c>
      <c r="D1321" s="5" t="s">
        <v>26</v>
      </c>
      <c r="E1321" s="5" t="s">
        <v>41</v>
      </c>
      <c r="F1321" s="5" t="s">
        <v>15</v>
      </c>
      <c r="G1321" s="5" t="s">
        <v>12</v>
      </c>
      <c r="H1321" s="5">
        <v>6900</v>
      </c>
      <c r="I1321" s="5">
        <v>4</v>
      </c>
      <c r="J1321" s="9">
        <v>27600</v>
      </c>
    </row>
    <row r="1322" spans="1:10" x14ac:dyDescent="0.3">
      <c r="A1322" s="3" t="s">
        <v>1387</v>
      </c>
      <c r="B1322" s="4">
        <v>43524</v>
      </c>
      <c r="C1322" s="5">
        <v>10</v>
      </c>
      <c r="D1322" s="5" t="s">
        <v>28</v>
      </c>
      <c r="E1322" s="5" t="s">
        <v>41</v>
      </c>
      <c r="F1322" s="5" t="s">
        <v>15</v>
      </c>
      <c r="G1322" s="5" t="s">
        <v>12</v>
      </c>
      <c r="H1322" s="5">
        <v>6900</v>
      </c>
      <c r="I1322" s="5">
        <v>9</v>
      </c>
      <c r="J1322" s="9">
        <v>62100</v>
      </c>
    </row>
    <row r="1323" spans="1:10" x14ac:dyDescent="0.3">
      <c r="A1323" s="3" t="s">
        <v>1388</v>
      </c>
      <c r="B1323" s="4">
        <v>43524</v>
      </c>
      <c r="C1323" s="5">
        <v>19</v>
      </c>
      <c r="D1323" s="5" t="s">
        <v>37</v>
      </c>
      <c r="E1323" s="5" t="s">
        <v>42</v>
      </c>
      <c r="F1323" s="5" t="s">
        <v>17</v>
      </c>
      <c r="G1323" s="5" t="s">
        <v>10</v>
      </c>
      <c r="H1323" s="5">
        <v>39900</v>
      </c>
      <c r="I1323" s="5">
        <v>9</v>
      </c>
      <c r="J1323" s="9">
        <v>359100</v>
      </c>
    </row>
    <row r="1324" spans="1:10" x14ac:dyDescent="0.3">
      <c r="A1324" s="3" t="s">
        <v>1389</v>
      </c>
      <c r="B1324" s="4">
        <v>43524</v>
      </c>
      <c r="C1324" s="5">
        <v>12</v>
      </c>
      <c r="D1324" s="5" t="s">
        <v>30</v>
      </c>
      <c r="E1324" s="5" t="s">
        <v>39</v>
      </c>
      <c r="F1324" s="5" t="s">
        <v>16</v>
      </c>
      <c r="G1324" s="5" t="s">
        <v>13</v>
      </c>
      <c r="H1324" s="5">
        <v>28900</v>
      </c>
      <c r="I1324" s="5">
        <v>1</v>
      </c>
      <c r="J1324" s="9">
        <v>28900</v>
      </c>
    </row>
    <row r="1325" spans="1:10" x14ac:dyDescent="0.3">
      <c r="A1325" s="3" t="s">
        <v>1390</v>
      </c>
      <c r="B1325" s="4">
        <v>43525</v>
      </c>
      <c r="C1325" s="5">
        <v>17</v>
      </c>
      <c r="D1325" s="5" t="s">
        <v>35</v>
      </c>
      <c r="E1325" s="5" t="s">
        <v>43</v>
      </c>
      <c r="F1325" s="5" t="s">
        <v>17</v>
      </c>
      <c r="G1325" s="5" t="s">
        <v>14</v>
      </c>
      <c r="H1325" s="5">
        <v>15900</v>
      </c>
      <c r="I1325" s="5">
        <v>9</v>
      </c>
      <c r="J1325" s="9">
        <v>143100</v>
      </c>
    </row>
    <row r="1326" spans="1:10" x14ac:dyDescent="0.3">
      <c r="A1326" s="3" t="s">
        <v>1391</v>
      </c>
      <c r="B1326" s="4">
        <v>43525</v>
      </c>
      <c r="C1326" s="5">
        <v>8</v>
      </c>
      <c r="D1326" s="5" t="s">
        <v>26</v>
      </c>
      <c r="E1326" s="5" t="s">
        <v>41</v>
      </c>
      <c r="F1326" s="5" t="s">
        <v>15</v>
      </c>
      <c r="G1326" s="5" t="s">
        <v>10</v>
      </c>
      <c r="H1326" s="5">
        <v>39900</v>
      </c>
      <c r="I1326" s="5">
        <v>3</v>
      </c>
      <c r="J1326" s="9">
        <v>119700</v>
      </c>
    </row>
    <row r="1327" spans="1:10" x14ac:dyDescent="0.3">
      <c r="A1327" s="3" t="s">
        <v>1392</v>
      </c>
      <c r="B1327" s="4">
        <v>43525</v>
      </c>
      <c r="C1327" s="5">
        <v>8</v>
      </c>
      <c r="D1327" s="5" t="s">
        <v>26</v>
      </c>
      <c r="E1327" s="5" t="s">
        <v>44</v>
      </c>
      <c r="F1327" s="5" t="s">
        <v>15</v>
      </c>
      <c r="G1327" s="5" t="s">
        <v>14</v>
      </c>
      <c r="H1327" s="5">
        <v>15900</v>
      </c>
      <c r="I1327" s="5">
        <v>5</v>
      </c>
      <c r="J1327" s="9">
        <v>79500</v>
      </c>
    </row>
    <row r="1328" spans="1:10" x14ac:dyDescent="0.3">
      <c r="A1328" s="3" t="s">
        <v>1393</v>
      </c>
      <c r="B1328" s="4">
        <v>43525</v>
      </c>
      <c r="C1328" s="5">
        <v>3</v>
      </c>
      <c r="D1328" s="5" t="s">
        <v>21</v>
      </c>
      <c r="E1328" s="5" t="s">
        <v>40</v>
      </c>
      <c r="F1328" s="5" t="s">
        <v>18</v>
      </c>
      <c r="G1328" s="5" t="s">
        <v>11</v>
      </c>
      <c r="H1328" s="5">
        <v>19900</v>
      </c>
      <c r="I1328" s="5">
        <v>6</v>
      </c>
      <c r="J1328" s="9">
        <v>119400</v>
      </c>
    </row>
    <row r="1329" spans="1:10" x14ac:dyDescent="0.3">
      <c r="A1329" s="3" t="s">
        <v>1394</v>
      </c>
      <c r="B1329" s="4">
        <v>43526</v>
      </c>
      <c r="C1329" s="5">
        <v>1</v>
      </c>
      <c r="D1329" s="5" t="s">
        <v>19</v>
      </c>
      <c r="E1329" s="5" t="s">
        <v>46</v>
      </c>
      <c r="F1329" s="5" t="s">
        <v>18</v>
      </c>
      <c r="G1329" s="5" t="s">
        <v>14</v>
      </c>
      <c r="H1329" s="5">
        <v>15900</v>
      </c>
      <c r="I1329" s="5">
        <v>6</v>
      </c>
      <c r="J1329" s="9">
        <v>95400</v>
      </c>
    </row>
    <row r="1330" spans="1:10" x14ac:dyDescent="0.3">
      <c r="A1330" s="3" t="s">
        <v>1395</v>
      </c>
      <c r="B1330" s="4">
        <v>43526</v>
      </c>
      <c r="C1330" s="5">
        <v>19</v>
      </c>
      <c r="D1330" s="5" t="s">
        <v>37</v>
      </c>
      <c r="E1330" s="5" t="s">
        <v>43</v>
      </c>
      <c r="F1330" s="5" t="s">
        <v>17</v>
      </c>
      <c r="G1330" s="5" t="s">
        <v>13</v>
      </c>
      <c r="H1330" s="5">
        <v>28900</v>
      </c>
      <c r="I1330" s="5">
        <v>7</v>
      </c>
      <c r="J1330" s="9">
        <v>202300</v>
      </c>
    </row>
    <row r="1331" spans="1:10" x14ac:dyDescent="0.3">
      <c r="A1331" s="3" t="s">
        <v>1396</v>
      </c>
      <c r="B1331" s="4">
        <v>43526</v>
      </c>
      <c r="C1331" s="5">
        <v>7</v>
      </c>
      <c r="D1331" s="5" t="s">
        <v>25</v>
      </c>
      <c r="E1331" s="5" t="s">
        <v>41</v>
      </c>
      <c r="F1331" s="5" t="s">
        <v>15</v>
      </c>
      <c r="G1331" s="5" t="s">
        <v>10</v>
      </c>
      <c r="H1331" s="5">
        <v>39900</v>
      </c>
      <c r="I1331" s="5">
        <v>7</v>
      </c>
      <c r="J1331" s="9">
        <v>279300</v>
      </c>
    </row>
    <row r="1332" spans="1:10" x14ac:dyDescent="0.3">
      <c r="A1332" s="3" t="s">
        <v>1397</v>
      </c>
      <c r="B1332" s="4">
        <v>43527</v>
      </c>
      <c r="C1332" s="5">
        <v>5</v>
      </c>
      <c r="D1332" s="5" t="s">
        <v>23</v>
      </c>
      <c r="E1332" s="5" t="s">
        <v>46</v>
      </c>
      <c r="F1332" s="5" t="s">
        <v>18</v>
      </c>
      <c r="G1332" s="5" t="s">
        <v>13</v>
      </c>
      <c r="H1332" s="5">
        <v>28900</v>
      </c>
      <c r="I1332" s="5">
        <v>5</v>
      </c>
      <c r="J1332" s="9">
        <v>144500</v>
      </c>
    </row>
    <row r="1333" spans="1:10" x14ac:dyDescent="0.3">
      <c r="A1333" s="3" t="s">
        <v>1398</v>
      </c>
      <c r="B1333" s="4">
        <v>43528</v>
      </c>
      <c r="C1333" s="5">
        <v>2</v>
      </c>
      <c r="D1333" s="5" t="s">
        <v>20</v>
      </c>
      <c r="E1333" s="5" t="s">
        <v>40</v>
      </c>
      <c r="F1333" s="5" t="s">
        <v>18</v>
      </c>
      <c r="G1333" s="5" t="s">
        <v>13</v>
      </c>
      <c r="H1333" s="5">
        <v>28900</v>
      </c>
      <c r="I1333" s="5">
        <v>0</v>
      </c>
      <c r="J1333" s="9">
        <v>0</v>
      </c>
    </row>
    <row r="1334" spans="1:10" x14ac:dyDescent="0.3">
      <c r="A1334" s="3" t="s">
        <v>1399</v>
      </c>
      <c r="B1334" s="4">
        <v>43529</v>
      </c>
      <c r="C1334" s="5">
        <v>16</v>
      </c>
      <c r="D1334" s="5" t="s">
        <v>34</v>
      </c>
      <c r="E1334" s="5" t="s">
        <v>43</v>
      </c>
      <c r="F1334" s="5" t="s">
        <v>17</v>
      </c>
      <c r="G1334" s="5" t="s">
        <v>11</v>
      </c>
      <c r="H1334" s="5">
        <v>19900</v>
      </c>
      <c r="I1334" s="5">
        <v>5</v>
      </c>
      <c r="J1334" s="9">
        <v>99500</v>
      </c>
    </row>
    <row r="1335" spans="1:10" x14ac:dyDescent="0.3">
      <c r="A1335" s="3" t="s">
        <v>1400</v>
      </c>
      <c r="B1335" s="4">
        <v>43529</v>
      </c>
      <c r="C1335" s="5">
        <v>12</v>
      </c>
      <c r="D1335" s="5" t="s">
        <v>30</v>
      </c>
      <c r="E1335" s="5" t="s">
        <v>39</v>
      </c>
      <c r="F1335" s="5" t="s">
        <v>16</v>
      </c>
      <c r="G1335" s="5" t="s">
        <v>10</v>
      </c>
      <c r="H1335" s="5">
        <v>39900</v>
      </c>
      <c r="I1335" s="5">
        <v>1</v>
      </c>
      <c r="J1335" s="9">
        <v>39900</v>
      </c>
    </row>
    <row r="1336" spans="1:10" x14ac:dyDescent="0.3">
      <c r="A1336" s="3" t="s">
        <v>1401</v>
      </c>
      <c r="B1336" s="4">
        <v>43530</v>
      </c>
      <c r="C1336" s="5">
        <v>18</v>
      </c>
      <c r="D1336" s="5" t="s">
        <v>36</v>
      </c>
      <c r="E1336" s="5" t="s">
        <v>42</v>
      </c>
      <c r="F1336" s="5" t="s">
        <v>17</v>
      </c>
      <c r="G1336" s="5" t="s">
        <v>12</v>
      </c>
      <c r="H1336" s="5">
        <v>6900</v>
      </c>
      <c r="I1336" s="5">
        <v>2</v>
      </c>
      <c r="J1336" s="9">
        <v>13800</v>
      </c>
    </row>
    <row r="1337" spans="1:10" x14ac:dyDescent="0.3">
      <c r="A1337" s="3" t="s">
        <v>1402</v>
      </c>
      <c r="B1337" s="4">
        <v>43530</v>
      </c>
      <c r="C1337" s="5">
        <v>8</v>
      </c>
      <c r="D1337" s="5" t="s">
        <v>26</v>
      </c>
      <c r="E1337" s="5" t="s">
        <v>44</v>
      </c>
      <c r="F1337" s="5" t="s">
        <v>15</v>
      </c>
      <c r="G1337" s="5" t="s">
        <v>14</v>
      </c>
      <c r="H1337" s="5">
        <v>15900</v>
      </c>
      <c r="I1337" s="5">
        <v>8</v>
      </c>
      <c r="J1337" s="9">
        <v>127200</v>
      </c>
    </row>
    <row r="1338" spans="1:10" x14ac:dyDescent="0.3">
      <c r="A1338" s="3" t="s">
        <v>1403</v>
      </c>
      <c r="B1338" s="4">
        <v>43530</v>
      </c>
      <c r="C1338" s="5">
        <v>19</v>
      </c>
      <c r="D1338" s="5" t="s">
        <v>37</v>
      </c>
      <c r="E1338" s="5" t="s">
        <v>42</v>
      </c>
      <c r="F1338" s="5" t="s">
        <v>17</v>
      </c>
      <c r="G1338" s="5" t="s">
        <v>14</v>
      </c>
      <c r="H1338" s="5">
        <v>15900</v>
      </c>
      <c r="I1338" s="5">
        <v>5</v>
      </c>
      <c r="J1338" s="9">
        <v>79500</v>
      </c>
    </row>
    <row r="1339" spans="1:10" x14ac:dyDescent="0.3">
      <c r="A1339" s="3" t="s">
        <v>1404</v>
      </c>
      <c r="B1339" s="4">
        <v>43531</v>
      </c>
      <c r="C1339" s="5">
        <v>9</v>
      </c>
      <c r="D1339" s="5" t="s">
        <v>27</v>
      </c>
      <c r="E1339" s="5" t="s">
        <v>44</v>
      </c>
      <c r="F1339" s="5" t="s">
        <v>15</v>
      </c>
      <c r="G1339" s="5" t="s">
        <v>10</v>
      </c>
      <c r="H1339" s="5">
        <v>39900</v>
      </c>
      <c r="I1339" s="5">
        <v>0</v>
      </c>
      <c r="J1339" s="9">
        <v>0</v>
      </c>
    </row>
    <row r="1340" spans="1:10" x14ac:dyDescent="0.3">
      <c r="A1340" s="3" t="s">
        <v>1405</v>
      </c>
      <c r="B1340" s="4">
        <v>43531</v>
      </c>
      <c r="C1340" s="5">
        <v>19</v>
      </c>
      <c r="D1340" s="5" t="s">
        <v>37</v>
      </c>
      <c r="E1340" s="5" t="s">
        <v>42</v>
      </c>
      <c r="F1340" s="5" t="s">
        <v>17</v>
      </c>
      <c r="G1340" s="5" t="s">
        <v>12</v>
      </c>
      <c r="H1340" s="5">
        <v>6900</v>
      </c>
      <c r="I1340" s="5">
        <v>7</v>
      </c>
      <c r="J1340" s="9">
        <v>48300</v>
      </c>
    </row>
    <row r="1341" spans="1:10" x14ac:dyDescent="0.3">
      <c r="A1341" s="3" t="s">
        <v>1406</v>
      </c>
      <c r="B1341" s="4">
        <v>43531</v>
      </c>
      <c r="C1341" s="5">
        <v>2</v>
      </c>
      <c r="D1341" s="5" t="s">
        <v>20</v>
      </c>
      <c r="E1341" s="5" t="s">
        <v>40</v>
      </c>
      <c r="F1341" s="5" t="s">
        <v>18</v>
      </c>
      <c r="G1341" s="5" t="s">
        <v>11</v>
      </c>
      <c r="H1341" s="5">
        <v>19900</v>
      </c>
      <c r="I1341" s="5">
        <v>7</v>
      </c>
      <c r="J1341" s="9">
        <v>139300</v>
      </c>
    </row>
    <row r="1342" spans="1:10" x14ac:dyDescent="0.3">
      <c r="A1342" s="3" t="s">
        <v>1407</v>
      </c>
      <c r="B1342" s="4">
        <v>43531</v>
      </c>
      <c r="C1342" s="5">
        <v>12</v>
      </c>
      <c r="D1342" s="5" t="s">
        <v>30</v>
      </c>
      <c r="E1342" s="5" t="s">
        <v>39</v>
      </c>
      <c r="F1342" s="5" t="s">
        <v>16</v>
      </c>
      <c r="G1342" s="5" t="s">
        <v>14</v>
      </c>
      <c r="H1342" s="5">
        <v>15900</v>
      </c>
      <c r="I1342" s="5">
        <v>0</v>
      </c>
      <c r="J1342" s="9">
        <v>0</v>
      </c>
    </row>
    <row r="1343" spans="1:10" x14ac:dyDescent="0.3">
      <c r="A1343" s="3" t="s">
        <v>1408</v>
      </c>
      <c r="B1343" s="4">
        <v>43531</v>
      </c>
      <c r="C1343" s="5">
        <v>17</v>
      </c>
      <c r="D1343" s="5" t="s">
        <v>35</v>
      </c>
      <c r="E1343" s="5" t="s">
        <v>43</v>
      </c>
      <c r="F1343" s="5" t="s">
        <v>17</v>
      </c>
      <c r="G1343" s="5" t="s">
        <v>12</v>
      </c>
      <c r="H1343" s="5">
        <v>6900</v>
      </c>
      <c r="I1343" s="5">
        <v>0</v>
      </c>
      <c r="J1343" s="9">
        <v>0</v>
      </c>
    </row>
    <row r="1344" spans="1:10" x14ac:dyDescent="0.3">
      <c r="A1344" s="3" t="s">
        <v>1409</v>
      </c>
      <c r="B1344" s="4">
        <v>43531</v>
      </c>
      <c r="C1344" s="5">
        <v>4</v>
      </c>
      <c r="D1344" s="5" t="s">
        <v>22</v>
      </c>
      <c r="E1344" s="5" t="s">
        <v>46</v>
      </c>
      <c r="F1344" s="5" t="s">
        <v>18</v>
      </c>
      <c r="G1344" s="5" t="s">
        <v>11</v>
      </c>
      <c r="H1344" s="5">
        <v>19900</v>
      </c>
      <c r="I1344" s="5">
        <v>1</v>
      </c>
      <c r="J1344" s="9">
        <v>19900</v>
      </c>
    </row>
    <row r="1345" spans="1:10" x14ac:dyDescent="0.3">
      <c r="A1345" s="3" t="s">
        <v>1410</v>
      </c>
      <c r="B1345" s="4">
        <v>43531</v>
      </c>
      <c r="C1345" s="5">
        <v>6</v>
      </c>
      <c r="D1345" s="5" t="s">
        <v>24</v>
      </c>
      <c r="E1345" s="5" t="s">
        <v>41</v>
      </c>
      <c r="F1345" s="5" t="s">
        <v>15</v>
      </c>
      <c r="G1345" s="5" t="s">
        <v>11</v>
      </c>
      <c r="H1345" s="5">
        <v>19900</v>
      </c>
      <c r="I1345" s="5">
        <v>0</v>
      </c>
      <c r="J1345" s="9">
        <v>0</v>
      </c>
    </row>
    <row r="1346" spans="1:10" x14ac:dyDescent="0.3">
      <c r="A1346" s="3" t="s">
        <v>1411</v>
      </c>
      <c r="B1346" s="4">
        <v>43531</v>
      </c>
      <c r="C1346" s="5">
        <v>8</v>
      </c>
      <c r="D1346" s="5" t="s">
        <v>26</v>
      </c>
      <c r="E1346" s="5" t="s">
        <v>44</v>
      </c>
      <c r="F1346" s="5" t="s">
        <v>15</v>
      </c>
      <c r="G1346" s="5" t="s">
        <v>14</v>
      </c>
      <c r="H1346" s="5">
        <v>15900</v>
      </c>
      <c r="I1346" s="5">
        <v>2</v>
      </c>
      <c r="J1346" s="9">
        <v>31800</v>
      </c>
    </row>
    <row r="1347" spans="1:10" x14ac:dyDescent="0.3">
      <c r="A1347" s="3" t="s">
        <v>1412</v>
      </c>
      <c r="B1347" s="4">
        <v>43532</v>
      </c>
      <c r="C1347" s="5">
        <v>11</v>
      </c>
      <c r="D1347" s="5" t="s">
        <v>29</v>
      </c>
      <c r="E1347" s="5" t="s">
        <v>39</v>
      </c>
      <c r="F1347" s="5" t="s">
        <v>16</v>
      </c>
      <c r="G1347" s="5" t="s">
        <v>12</v>
      </c>
      <c r="H1347" s="5">
        <v>6900</v>
      </c>
      <c r="I1347" s="5">
        <v>7</v>
      </c>
      <c r="J1347" s="9">
        <v>48300</v>
      </c>
    </row>
    <row r="1348" spans="1:10" x14ac:dyDescent="0.3">
      <c r="A1348" s="3" t="s">
        <v>1413</v>
      </c>
      <c r="B1348" s="4">
        <v>43533</v>
      </c>
      <c r="C1348" s="5">
        <v>14</v>
      </c>
      <c r="D1348" s="5" t="s">
        <v>32</v>
      </c>
      <c r="E1348" s="5" t="s">
        <v>39</v>
      </c>
      <c r="F1348" s="5" t="s">
        <v>16</v>
      </c>
      <c r="G1348" s="5" t="s">
        <v>14</v>
      </c>
      <c r="H1348" s="5">
        <v>15900</v>
      </c>
      <c r="I1348" s="5">
        <v>1</v>
      </c>
      <c r="J1348" s="9">
        <v>15900</v>
      </c>
    </row>
    <row r="1349" spans="1:10" x14ac:dyDescent="0.3">
      <c r="A1349" s="3" t="s">
        <v>1414</v>
      </c>
      <c r="B1349" s="4">
        <v>43533</v>
      </c>
      <c r="C1349" s="5">
        <v>4</v>
      </c>
      <c r="D1349" s="5" t="s">
        <v>22</v>
      </c>
      <c r="E1349" s="5" t="s">
        <v>46</v>
      </c>
      <c r="F1349" s="5" t="s">
        <v>18</v>
      </c>
      <c r="G1349" s="5" t="s">
        <v>11</v>
      </c>
      <c r="H1349" s="5">
        <v>19900</v>
      </c>
      <c r="I1349" s="5">
        <v>6</v>
      </c>
      <c r="J1349" s="9">
        <v>119400</v>
      </c>
    </row>
    <row r="1350" spans="1:10" x14ac:dyDescent="0.3">
      <c r="A1350" s="3" t="s">
        <v>1415</v>
      </c>
      <c r="B1350" s="4">
        <v>43533</v>
      </c>
      <c r="C1350" s="5">
        <v>19</v>
      </c>
      <c r="D1350" s="5" t="s">
        <v>37</v>
      </c>
      <c r="E1350" s="5" t="s">
        <v>43</v>
      </c>
      <c r="F1350" s="5" t="s">
        <v>17</v>
      </c>
      <c r="G1350" s="5" t="s">
        <v>11</v>
      </c>
      <c r="H1350" s="5">
        <v>19900</v>
      </c>
      <c r="I1350" s="5">
        <v>4</v>
      </c>
      <c r="J1350" s="9">
        <v>79600</v>
      </c>
    </row>
    <row r="1351" spans="1:10" x14ac:dyDescent="0.3">
      <c r="A1351" s="3" t="s">
        <v>1416</v>
      </c>
      <c r="B1351" s="4">
        <v>43533</v>
      </c>
      <c r="C1351" s="5">
        <v>8</v>
      </c>
      <c r="D1351" s="5" t="s">
        <v>26</v>
      </c>
      <c r="E1351" s="5" t="s">
        <v>41</v>
      </c>
      <c r="F1351" s="5" t="s">
        <v>15</v>
      </c>
      <c r="G1351" s="5" t="s">
        <v>11</v>
      </c>
      <c r="H1351" s="5">
        <v>19900</v>
      </c>
      <c r="I1351" s="5">
        <v>7</v>
      </c>
      <c r="J1351" s="9">
        <v>139300</v>
      </c>
    </row>
    <row r="1352" spans="1:10" x14ac:dyDescent="0.3">
      <c r="A1352" s="3" t="s">
        <v>1417</v>
      </c>
      <c r="B1352" s="4">
        <v>43534</v>
      </c>
      <c r="C1352" s="5">
        <v>8</v>
      </c>
      <c r="D1352" s="5" t="s">
        <v>26</v>
      </c>
      <c r="E1352" s="5" t="s">
        <v>44</v>
      </c>
      <c r="F1352" s="5" t="s">
        <v>15</v>
      </c>
      <c r="G1352" s="5" t="s">
        <v>13</v>
      </c>
      <c r="H1352" s="5">
        <v>28900</v>
      </c>
      <c r="I1352" s="5">
        <v>9</v>
      </c>
      <c r="J1352" s="9">
        <v>260100</v>
      </c>
    </row>
    <row r="1353" spans="1:10" x14ac:dyDescent="0.3">
      <c r="A1353" s="3" t="s">
        <v>1418</v>
      </c>
      <c r="B1353" s="4">
        <v>43534</v>
      </c>
      <c r="C1353" s="5">
        <v>15</v>
      </c>
      <c r="D1353" s="5" t="s">
        <v>33</v>
      </c>
      <c r="E1353" s="5" t="s">
        <v>45</v>
      </c>
      <c r="F1353" s="5" t="s">
        <v>16</v>
      </c>
      <c r="G1353" s="5" t="s">
        <v>11</v>
      </c>
      <c r="H1353" s="5">
        <v>19900</v>
      </c>
      <c r="I1353" s="5">
        <v>2</v>
      </c>
      <c r="J1353" s="9">
        <v>39800</v>
      </c>
    </row>
    <row r="1354" spans="1:10" x14ac:dyDescent="0.3">
      <c r="A1354" s="3" t="s">
        <v>1419</v>
      </c>
      <c r="B1354" s="4">
        <v>43534</v>
      </c>
      <c r="C1354" s="5">
        <v>6</v>
      </c>
      <c r="D1354" s="5" t="s">
        <v>24</v>
      </c>
      <c r="E1354" s="5" t="s">
        <v>44</v>
      </c>
      <c r="F1354" s="5" t="s">
        <v>15</v>
      </c>
      <c r="G1354" s="5" t="s">
        <v>12</v>
      </c>
      <c r="H1354" s="5">
        <v>6900</v>
      </c>
      <c r="I1354" s="5">
        <v>5</v>
      </c>
      <c r="J1354" s="9">
        <v>34500</v>
      </c>
    </row>
    <row r="1355" spans="1:10" x14ac:dyDescent="0.3">
      <c r="A1355" s="3" t="s">
        <v>1420</v>
      </c>
      <c r="B1355" s="4">
        <v>43534</v>
      </c>
      <c r="C1355" s="5">
        <v>19</v>
      </c>
      <c r="D1355" s="5" t="s">
        <v>37</v>
      </c>
      <c r="E1355" s="5" t="s">
        <v>42</v>
      </c>
      <c r="F1355" s="5" t="s">
        <v>17</v>
      </c>
      <c r="G1355" s="5" t="s">
        <v>10</v>
      </c>
      <c r="H1355" s="5">
        <v>39900</v>
      </c>
      <c r="I1355" s="5">
        <v>3</v>
      </c>
      <c r="J1355" s="9">
        <v>119700</v>
      </c>
    </row>
    <row r="1356" spans="1:10" x14ac:dyDescent="0.3">
      <c r="A1356" s="3" t="s">
        <v>1421</v>
      </c>
      <c r="B1356" s="4">
        <v>43535</v>
      </c>
      <c r="C1356" s="5">
        <v>16</v>
      </c>
      <c r="D1356" s="5" t="s">
        <v>34</v>
      </c>
      <c r="E1356" s="5" t="s">
        <v>42</v>
      </c>
      <c r="F1356" s="5" t="s">
        <v>17</v>
      </c>
      <c r="G1356" s="5" t="s">
        <v>13</v>
      </c>
      <c r="H1356" s="5">
        <v>28900</v>
      </c>
      <c r="I1356" s="5">
        <v>6</v>
      </c>
      <c r="J1356" s="9">
        <v>173400</v>
      </c>
    </row>
    <row r="1357" spans="1:10" x14ac:dyDescent="0.3">
      <c r="A1357" s="3" t="s">
        <v>1422</v>
      </c>
      <c r="B1357" s="4">
        <v>43535</v>
      </c>
      <c r="C1357" s="5">
        <v>7</v>
      </c>
      <c r="D1357" s="5" t="s">
        <v>25</v>
      </c>
      <c r="E1357" s="5" t="s">
        <v>41</v>
      </c>
      <c r="F1357" s="5" t="s">
        <v>15</v>
      </c>
      <c r="G1357" s="5" t="s">
        <v>12</v>
      </c>
      <c r="H1357" s="5">
        <v>6900</v>
      </c>
      <c r="I1357" s="5">
        <v>1</v>
      </c>
      <c r="J1357" s="9">
        <v>6900</v>
      </c>
    </row>
    <row r="1358" spans="1:10" x14ac:dyDescent="0.3">
      <c r="A1358" s="3" t="s">
        <v>1423</v>
      </c>
      <c r="B1358" s="4">
        <v>43535</v>
      </c>
      <c r="C1358" s="5">
        <v>4</v>
      </c>
      <c r="D1358" s="5" t="s">
        <v>22</v>
      </c>
      <c r="E1358" s="5" t="s">
        <v>40</v>
      </c>
      <c r="F1358" s="5" t="s">
        <v>18</v>
      </c>
      <c r="G1358" s="5" t="s">
        <v>13</v>
      </c>
      <c r="H1358" s="5">
        <v>28900</v>
      </c>
      <c r="I1358" s="5">
        <v>6</v>
      </c>
      <c r="J1358" s="9">
        <v>173400</v>
      </c>
    </row>
    <row r="1359" spans="1:10" x14ac:dyDescent="0.3">
      <c r="A1359" s="3" t="s">
        <v>1424</v>
      </c>
      <c r="B1359" s="4">
        <v>43535</v>
      </c>
      <c r="C1359" s="5">
        <v>13</v>
      </c>
      <c r="D1359" s="5" t="s">
        <v>31</v>
      </c>
      <c r="E1359" s="5" t="s">
        <v>45</v>
      </c>
      <c r="F1359" s="5" t="s">
        <v>16</v>
      </c>
      <c r="G1359" s="5" t="s">
        <v>12</v>
      </c>
      <c r="H1359" s="5">
        <v>6900</v>
      </c>
      <c r="I1359" s="5">
        <v>2</v>
      </c>
      <c r="J1359" s="9">
        <v>13800</v>
      </c>
    </row>
    <row r="1360" spans="1:10" x14ac:dyDescent="0.3">
      <c r="A1360" s="3" t="s">
        <v>1425</v>
      </c>
      <c r="B1360" s="4">
        <v>43535</v>
      </c>
      <c r="C1360" s="5">
        <v>4</v>
      </c>
      <c r="D1360" s="5" t="s">
        <v>22</v>
      </c>
      <c r="E1360" s="5" t="s">
        <v>40</v>
      </c>
      <c r="F1360" s="5" t="s">
        <v>18</v>
      </c>
      <c r="G1360" s="5" t="s">
        <v>13</v>
      </c>
      <c r="H1360" s="5">
        <v>28900</v>
      </c>
      <c r="I1360" s="5">
        <v>2</v>
      </c>
      <c r="J1360" s="9">
        <v>57800</v>
      </c>
    </row>
    <row r="1361" spans="1:10" x14ac:dyDescent="0.3">
      <c r="A1361" s="3" t="s">
        <v>1426</v>
      </c>
      <c r="B1361" s="4">
        <v>43535</v>
      </c>
      <c r="C1361" s="5">
        <v>17</v>
      </c>
      <c r="D1361" s="5" t="s">
        <v>35</v>
      </c>
      <c r="E1361" s="5" t="s">
        <v>42</v>
      </c>
      <c r="F1361" s="5" t="s">
        <v>17</v>
      </c>
      <c r="G1361" s="5" t="s">
        <v>10</v>
      </c>
      <c r="H1361" s="5">
        <v>39900</v>
      </c>
      <c r="I1361" s="5">
        <v>6</v>
      </c>
      <c r="J1361" s="9">
        <v>239400</v>
      </c>
    </row>
    <row r="1362" spans="1:10" x14ac:dyDescent="0.3">
      <c r="A1362" s="3" t="s">
        <v>1427</v>
      </c>
      <c r="B1362" s="4">
        <v>43535</v>
      </c>
      <c r="C1362" s="5">
        <v>3</v>
      </c>
      <c r="D1362" s="5" t="s">
        <v>21</v>
      </c>
      <c r="E1362" s="5" t="s">
        <v>40</v>
      </c>
      <c r="F1362" s="5" t="s">
        <v>18</v>
      </c>
      <c r="G1362" s="5" t="s">
        <v>13</v>
      </c>
      <c r="H1362" s="5">
        <v>28900</v>
      </c>
      <c r="I1362" s="5">
        <v>5</v>
      </c>
      <c r="J1362" s="9">
        <v>144500</v>
      </c>
    </row>
    <row r="1363" spans="1:10" x14ac:dyDescent="0.3">
      <c r="A1363" s="3" t="s">
        <v>1428</v>
      </c>
      <c r="B1363" s="4">
        <v>43535</v>
      </c>
      <c r="C1363" s="5">
        <v>9</v>
      </c>
      <c r="D1363" s="5" t="s">
        <v>27</v>
      </c>
      <c r="E1363" s="5" t="s">
        <v>41</v>
      </c>
      <c r="F1363" s="5" t="s">
        <v>15</v>
      </c>
      <c r="G1363" s="5" t="s">
        <v>10</v>
      </c>
      <c r="H1363" s="5">
        <v>39900</v>
      </c>
      <c r="I1363" s="5">
        <v>5</v>
      </c>
      <c r="J1363" s="9">
        <v>199500</v>
      </c>
    </row>
    <row r="1364" spans="1:10" x14ac:dyDescent="0.3">
      <c r="A1364" s="3" t="s">
        <v>1429</v>
      </c>
      <c r="B1364" s="4">
        <v>43535</v>
      </c>
      <c r="C1364" s="5">
        <v>2</v>
      </c>
      <c r="D1364" s="5" t="s">
        <v>20</v>
      </c>
      <c r="E1364" s="5" t="s">
        <v>40</v>
      </c>
      <c r="F1364" s="5" t="s">
        <v>18</v>
      </c>
      <c r="G1364" s="5" t="s">
        <v>12</v>
      </c>
      <c r="H1364" s="5">
        <v>6900</v>
      </c>
      <c r="I1364" s="5">
        <v>4</v>
      </c>
      <c r="J1364" s="9">
        <v>27600</v>
      </c>
    </row>
    <row r="1365" spans="1:10" x14ac:dyDescent="0.3">
      <c r="A1365" s="3" t="s">
        <v>1430</v>
      </c>
      <c r="B1365" s="4">
        <v>43535</v>
      </c>
      <c r="C1365" s="5">
        <v>15</v>
      </c>
      <c r="D1365" s="5" t="s">
        <v>33</v>
      </c>
      <c r="E1365" s="5" t="s">
        <v>39</v>
      </c>
      <c r="F1365" s="5" t="s">
        <v>16</v>
      </c>
      <c r="G1365" s="5" t="s">
        <v>14</v>
      </c>
      <c r="H1365" s="5">
        <v>15900</v>
      </c>
      <c r="I1365" s="5">
        <v>9</v>
      </c>
      <c r="J1365" s="9">
        <v>143100</v>
      </c>
    </row>
    <row r="1366" spans="1:10" x14ac:dyDescent="0.3">
      <c r="A1366" s="3" t="s">
        <v>1431</v>
      </c>
      <c r="B1366" s="4">
        <v>43535</v>
      </c>
      <c r="C1366" s="5">
        <v>14</v>
      </c>
      <c r="D1366" s="5" t="s">
        <v>32</v>
      </c>
      <c r="E1366" s="5" t="s">
        <v>39</v>
      </c>
      <c r="F1366" s="5" t="s">
        <v>16</v>
      </c>
      <c r="G1366" s="5" t="s">
        <v>11</v>
      </c>
      <c r="H1366" s="5">
        <v>19900</v>
      </c>
      <c r="I1366" s="5">
        <v>1</v>
      </c>
      <c r="J1366" s="9">
        <v>19900</v>
      </c>
    </row>
    <row r="1367" spans="1:10" x14ac:dyDescent="0.3">
      <c r="A1367" s="3" t="s">
        <v>1432</v>
      </c>
      <c r="B1367" s="4">
        <v>43535</v>
      </c>
      <c r="C1367" s="5">
        <v>18</v>
      </c>
      <c r="D1367" s="5" t="s">
        <v>36</v>
      </c>
      <c r="E1367" s="5" t="s">
        <v>43</v>
      </c>
      <c r="F1367" s="5" t="s">
        <v>17</v>
      </c>
      <c r="G1367" s="5" t="s">
        <v>14</v>
      </c>
      <c r="H1367" s="5">
        <v>15900</v>
      </c>
      <c r="I1367" s="5">
        <v>1</v>
      </c>
      <c r="J1367" s="9">
        <v>15900</v>
      </c>
    </row>
    <row r="1368" spans="1:10" x14ac:dyDescent="0.3">
      <c r="A1368" s="3" t="s">
        <v>1433</v>
      </c>
      <c r="B1368" s="4">
        <v>43535</v>
      </c>
      <c r="C1368" s="5">
        <v>8</v>
      </c>
      <c r="D1368" s="5" t="s">
        <v>26</v>
      </c>
      <c r="E1368" s="5" t="s">
        <v>41</v>
      </c>
      <c r="F1368" s="5" t="s">
        <v>15</v>
      </c>
      <c r="G1368" s="5" t="s">
        <v>11</v>
      </c>
      <c r="H1368" s="5">
        <v>19900</v>
      </c>
      <c r="I1368" s="5">
        <v>5</v>
      </c>
      <c r="J1368" s="9">
        <v>99500</v>
      </c>
    </row>
    <row r="1369" spans="1:10" x14ac:dyDescent="0.3">
      <c r="A1369" s="3" t="s">
        <v>1434</v>
      </c>
      <c r="B1369" s="4">
        <v>43536</v>
      </c>
      <c r="C1369" s="5">
        <v>19</v>
      </c>
      <c r="D1369" s="5" t="s">
        <v>37</v>
      </c>
      <c r="E1369" s="5" t="s">
        <v>43</v>
      </c>
      <c r="F1369" s="5" t="s">
        <v>17</v>
      </c>
      <c r="G1369" s="5" t="s">
        <v>10</v>
      </c>
      <c r="H1369" s="5">
        <v>39900</v>
      </c>
      <c r="I1369" s="5">
        <v>9</v>
      </c>
      <c r="J1369" s="9">
        <v>359100</v>
      </c>
    </row>
    <row r="1370" spans="1:10" x14ac:dyDescent="0.3">
      <c r="A1370" s="3" t="s">
        <v>1435</v>
      </c>
      <c r="B1370" s="4">
        <v>43537</v>
      </c>
      <c r="C1370" s="5">
        <v>11</v>
      </c>
      <c r="D1370" s="5" t="s">
        <v>29</v>
      </c>
      <c r="E1370" s="5" t="s">
        <v>39</v>
      </c>
      <c r="F1370" s="5" t="s">
        <v>16</v>
      </c>
      <c r="G1370" s="5" t="s">
        <v>11</v>
      </c>
      <c r="H1370" s="5">
        <v>19900</v>
      </c>
      <c r="I1370" s="5">
        <v>0</v>
      </c>
      <c r="J1370" s="9">
        <v>0</v>
      </c>
    </row>
    <row r="1371" spans="1:10" x14ac:dyDescent="0.3">
      <c r="A1371" s="3" t="s">
        <v>1436</v>
      </c>
      <c r="B1371" s="4">
        <v>43537</v>
      </c>
      <c r="C1371" s="5">
        <v>19</v>
      </c>
      <c r="D1371" s="5" t="s">
        <v>37</v>
      </c>
      <c r="E1371" s="5" t="s">
        <v>42</v>
      </c>
      <c r="F1371" s="5" t="s">
        <v>17</v>
      </c>
      <c r="G1371" s="5" t="s">
        <v>10</v>
      </c>
      <c r="H1371" s="5">
        <v>39900</v>
      </c>
      <c r="I1371" s="5">
        <v>2</v>
      </c>
      <c r="J1371" s="9">
        <v>79800</v>
      </c>
    </row>
    <row r="1372" spans="1:10" x14ac:dyDescent="0.3">
      <c r="A1372" s="3" t="s">
        <v>1437</v>
      </c>
      <c r="B1372" s="4">
        <v>43537</v>
      </c>
      <c r="C1372" s="5">
        <v>15</v>
      </c>
      <c r="D1372" s="5" t="s">
        <v>33</v>
      </c>
      <c r="E1372" s="5" t="s">
        <v>39</v>
      </c>
      <c r="F1372" s="5" t="s">
        <v>16</v>
      </c>
      <c r="G1372" s="5" t="s">
        <v>10</v>
      </c>
      <c r="H1372" s="5">
        <v>39900</v>
      </c>
      <c r="I1372" s="5">
        <v>9</v>
      </c>
      <c r="J1372" s="9">
        <v>359100</v>
      </c>
    </row>
    <row r="1373" spans="1:10" x14ac:dyDescent="0.3">
      <c r="A1373" s="3" t="s">
        <v>1438</v>
      </c>
      <c r="B1373" s="4">
        <v>43538</v>
      </c>
      <c r="C1373" s="5">
        <v>4</v>
      </c>
      <c r="D1373" s="5" t="s">
        <v>22</v>
      </c>
      <c r="E1373" s="5" t="s">
        <v>40</v>
      </c>
      <c r="F1373" s="5" t="s">
        <v>18</v>
      </c>
      <c r="G1373" s="5" t="s">
        <v>14</v>
      </c>
      <c r="H1373" s="5">
        <v>15900</v>
      </c>
      <c r="I1373" s="5">
        <v>2</v>
      </c>
      <c r="J1373" s="9">
        <v>31800</v>
      </c>
    </row>
    <row r="1374" spans="1:10" x14ac:dyDescent="0.3">
      <c r="A1374" s="3" t="s">
        <v>1439</v>
      </c>
      <c r="B1374" s="4">
        <v>43539</v>
      </c>
      <c r="C1374" s="5">
        <v>1</v>
      </c>
      <c r="D1374" s="5" t="s">
        <v>19</v>
      </c>
      <c r="E1374" s="5" t="s">
        <v>46</v>
      </c>
      <c r="F1374" s="5" t="s">
        <v>18</v>
      </c>
      <c r="G1374" s="5" t="s">
        <v>11</v>
      </c>
      <c r="H1374" s="5">
        <v>19900</v>
      </c>
      <c r="I1374" s="5">
        <v>4</v>
      </c>
      <c r="J1374" s="9">
        <v>79600</v>
      </c>
    </row>
    <row r="1375" spans="1:10" x14ac:dyDescent="0.3">
      <c r="A1375" s="3" t="s">
        <v>1440</v>
      </c>
      <c r="B1375" s="4">
        <v>43540</v>
      </c>
      <c r="C1375" s="5">
        <v>13</v>
      </c>
      <c r="D1375" s="5" t="s">
        <v>31</v>
      </c>
      <c r="E1375" s="5" t="s">
        <v>45</v>
      </c>
      <c r="F1375" s="5" t="s">
        <v>16</v>
      </c>
      <c r="G1375" s="5" t="s">
        <v>12</v>
      </c>
      <c r="H1375" s="5">
        <v>6900</v>
      </c>
      <c r="I1375" s="5">
        <v>9</v>
      </c>
      <c r="J1375" s="9">
        <v>62100</v>
      </c>
    </row>
    <row r="1376" spans="1:10" x14ac:dyDescent="0.3">
      <c r="A1376" s="3" t="s">
        <v>1441</v>
      </c>
      <c r="B1376" s="4">
        <v>43541</v>
      </c>
      <c r="C1376" s="5">
        <v>4</v>
      </c>
      <c r="D1376" s="5" t="s">
        <v>22</v>
      </c>
      <c r="E1376" s="5" t="s">
        <v>46</v>
      </c>
      <c r="F1376" s="5" t="s">
        <v>18</v>
      </c>
      <c r="G1376" s="5" t="s">
        <v>14</v>
      </c>
      <c r="H1376" s="5">
        <v>15900</v>
      </c>
      <c r="I1376" s="5">
        <v>5</v>
      </c>
      <c r="J1376" s="9">
        <v>79500</v>
      </c>
    </row>
    <row r="1377" spans="1:10" x14ac:dyDescent="0.3">
      <c r="A1377" s="3" t="s">
        <v>1442</v>
      </c>
      <c r="B1377" s="4">
        <v>43541</v>
      </c>
      <c r="C1377" s="5">
        <v>7</v>
      </c>
      <c r="D1377" s="5" t="s">
        <v>25</v>
      </c>
      <c r="E1377" s="5" t="s">
        <v>44</v>
      </c>
      <c r="F1377" s="5" t="s">
        <v>15</v>
      </c>
      <c r="G1377" s="5" t="s">
        <v>10</v>
      </c>
      <c r="H1377" s="5">
        <v>39900</v>
      </c>
      <c r="I1377" s="5">
        <v>6</v>
      </c>
      <c r="J1377" s="9">
        <v>239400</v>
      </c>
    </row>
    <row r="1378" spans="1:10" x14ac:dyDescent="0.3">
      <c r="A1378" s="3" t="s">
        <v>1443</v>
      </c>
      <c r="B1378" s="4">
        <v>43541</v>
      </c>
      <c r="C1378" s="5">
        <v>14</v>
      </c>
      <c r="D1378" s="5" t="s">
        <v>32</v>
      </c>
      <c r="E1378" s="5" t="s">
        <v>39</v>
      </c>
      <c r="F1378" s="5" t="s">
        <v>16</v>
      </c>
      <c r="G1378" s="5" t="s">
        <v>14</v>
      </c>
      <c r="H1378" s="5">
        <v>15900</v>
      </c>
      <c r="I1378" s="5">
        <v>6</v>
      </c>
      <c r="J1378" s="9">
        <v>95400</v>
      </c>
    </row>
    <row r="1379" spans="1:10" x14ac:dyDescent="0.3">
      <c r="A1379" s="3" t="s">
        <v>1444</v>
      </c>
      <c r="B1379" s="4">
        <v>43541</v>
      </c>
      <c r="C1379" s="5">
        <v>14</v>
      </c>
      <c r="D1379" s="5" t="s">
        <v>32</v>
      </c>
      <c r="E1379" s="5" t="s">
        <v>39</v>
      </c>
      <c r="F1379" s="5" t="s">
        <v>16</v>
      </c>
      <c r="G1379" s="5" t="s">
        <v>10</v>
      </c>
      <c r="H1379" s="5">
        <v>39900</v>
      </c>
      <c r="I1379" s="5">
        <v>7</v>
      </c>
      <c r="J1379" s="9">
        <v>279300</v>
      </c>
    </row>
    <row r="1380" spans="1:10" x14ac:dyDescent="0.3">
      <c r="A1380" s="3" t="s">
        <v>1445</v>
      </c>
      <c r="B1380" s="4">
        <v>43541</v>
      </c>
      <c r="C1380" s="5">
        <v>14</v>
      </c>
      <c r="D1380" s="5" t="s">
        <v>32</v>
      </c>
      <c r="E1380" s="5" t="s">
        <v>39</v>
      </c>
      <c r="F1380" s="5" t="s">
        <v>16</v>
      </c>
      <c r="G1380" s="5" t="s">
        <v>13</v>
      </c>
      <c r="H1380" s="5">
        <v>28900</v>
      </c>
      <c r="I1380" s="5">
        <v>6</v>
      </c>
      <c r="J1380" s="9">
        <v>173400</v>
      </c>
    </row>
    <row r="1381" spans="1:10" x14ac:dyDescent="0.3">
      <c r="A1381" s="3" t="s">
        <v>1446</v>
      </c>
      <c r="B1381" s="4">
        <v>43541</v>
      </c>
      <c r="C1381" s="5">
        <v>11</v>
      </c>
      <c r="D1381" s="5" t="s">
        <v>29</v>
      </c>
      <c r="E1381" s="5" t="s">
        <v>45</v>
      </c>
      <c r="F1381" s="5" t="s">
        <v>16</v>
      </c>
      <c r="G1381" s="5" t="s">
        <v>14</v>
      </c>
      <c r="H1381" s="5">
        <v>15900</v>
      </c>
      <c r="I1381" s="5">
        <v>4</v>
      </c>
      <c r="J1381" s="9">
        <v>63600</v>
      </c>
    </row>
    <row r="1382" spans="1:10" x14ac:dyDescent="0.3">
      <c r="A1382" s="3" t="s">
        <v>1447</v>
      </c>
      <c r="B1382" s="4">
        <v>43542</v>
      </c>
      <c r="C1382" s="5">
        <v>11</v>
      </c>
      <c r="D1382" s="5" t="s">
        <v>29</v>
      </c>
      <c r="E1382" s="5" t="s">
        <v>45</v>
      </c>
      <c r="F1382" s="5" t="s">
        <v>16</v>
      </c>
      <c r="G1382" s="5" t="s">
        <v>14</v>
      </c>
      <c r="H1382" s="5">
        <v>15900</v>
      </c>
      <c r="I1382" s="5">
        <v>9</v>
      </c>
      <c r="J1382" s="9">
        <v>143100</v>
      </c>
    </row>
    <row r="1383" spans="1:10" x14ac:dyDescent="0.3">
      <c r="A1383" s="3" t="s">
        <v>1448</v>
      </c>
      <c r="B1383" s="4">
        <v>43543</v>
      </c>
      <c r="C1383" s="5">
        <v>5</v>
      </c>
      <c r="D1383" s="5" t="s">
        <v>23</v>
      </c>
      <c r="E1383" s="5" t="s">
        <v>46</v>
      </c>
      <c r="F1383" s="5" t="s">
        <v>18</v>
      </c>
      <c r="G1383" s="5" t="s">
        <v>12</v>
      </c>
      <c r="H1383" s="5">
        <v>6900</v>
      </c>
      <c r="I1383" s="5">
        <v>1</v>
      </c>
      <c r="J1383" s="9">
        <v>6900</v>
      </c>
    </row>
    <row r="1384" spans="1:10" x14ac:dyDescent="0.3">
      <c r="A1384" s="3" t="s">
        <v>1449</v>
      </c>
      <c r="B1384" s="4">
        <v>43543</v>
      </c>
      <c r="C1384" s="5">
        <v>14</v>
      </c>
      <c r="D1384" s="5" t="s">
        <v>32</v>
      </c>
      <c r="E1384" s="5" t="s">
        <v>45</v>
      </c>
      <c r="F1384" s="5" t="s">
        <v>16</v>
      </c>
      <c r="G1384" s="5" t="s">
        <v>10</v>
      </c>
      <c r="H1384" s="5">
        <v>39900</v>
      </c>
      <c r="I1384" s="5">
        <v>8</v>
      </c>
      <c r="J1384" s="9">
        <v>319200</v>
      </c>
    </row>
    <row r="1385" spans="1:10" x14ac:dyDescent="0.3">
      <c r="A1385" s="3" t="s">
        <v>1450</v>
      </c>
      <c r="B1385" s="4">
        <v>43543</v>
      </c>
      <c r="C1385" s="5">
        <v>15</v>
      </c>
      <c r="D1385" s="5" t="s">
        <v>33</v>
      </c>
      <c r="E1385" s="5" t="s">
        <v>39</v>
      </c>
      <c r="F1385" s="5" t="s">
        <v>16</v>
      </c>
      <c r="G1385" s="5" t="s">
        <v>11</v>
      </c>
      <c r="H1385" s="5">
        <v>19900</v>
      </c>
      <c r="I1385" s="5">
        <v>9</v>
      </c>
      <c r="J1385" s="9">
        <v>179100</v>
      </c>
    </row>
    <row r="1386" spans="1:10" x14ac:dyDescent="0.3">
      <c r="A1386" s="3" t="s">
        <v>1451</v>
      </c>
      <c r="B1386" s="4">
        <v>43543</v>
      </c>
      <c r="C1386" s="5">
        <v>17</v>
      </c>
      <c r="D1386" s="5" t="s">
        <v>35</v>
      </c>
      <c r="E1386" s="5" t="s">
        <v>42</v>
      </c>
      <c r="F1386" s="5" t="s">
        <v>17</v>
      </c>
      <c r="G1386" s="5" t="s">
        <v>10</v>
      </c>
      <c r="H1386" s="5">
        <v>39900</v>
      </c>
      <c r="I1386" s="5">
        <v>5</v>
      </c>
      <c r="J1386" s="9">
        <v>199500</v>
      </c>
    </row>
    <row r="1387" spans="1:10" x14ac:dyDescent="0.3">
      <c r="A1387" s="3" t="s">
        <v>1452</v>
      </c>
      <c r="B1387" s="4">
        <v>43543</v>
      </c>
      <c r="C1387" s="5">
        <v>2</v>
      </c>
      <c r="D1387" s="5" t="s">
        <v>20</v>
      </c>
      <c r="E1387" s="5" t="s">
        <v>46</v>
      </c>
      <c r="F1387" s="5" t="s">
        <v>18</v>
      </c>
      <c r="G1387" s="5" t="s">
        <v>11</v>
      </c>
      <c r="H1387" s="5">
        <v>19900</v>
      </c>
      <c r="I1387" s="5">
        <v>8</v>
      </c>
      <c r="J1387" s="9">
        <v>159200</v>
      </c>
    </row>
    <row r="1388" spans="1:10" x14ac:dyDescent="0.3">
      <c r="A1388" s="3" t="s">
        <v>1453</v>
      </c>
      <c r="B1388" s="4">
        <v>43543</v>
      </c>
      <c r="C1388" s="5">
        <v>18</v>
      </c>
      <c r="D1388" s="5" t="s">
        <v>36</v>
      </c>
      <c r="E1388" s="5" t="s">
        <v>42</v>
      </c>
      <c r="F1388" s="5" t="s">
        <v>17</v>
      </c>
      <c r="G1388" s="5" t="s">
        <v>14</v>
      </c>
      <c r="H1388" s="5">
        <v>15900</v>
      </c>
      <c r="I1388" s="5">
        <v>8</v>
      </c>
      <c r="J1388" s="9">
        <v>127200</v>
      </c>
    </row>
    <row r="1389" spans="1:10" x14ac:dyDescent="0.3">
      <c r="A1389" s="3" t="s">
        <v>1454</v>
      </c>
      <c r="B1389" s="4">
        <v>43543</v>
      </c>
      <c r="C1389" s="5">
        <v>9</v>
      </c>
      <c r="D1389" s="5" t="s">
        <v>27</v>
      </c>
      <c r="E1389" s="5" t="s">
        <v>44</v>
      </c>
      <c r="F1389" s="5" t="s">
        <v>15</v>
      </c>
      <c r="G1389" s="5" t="s">
        <v>10</v>
      </c>
      <c r="H1389" s="5">
        <v>39900</v>
      </c>
      <c r="I1389" s="5">
        <v>9</v>
      </c>
      <c r="J1389" s="9">
        <v>359100</v>
      </c>
    </row>
    <row r="1390" spans="1:10" x14ac:dyDescent="0.3">
      <c r="A1390" s="3" t="s">
        <v>1455</v>
      </c>
      <c r="B1390" s="4">
        <v>43543</v>
      </c>
      <c r="C1390" s="5">
        <v>1</v>
      </c>
      <c r="D1390" s="5" t="s">
        <v>19</v>
      </c>
      <c r="E1390" s="5" t="s">
        <v>40</v>
      </c>
      <c r="F1390" s="5" t="s">
        <v>18</v>
      </c>
      <c r="G1390" s="5" t="s">
        <v>12</v>
      </c>
      <c r="H1390" s="5">
        <v>6900</v>
      </c>
      <c r="I1390" s="5">
        <v>9</v>
      </c>
      <c r="J1390" s="9">
        <v>62100</v>
      </c>
    </row>
    <row r="1391" spans="1:10" x14ac:dyDescent="0.3">
      <c r="A1391" s="3" t="s">
        <v>1456</v>
      </c>
      <c r="B1391" s="4">
        <v>43543</v>
      </c>
      <c r="C1391" s="5">
        <v>4</v>
      </c>
      <c r="D1391" s="5" t="s">
        <v>22</v>
      </c>
      <c r="E1391" s="5" t="s">
        <v>40</v>
      </c>
      <c r="F1391" s="5" t="s">
        <v>18</v>
      </c>
      <c r="G1391" s="5" t="s">
        <v>14</v>
      </c>
      <c r="H1391" s="5">
        <v>15900</v>
      </c>
      <c r="I1391" s="5">
        <v>3</v>
      </c>
      <c r="J1391" s="9">
        <v>47700</v>
      </c>
    </row>
    <row r="1392" spans="1:10" x14ac:dyDescent="0.3">
      <c r="A1392" s="3" t="s">
        <v>1457</v>
      </c>
      <c r="B1392" s="4">
        <v>43543</v>
      </c>
      <c r="C1392" s="5">
        <v>10</v>
      </c>
      <c r="D1392" s="5" t="s">
        <v>28</v>
      </c>
      <c r="E1392" s="5" t="s">
        <v>44</v>
      </c>
      <c r="F1392" s="5" t="s">
        <v>15</v>
      </c>
      <c r="G1392" s="5" t="s">
        <v>10</v>
      </c>
      <c r="H1392" s="5">
        <v>39900</v>
      </c>
      <c r="I1392" s="5">
        <v>0</v>
      </c>
      <c r="J1392" s="9">
        <v>0</v>
      </c>
    </row>
    <row r="1393" spans="1:10" x14ac:dyDescent="0.3">
      <c r="A1393" s="3" t="s">
        <v>1458</v>
      </c>
      <c r="B1393" s="4">
        <v>43544</v>
      </c>
      <c r="C1393" s="5">
        <v>15</v>
      </c>
      <c r="D1393" s="5" t="s">
        <v>33</v>
      </c>
      <c r="E1393" s="5" t="s">
        <v>45</v>
      </c>
      <c r="F1393" s="5" t="s">
        <v>16</v>
      </c>
      <c r="G1393" s="5" t="s">
        <v>14</v>
      </c>
      <c r="H1393" s="5">
        <v>15900</v>
      </c>
      <c r="I1393" s="5">
        <v>5</v>
      </c>
      <c r="J1393" s="9">
        <v>79500</v>
      </c>
    </row>
    <row r="1394" spans="1:10" x14ac:dyDescent="0.3">
      <c r="A1394" s="3" t="s">
        <v>1459</v>
      </c>
      <c r="B1394" s="4">
        <v>43544</v>
      </c>
      <c r="C1394" s="5">
        <v>18</v>
      </c>
      <c r="D1394" s="5" t="s">
        <v>36</v>
      </c>
      <c r="E1394" s="5" t="s">
        <v>43</v>
      </c>
      <c r="F1394" s="5" t="s">
        <v>17</v>
      </c>
      <c r="G1394" s="5" t="s">
        <v>12</v>
      </c>
      <c r="H1394" s="5">
        <v>6900</v>
      </c>
      <c r="I1394" s="5">
        <v>3</v>
      </c>
      <c r="J1394" s="9">
        <v>20700</v>
      </c>
    </row>
    <row r="1395" spans="1:10" x14ac:dyDescent="0.3">
      <c r="A1395" s="3" t="s">
        <v>1460</v>
      </c>
      <c r="B1395" s="4">
        <v>43544</v>
      </c>
      <c r="C1395" s="5">
        <v>1</v>
      </c>
      <c r="D1395" s="5" t="s">
        <v>19</v>
      </c>
      <c r="E1395" s="5" t="s">
        <v>46</v>
      </c>
      <c r="F1395" s="5" t="s">
        <v>18</v>
      </c>
      <c r="G1395" s="5" t="s">
        <v>13</v>
      </c>
      <c r="H1395" s="5">
        <v>28900</v>
      </c>
      <c r="I1395" s="5">
        <v>3</v>
      </c>
      <c r="J1395" s="9">
        <v>86700</v>
      </c>
    </row>
    <row r="1396" spans="1:10" x14ac:dyDescent="0.3">
      <c r="A1396" s="3" t="s">
        <v>1461</v>
      </c>
      <c r="B1396" s="4">
        <v>43545</v>
      </c>
      <c r="C1396" s="5">
        <v>4</v>
      </c>
      <c r="D1396" s="5" t="s">
        <v>22</v>
      </c>
      <c r="E1396" s="5" t="s">
        <v>40</v>
      </c>
      <c r="F1396" s="5" t="s">
        <v>18</v>
      </c>
      <c r="G1396" s="5" t="s">
        <v>11</v>
      </c>
      <c r="H1396" s="5">
        <v>19900</v>
      </c>
      <c r="I1396" s="5">
        <v>3</v>
      </c>
      <c r="J1396" s="9">
        <v>59700</v>
      </c>
    </row>
    <row r="1397" spans="1:10" x14ac:dyDescent="0.3">
      <c r="A1397" s="3" t="s">
        <v>1462</v>
      </c>
      <c r="B1397" s="4">
        <v>43546</v>
      </c>
      <c r="C1397" s="5">
        <v>11</v>
      </c>
      <c r="D1397" s="5" t="s">
        <v>29</v>
      </c>
      <c r="E1397" s="5" t="s">
        <v>39</v>
      </c>
      <c r="F1397" s="5" t="s">
        <v>16</v>
      </c>
      <c r="G1397" s="5" t="s">
        <v>10</v>
      </c>
      <c r="H1397" s="5">
        <v>39900</v>
      </c>
      <c r="I1397" s="5">
        <v>9</v>
      </c>
      <c r="J1397" s="9">
        <v>359100</v>
      </c>
    </row>
    <row r="1398" spans="1:10" x14ac:dyDescent="0.3">
      <c r="A1398" s="3" t="s">
        <v>1463</v>
      </c>
      <c r="B1398" s="4">
        <v>43547</v>
      </c>
      <c r="C1398" s="5">
        <v>2</v>
      </c>
      <c r="D1398" s="5" t="s">
        <v>20</v>
      </c>
      <c r="E1398" s="5" t="s">
        <v>40</v>
      </c>
      <c r="F1398" s="5" t="s">
        <v>18</v>
      </c>
      <c r="G1398" s="5" t="s">
        <v>14</v>
      </c>
      <c r="H1398" s="5">
        <v>15900</v>
      </c>
      <c r="I1398" s="5">
        <v>5</v>
      </c>
      <c r="J1398" s="9">
        <v>79500</v>
      </c>
    </row>
    <row r="1399" spans="1:10" x14ac:dyDescent="0.3">
      <c r="A1399" s="3" t="s">
        <v>1464</v>
      </c>
      <c r="B1399" s="4">
        <v>43547</v>
      </c>
      <c r="C1399" s="5">
        <v>17</v>
      </c>
      <c r="D1399" s="5" t="s">
        <v>35</v>
      </c>
      <c r="E1399" s="5" t="s">
        <v>42</v>
      </c>
      <c r="F1399" s="5" t="s">
        <v>17</v>
      </c>
      <c r="G1399" s="5" t="s">
        <v>13</v>
      </c>
      <c r="H1399" s="5">
        <v>28900</v>
      </c>
      <c r="I1399" s="5">
        <v>2</v>
      </c>
      <c r="J1399" s="9">
        <v>57800</v>
      </c>
    </row>
    <row r="1400" spans="1:10" x14ac:dyDescent="0.3">
      <c r="A1400" s="3" t="s">
        <v>1465</v>
      </c>
      <c r="B1400" s="4">
        <v>43547</v>
      </c>
      <c r="C1400" s="5">
        <v>2</v>
      </c>
      <c r="D1400" s="5" t="s">
        <v>20</v>
      </c>
      <c r="E1400" s="5" t="s">
        <v>46</v>
      </c>
      <c r="F1400" s="5" t="s">
        <v>18</v>
      </c>
      <c r="G1400" s="5" t="s">
        <v>11</v>
      </c>
      <c r="H1400" s="5">
        <v>19900</v>
      </c>
      <c r="I1400" s="5">
        <v>8</v>
      </c>
      <c r="J1400" s="9">
        <v>159200</v>
      </c>
    </row>
    <row r="1401" spans="1:10" x14ac:dyDescent="0.3">
      <c r="A1401" s="3" t="s">
        <v>1466</v>
      </c>
      <c r="B1401" s="4">
        <v>43547</v>
      </c>
      <c r="C1401" s="5">
        <v>5</v>
      </c>
      <c r="D1401" s="5" t="s">
        <v>23</v>
      </c>
      <c r="E1401" s="5" t="s">
        <v>46</v>
      </c>
      <c r="F1401" s="5" t="s">
        <v>18</v>
      </c>
      <c r="G1401" s="5" t="s">
        <v>10</v>
      </c>
      <c r="H1401" s="5">
        <v>39900</v>
      </c>
      <c r="I1401" s="5">
        <v>1</v>
      </c>
      <c r="J1401" s="9">
        <v>39900</v>
      </c>
    </row>
    <row r="1402" spans="1:10" x14ac:dyDescent="0.3">
      <c r="A1402" s="3" t="s">
        <v>1467</v>
      </c>
      <c r="B1402" s="4">
        <v>43547</v>
      </c>
      <c r="C1402" s="5">
        <v>15</v>
      </c>
      <c r="D1402" s="5" t="s">
        <v>33</v>
      </c>
      <c r="E1402" s="5" t="s">
        <v>45</v>
      </c>
      <c r="F1402" s="5" t="s">
        <v>16</v>
      </c>
      <c r="G1402" s="5" t="s">
        <v>13</v>
      </c>
      <c r="H1402" s="5">
        <v>28900</v>
      </c>
      <c r="I1402" s="5">
        <v>6</v>
      </c>
      <c r="J1402" s="9">
        <v>173400</v>
      </c>
    </row>
    <row r="1403" spans="1:10" x14ac:dyDescent="0.3">
      <c r="A1403" s="3" t="s">
        <v>1468</v>
      </c>
      <c r="B1403" s="4">
        <v>43547</v>
      </c>
      <c r="C1403" s="5">
        <v>8</v>
      </c>
      <c r="D1403" s="5" t="s">
        <v>26</v>
      </c>
      <c r="E1403" s="5" t="s">
        <v>44</v>
      </c>
      <c r="F1403" s="5" t="s">
        <v>15</v>
      </c>
      <c r="G1403" s="5" t="s">
        <v>12</v>
      </c>
      <c r="H1403" s="5">
        <v>6900</v>
      </c>
      <c r="I1403" s="5">
        <v>8</v>
      </c>
      <c r="J1403" s="9">
        <v>55200</v>
      </c>
    </row>
    <row r="1404" spans="1:10" x14ac:dyDescent="0.3">
      <c r="A1404" s="3" t="s">
        <v>1469</v>
      </c>
      <c r="B1404" s="4">
        <v>43547</v>
      </c>
      <c r="C1404" s="5">
        <v>9</v>
      </c>
      <c r="D1404" s="5" t="s">
        <v>27</v>
      </c>
      <c r="E1404" s="5" t="s">
        <v>41</v>
      </c>
      <c r="F1404" s="5" t="s">
        <v>15</v>
      </c>
      <c r="G1404" s="5" t="s">
        <v>10</v>
      </c>
      <c r="H1404" s="5">
        <v>39900</v>
      </c>
      <c r="I1404" s="5">
        <v>9</v>
      </c>
      <c r="J1404" s="9">
        <v>359100</v>
      </c>
    </row>
    <row r="1405" spans="1:10" x14ac:dyDescent="0.3">
      <c r="A1405" s="3" t="s">
        <v>1470</v>
      </c>
      <c r="B1405" s="4">
        <v>43547</v>
      </c>
      <c r="C1405" s="5">
        <v>5</v>
      </c>
      <c r="D1405" s="5" t="s">
        <v>23</v>
      </c>
      <c r="E1405" s="5" t="s">
        <v>40</v>
      </c>
      <c r="F1405" s="5" t="s">
        <v>18</v>
      </c>
      <c r="G1405" s="5" t="s">
        <v>13</v>
      </c>
      <c r="H1405" s="5">
        <v>28900</v>
      </c>
      <c r="I1405" s="5">
        <v>6</v>
      </c>
      <c r="J1405" s="9">
        <v>173400</v>
      </c>
    </row>
    <row r="1406" spans="1:10" x14ac:dyDescent="0.3">
      <c r="A1406" s="3" t="s">
        <v>1471</v>
      </c>
      <c r="B1406" s="4">
        <v>43547</v>
      </c>
      <c r="C1406" s="5">
        <v>11</v>
      </c>
      <c r="D1406" s="5" t="s">
        <v>29</v>
      </c>
      <c r="E1406" s="5" t="s">
        <v>45</v>
      </c>
      <c r="F1406" s="5" t="s">
        <v>16</v>
      </c>
      <c r="G1406" s="5" t="s">
        <v>11</v>
      </c>
      <c r="H1406" s="5">
        <v>19900</v>
      </c>
      <c r="I1406" s="5">
        <v>8</v>
      </c>
      <c r="J1406" s="9">
        <v>159200</v>
      </c>
    </row>
    <row r="1407" spans="1:10" x14ac:dyDescent="0.3">
      <c r="A1407" s="3" t="s">
        <v>1472</v>
      </c>
      <c r="B1407" s="4">
        <v>43547</v>
      </c>
      <c r="C1407" s="5">
        <v>15</v>
      </c>
      <c r="D1407" s="5" t="s">
        <v>33</v>
      </c>
      <c r="E1407" s="5" t="s">
        <v>45</v>
      </c>
      <c r="F1407" s="5" t="s">
        <v>16</v>
      </c>
      <c r="G1407" s="5" t="s">
        <v>14</v>
      </c>
      <c r="H1407" s="5">
        <v>15900</v>
      </c>
      <c r="I1407" s="5">
        <v>7</v>
      </c>
      <c r="J1407" s="9">
        <v>111300</v>
      </c>
    </row>
    <row r="1408" spans="1:10" x14ac:dyDescent="0.3">
      <c r="A1408" s="3" t="s">
        <v>1473</v>
      </c>
      <c r="B1408" s="4">
        <v>43548</v>
      </c>
      <c r="C1408" s="5">
        <v>12</v>
      </c>
      <c r="D1408" s="5" t="s">
        <v>30</v>
      </c>
      <c r="E1408" s="5" t="s">
        <v>45</v>
      </c>
      <c r="F1408" s="5" t="s">
        <v>16</v>
      </c>
      <c r="G1408" s="5" t="s">
        <v>10</v>
      </c>
      <c r="H1408" s="5">
        <v>39900</v>
      </c>
      <c r="I1408" s="5">
        <v>8</v>
      </c>
      <c r="J1408" s="9">
        <v>319200</v>
      </c>
    </row>
    <row r="1409" spans="1:10" x14ac:dyDescent="0.3">
      <c r="A1409" s="3" t="s">
        <v>1474</v>
      </c>
      <c r="B1409" s="4">
        <v>43549</v>
      </c>
      <c r="C1409" s="5">
        <v>3</v>
      </c>
      <c r="D1409" s="5" t="s">
        <v>21</v>
      </c>
      <c r="E1409" s="5" t="s">
        <v>40</v>
      </c>
      <c r="F1409" s="5" t="s">
        <v>18</v>
      </c>
      <c r="G1409" s="5" t="s">
        <v>10</v>
      </c>
      <c r="H1409" s="5">
        <v>39900</v>
      </c>
      <c r="I1409" s="5">
        <v>9</v>
      </c>
      <c r="J1409" s="9">
        <v>359100</v>
      </c>
    </row>
    <row r="1410" spans="1:10" x14ac:dyDescent="0.3">
      <c r="A1410" s="3" t="s">
        <v>1475</v>
      </c>
      <c r="B1410" s="4">
        <v>43549</v>
      </c>
      <c r="C1410" s="5">
        <v>18</v>
      </c>
      <c r="D1410" s="5" t="s">
        <v>36</v>
      </c>
      <c r="E1410" s="5" t="s">
        <v>43</v>
      </c>
      <c r="F1410" s="5" t="s">
        <v>17</v>
      </c>
      <c r="G1410" s="5" t="s">
        <v>10</v>
      </c>
      <c r="H1410" s="5">
        <v>39900</v>
      </c>
      <c r="I1410" s="5">
        <v>3</v>
      </c>
      <c r="J1410" s="9">
        <v>119700</v>
      </c>
    </row>
    <row r="1411" spans="1:10" x14ac:dyDescent="0.3">
      <c r="A1411" s="3" t="s">
        <v>1476</v>
      </c>
      <c r="B1411" s="4">
        <v>43549</v>
      </c>
      <c r="C1411" s="5">
        <v>12</v>
      </c>
      <c r="D1411" s="5" t="s">
        <v>30</v>
      </c>
      <c r="E1411" s="5" t="s">
        <v>45</v>
      </c>
      <c r="F1411" s="5" t="s">
        <v>16</v>
      </c>
      <c r="G1411" s="5" t="s">
        <v>13</v>
      </c>
      <c r="H1411" s="5">
        <v>28900</v>
      </c>
      <c r="I1411" s="5">
        <v>6</v>
      </c>
      <c r="J1411" s="9">
        <v>173400</v>
      </c>
    </row>
    <row r="1412" spans="1:10" x14ac:dyDescent="0.3">
      <c r="A1412" s="3" t="s">
        <v>1477</v>
      </c>
      <c r="B1412" s="4">
        <v>43550</v>
      </c>
      <c r="C1412" s="5">
        <v>8</v>
      </c>
      <c r="D1412" s="5" t="s">
        <v>26</v>
      </c>
      <c r="E1412" s="5" t="s">
        <v>44</v>
      </c>
      <c r="F1412" s="5" t="s">
        <v>15</v>
      </c>
      <c r="G1412" s="5" t="s">
        <v>11</v>
      </c>
      <c r="H1412" s="5">
        <v>19900</v>
      </c>
      <c r="I1412" s="5">
        <v>1</v>
      </c>
      <c r="J1412" s="9">
        <v>19900</v>
      </c>
    </row>
    <row r="1413" spans="1:10" x14ac:dyDescent="0.3">
      <c r="A1413" s="3" t="s">
        <v>1478</v>
      </c>
      <c r="B1413" s="4">
        <v>43550</v>
      </c>
      <c r="C1413" s="5">
        <v>19</v>
      </c>
      <c r="D1413" s="5" t="s">
        <v>37</v>
      </c>
      <c r="E1413" s="5" t="s">
        <v>43</v>
      </c>
      <c r="F1413" s="5" t="s">
        <v>17</v>
      </c>
      <c r="G1413" s="5" t="s">
        <v>13</v>
      </c>
      <c r="H1413" s="5">
        <v>28900</v>
      </c>
      <c r="I1413" s="5">
        <v>3</v>
      </c>
      <c r="J1413" s="9">
        <v>86700</v>
      </c>
    </row>
    <row r="1414" spans="1:10" x14ac:dyDescent="0.3">
      <c r="A1414" s="3" t="s">
        <v>1479</v>
      </c>
      <c r="B1414" s="4">
        <v>43551</v>
      </c>
      <c r="C1414" s="5">
        <v>4</v>
      </c>
      <c r="D1414" s="5" t="s">
        <v>22</v>
      </c>
      <c r="E1414" s="5" t="s">
        <v>40</v>
      </c>
      <c r="F1414" s="5" t="s">
        <v>18</v>
      </c>
      <c r="G1414" s="5" t="s">
        <v>10</v>
      </c>
      <c r="H1414" s="5">
        <v>39900</v>
      </c>
      <c r="I1414" s="5">
        <v>6</v>
      </c>
      <c r="J1414" s="9">
        <v>239400</v>
      </c>
    </row>
    <row r="1415" spans="1:10" x14ac:dyDescent="0.3">
      <c r="A1415" s="3" t="s">
        <v>1480</v>
      </c>
      <c r="B1415" s="4">
        <v>43551</v>
      </c>
      <c r="C1415" s="5">
        <v>6</v>
      </c>
      <c r="D1415" s="5" t="s">
        <v>24</v>
      </c>
      <c r="E1415" s="5" t="s">
        <v>44</v>
      </c>
      <c r="F1415" s="5" t="s">
        <v>15</v>
      </c>
      <c r="G1415" s="5" t="s">
        <v>13</v>
      </c>
      <c r="H1415" s="5">
        <v>28900</v>
      </c>
      <c r="I1415" s="5">
        <v>7</v>
      </c>
      <c r="J1415" s="9">
        <v>202300</v>
      </c>
    </row>
    <row r="1416" spans="1:10" x14ac:dyDescent="0.3">
      <c r="A1416" s="3" t="s">
        <v>1481</v>
      </c>
      <c r="B1416" s="4">
        <v>43551</v>
      </c>
      <c r="C1416" s="5">
        <v>17</v>
      </c>
      <c r="D1416" s="5" t="s">
        <v>35</v>
      </c>
      <c r="E1416" s="5" t="s">
        <v>43</v>
      </c>
      <c r="F1416" s="5" t="s">
        <v>17</v>
      </c>
      <c r="G1416" s="5" t="s">
        <v>14</v>
      </c>
      <c r="H1416" s="5">
        <v>15900</v>
      </c>
      <c r="I1416" s="5">
        <v>7</v>
      </c>
      <c r="J1416" s="9">
        <v>111300</v>
      </c>
    </row>
    <row r="1417" spans="1:10" x14ac:dyDescent="0.3">
      <c r="A1417" s="3" t="s">
        <v>1482</v>
      </c>
      <c r="B1417" s="4">
        <v>43551</v>
      </c>
      <c r="C1417" s="5">
        <v>13</v>
      </c>
      <c r="D1417" s="5" t="s">
        <v>31</v>
      </c>
      <c r="E1417" s="5" t="s">
        <v>45</v>
      </c>
      <c r="F1417" s="5" t="s">
        <v>16</v>
      </c>
      <c r="G1417" s="5" t="s">
        <v>13</v>
      </c>
      <c r="H1417" s="5">
        <v>28900</v>
      </c>
      <c r="I1417" s="5">
        <v>9</v>
      </c>
      <c r="J1417" s="9">
        <v>260100</v>
      </c>
    </row>
    <row r="1418" spans="1:10" x14ac:dyDescent="0.3">
      <c r="A1418" s="3" t="s">
        <v>1483</v>
      </c>
      <c r="B1418" s="4">
        <v>43551</v>
      </c>
      <c r="C1418" s="5">
        <v>18</v>
      </c>
      <c r="D1418" s="5" t="s">
        <v>36</v>
      </c>
      <c r="E1418" s="5" t="s">
        <v>42</v>
      </c>
      <c r="F1418" s="5" t="s">
        <v>17</v>
      </c>
      <c r="G1418" s="5" t="s">
        <v>11</v>
      </c>
      <c r="H1418" s="5">
        <v>19900</v>
      </c>
      <c r="I1418" s="5">
        <v>2</v>
      </c>
      <c r="J1418" s="9">
        <v>39800</v>
      </c>
    </row>
    <row r="1419" spans="1:10" x14ac:dyDescent="0.3">
      <c r="A1419" s="3" t="s">
        <v>1484</v>
      </c>
      <c r="B1419" s="4">
        <v>43552</v>
      </c>
      <c r="C1419" s="5">
        <v>1</v>
      </c>
      <c r="D1419" s="5" t="s">
        <v>19</v>
      </c>
      <c r="E1419" s="5" t="s">
        <v>46</v>
      </c>
      <c r="F1419" s="5" t="s">
        <v>18</v>
      </c>
      <c r="G1419" s="5" t="s">
        <v>13</v>
      </c>
      <c r="H1419" s="5">
        <v>28900</v>
      </c>
      <c r="I1419" s="5">
        <v>9</v>
      </c>
      <c r="J1419" s="9">
        <v>260100</v>
      </c>
    </row>
    <row r="1420" spans="1:10" x14ac:dyDescent="0.3">
      <c r="A1420" s="3" t="s">
        <v>1485</v>
      </c>
      <c r="B1420" s="4">
        <v>43553</v>
      </c>
      <c r="C1420" s="5">
        <v>18</v>
      </c>
      <c r="D1420" s="5" t="s">
        <v>36</v>
      </c>
      <c r="E1420" s="5" t="s">
        <v>43</v>
      </c>
      <c r="F1420" s="5" t="s">
        <v>17</v>
      </c>
      <c r="G1420" s="5" t="s">
        <v>14</v>
      </c>
      <c r="H1420" s="5">
        <v>15900</v>
      </c>
      <c r="I1420" s="5">
        <v>0</v>
      </c>
      <c r="J1420" s="9">
        <v>0</v>
      </c>
    </row>
    <row r="1421" spans="1:10" x14ac:dyDescent="0.3">
      <c r="A1421" s="3" t="s">
        <v>1486</v>
      </c>
      <c r="B1421" s="4">
        <v>43553</v>
      </c>
      <c r="C1421" s="5">
        <v>18</v>
      </c>
      <c r="D1421" s="5" t="s">
        <v>36</v>
      </c>
      <c r="E1421" s="5" t="s">
        <v>43</v>
      </c>
      <c r="F1421" s="5" t="s">
        <v>17</v>
      </c>
      <c r="G1421" s="5" t="s">
        <v>11</v>
      </c>
      <c r="H1421" s="5">
        <v>19900</v>
      </c>
      <c r="I1421" s="5">
        <v>0</v>
      </c>
      <c r="J1421" s="9">
        <v>0</v>
      </c>
    </row>
    <row r="1422" spans="1:10" x14ac:dyDescent="0.3">
      <c r="A1422" s="3" t="s">
        <v>1487</v>
      </c>
      <c r="B1422" s="4">
        <v>43553</v>
      </c>
      <c r="C1422" s="5">
        <v>2</v>
      </c>
      <c r="D1422" s="5" t="s">
        <v>20</v>
      </c>
      <c r="E1422" s="5" t="s">
        <v>40</v>
      </c>
      <c r="F1422" s="5" t="s">
        <v>18</v>
      </c>
      <c r="G1422" s="5" t="s">
        <v>11</v>
      </c>
      <c r="H1422" s="5">
        <v>19900</v>
      </c>
      <c r="I1422" s="5">
        <v>0</v>
      </c>
      <c r="J1422" s="9">
        <v>0</v>
      </c>
    </row>
    <row r="1423" spans="1:10" x14ac:dyDescent="0.3">
      <c r="A1423" s="3" t="s">
        <v>1488</v>
      </c>
      <c r="B1423" s="4">
        <v>43554</v>
      </c>
      <c r="C1423" s="5">
        <v>2</v>
      </c>
      <c r="D1423" s="5" t="s">
        <v>20</v>
      </c>
      <c r="E1423" s="5" t="s">
        <v>46</v>
      </c>
      <c r="F1423" s="5" t="s">
        <v>18</v>
      </c>
      <c r="G1423" s="5" t="s">
        <v>11</v>
      </c>
      <c r="H1423" s="5">
        <v>19900</v>
      </c>
      <c r="I1423" s="5">
        <v>9</v>
      </c>
      <c r="J1423" s="9">
        <v>179100</v>
      </c>
    </row>
    <row r="1424" spans="1:10" x14ac:dyDescent="0.3">
      <c r="A1424" s="3" t="s">
        <v>1489</v>
      </c>
      <c r="B1424" s="4">
        <v>43554</v>
      </c>
      <c r="C1424" s="5">
        <v>7</v>
      </c>
      <c r="D1424" s="5" t="s">
        <v>25</v>
      </c>
      <c r="E1424" s="5" t="s">
        <v>41</v>
      </c>
      <c r="F1424" s="5" t="s">
        <v>15</v>
      </c>
      <c r="G1424" s="5" t="s">
        <v>10</v>
      </c>
      <c r="H1424" s="5">
        <v>39900</v>
      </c>
      <c r="I1424" s="5">
        <v>2</v>
      </c>
      <c r="J1424" s="9">
        <v>79800</v>
      </c>
    </row>
    <row r="1425" spans="1:10" x14ac:dyDescent="0.3">
      <c r="A1425" s="3" t="s">
        <v>1490</v>
      </c>
      <c r="B1425" s="4">
        <v>43555</v>
      </c>
      <c r="C1425" s="5">
        <v>19</v>
      </c>
      <c r="D1425" s="5" t="s">
        <v>37</v>
      </c>
      <c r="E1425" s="5" t="s">
        <v>43</v>
      </c>
      <c r="F1425" s="5" t="s">
        <v>17</v>
      </c>
      <c r="G1425" s="5" t="s">
        <v>13</v>
      </c>
      <c r="H1425" s="5">
        <v>28900</v>
      </c>
      <c r="I1425" s="5">
        <v>8</v>
      </c>
      <c r="J1425" s="9">
        <v>231200</v>
      </c>
    </row>
    <row r="1426" spans="1:10" x14ac:dyDescent="0.3">
      <c r="A1426" s="3" t="s">
        <v>1491</v>
      </c>
      <c r="B1426" s="4">
        <v>43555</v>
      </c>
      <c r="C1426" s="5">
        <v>19</v>
      </c>
      <c r="D1426" s="5" t="s">
        <v>37</v>
      </c>
      <c r="E1426" s="5" t="s">
        <v>43</v>
      </c>
      <c r="F1426" s="5" t="s">
        <v>17</v>
      </c>
      <c r="G1426" s="5" t="s">
        <v>14</v>
      </c>
      <c r="H1426" s="5">
        <v>15900</v>
      </c>
      <c r="I1426" s="5">
        <v>6</v>
      </c>
      <c r="J1426" s="9">
        <v>95400</v>
      </c>
    </row>
    <row r="1427" spans="1:10" x14ac:dyDescent="0.3">
      <c r="A1427" s="3" t="s">
        <v>1492</v>
      </c>
      <c r="B1427" s="4">
        <v>43555</v>
      </c>
      <c r="C1427" s="5">
        <v>13</v>
      </c>
      <c r="D1427" s="5" t="s">
        <v>31</v>
      </c>
      <c r="E1427" s="5" t="s">
        <v>45</v>
      </c>
      <c r="F1427" s="5" t="s">
        <v>16</v>
      </c>
      <c r="G1427" s="5" t="s">
        <v>10</v>
      </c>
      <c r="H1427" s="5">
        <v>39900</v>
      </c>
      <c r="I1427" s="5">
        <v>0</v>
      </c>
      <c r="J1427" s="9">
        <v>0</v>
      </c>
    </row>
    <row r="1428" spans="1:10" x14ac:dyDescent="0.3">
      <c r="A1428" s="3" t="s">
        <v>1493</v>
      </c>
      <c r="B1428" s="4">
        <v>43555</v>
      </c>
      <c r="C1428" s="5">
        <v>10</v>
      </c>
      <c r="D1428" s="5" t="s">
        <v>28</v>
      </c>
      <c r="E1428" s="5" t="s">
        <v>44</v>
      </c>
      <c r="F1428" s="5" t="s">
        <v>15</v>
      </c>
      <c r="G1428" s="5" t="s">
        <v>10</v>
      </c>
      <c r="H1428" s="5">
        <v>39900</v>
      </c>
      <c r="I1428" s="5">
        <v>8</v>
      </c>
      <c r="J1428" s="9">
        <v>319200</v>
      </c>
    </row>
    <row r="1429" spans="1:10" x14ac:dyDescent="0.3">
      <c r="A1429" s="3" t="s">
        <v>1494</v>
      </c>
      <c r="B1429" s="4">
        <v>43555</v>
      </c>
      <c r="C1429" s="5">
        <v>5</v>
      </c>
      <c r="D1429" s="5" t="s">
        <v>23</v>
      </c>
      <c r="E1429" s="5" t="s">
        <v>46</v>
      </c>
      <c r="F1429" s="5" t="s">
        <v>18</v>
      </c>
      <c r="G1429" s="5" t="s">
        <v>11</v>
      </c>
      <c r="H1429" s="5">
        <v>19900</v>
      </c>
      <c r="I1429" s="5">
        <v>9</v>
      </c>
      <c r="J1429" s="9">
        <v>179100</v>
      </c>
    </row>
    <row r="1430" spans="1:10" x14ac:dyDescent="0.3">
      <c r="A1430" s="3" t="s">
        <v>1495</v>
      </c>
      <c r="B1430" s="4">
        <v>43556</v>
      </c>
      <c r="C1430" s="5">
        <v>1</v>
      </c>
      <c r="D1430" s="5" t="s">
        <v>19</v>
      </c>
      <c r="E1430" s="5" t="s">
        <v>46</v>
      </c>
      <c r="F1430" s="5" t="s">
        <v>18</v>
      </c>
      <c r="G1430" s="5" t="s">
        <v>10</v>
      </c>
      <c r="H1430" s="5">
        <v>39900</v>
      </c>
      <c r="I1430" s="5">
        <v>4</v>
      </c>
      <c r="J1430" s="9">
        <v>159600</v>
      </c>
    </row>
    <row r="1431" spans="1:10" x14ac:dyDescent="0.3">
      <c r="A1431" s="3" t="s">
        <v>1496</v>
      </c>
      <c r="B1431" s="4">
        <v>43556</v>
      </c>
      <c r="C1431" s="5">
        <v>10</v>
      </c>
      <c r="D1431" s="5" t="s">
        <v>28</v>
      </c>
      <c r="E1431" s="5" t="s">
        <v>41</v>
      </c>
      <c r="F1431" s="5" t="s">
        <v>15</v>
      </c>
      <c r="G1431" s="5" t="s">
        <v>11</v>
      </c>
      <c r="H1431" s="5">
        <v>19900</v>
      </c>
      <c r="I1431" s="5">
        <v>6</v>
      </c>
      <c r="J1431" s="9">
        <v>119400</v>
      </c>
    </row>
    <row r="1432" spans="1:10" x14ac:dyDescent="0.3">
      <c r="A1432" s="3" t="s">
        <v>1497</v>
      </c>
      <c r="B1432" s="4">
        <v>43557</v>
      </c>
      <c r="C1432" s="5">
        <v>8</v>
      </c>
      <c r="D1432" s="5" t="s">
        <v>26</v>
      </c>
      <c r="E1432" s="5" t="s">
        <v>41</v>
      </c>
      <c r="F1432" s="5" t="s">
        <v>15</v>
      </c>
      <c r="G1432" s="5" t="s">
        <v>10</v>
      </c>
      <c r="H1432" s="5">
        <v>39900</v>
      </c>
      <c r="I1432" s="5">
        <v>0</v>
      </c>
      <c r="J1432" s="9">
        <v>0</v>
      </c>
    </row>
    <row r="1433" spans="1:10" x14ac:dyDescent="0.3">
      <c r="A1433" s="3" t="s">
        <v>1498</v>
      </c>
      <c r="B1433" s="4">
        <v>43558</v>
      </c>
      <c r="C1433" s="5">
        <v>12</v>
      </c>
      <c r="D1433" s="5" t="s">
        <v>30</v>
      </c>
      <c r="E1433" s="5" t="s">
        <v>39</v>
      </c>
      <c r="F1433" s="5" t="s">
        <v>16</v>
      </c>
      <c r="G1433" s="5" t="s">
        <v>14</v>
      </c>
      <c r="H1433" s="5">
        <v>15900</v>
      </c>
      <c r="I1433" s="5">
        <v>8</v>
      </c>
      <c r="J1433" s="9">
        <v>127200</v>
      </c>
    </row>
    <row r="1434" spans="1:10" x14ac:dyDescent="0.3">
      <c r="A1434" s="3" t="s">
        <v>1499</v>
      </c>
      <c r="B1434" s="4">
        <v>43559</v>
      </c>
      <c r="C1434" s="5">
        <v>5</v>
      </c>
      <c r="D1434" s="5" t="s">
        <v>23</v>
      </c>
      <c r="E1434" s="5" t="s">
        <v>46</v>
      </c>
      <c r="F1434" s="5" t="s">
        <v>18</v>
      </c>
      <c r="G1434" s="5" t="s">
        <v>12</v>
      </c>
      <c r="H1434" s="5">
        <v>6900</v>
      </c>
      <c r="I1434" s="5">
        <v>5</v>
      </c>
      <c r="J1434" s="9">
        <v>34500</v>
      </c>
    </row>
    <row r="1435" spans="1:10" x14ac:dyDescent="0.3">
      <c r="A1435" s="3" t="s">
        <v>1500</v>
      </c>
      <c r="B1435" s="4">
        <v>43559</v>
      </c>
      <c r="C1435" s="5">
        <v>8</v>
      </c>
      <c r="D1435" s="5" t="s">
        <v>26</v>
      </c>
      <c r="E1435" s="5" t="s">
        <v>41</v>
      </c>
      <c r="F1435" s="5" t="s">
        <v>15</v>
      </c>
      <c r="G1435" s="5" t="s">
        <v>14</v>
      </c>
      <c r="H1435" s="5">
        <v>15900</v>
      </c>
      <c r="I1435" s="5">
        <v>4</v>
      </c>
      <c r="J1435" s="9">
        <v>63600</v>
      </c>
    </row>
    <row r="1436" spans="1:10" x14ac:dyDescent="0.3">
      <c r="A1436" s="3" t="s">
        <v>1501</v>
      </c>
      <c r="B1436" s="4">
        <v>43559</v>
      </c>
      <c r="C1436" s="5">
        <v>19</v>
      </c>
      <c r="D1436" s="5" t="s">
        <v>37</v>
      </c>
      <c r="E1436" s="5" t="s">
        <v>42</v>
      </c>
      <c r="F1436" s="5" t="s">
        <v>17</v>
      </c>
      <c r="G1436" s="5" t="s">
        <v>13</v>
      </c>
      <c r="H1436" s="5">
        <v>28900</v>
      </c>
      <c r="I1436" s="5">
        <v>2</v>
      </c>
      <c r="J1436" s="9">
        <v>57800</v>
      </c>
    </row>
    <row r="1437" spans="1:10" x14ac:dyDescent="0.3">
      <c r="A1437" s="3" t="s">
        <v>1502</v>
      </c>
      <c r="B1437" s="4">
        <v>43559</v>
      </c>
      <c r="C1437" s="5">
        <v>20</v>
      </c>
      <c r="D1437" s="5" t="s">
        <v>38</v>
      </c>
      <c r="E1437" s="5" t="s">
        <v>42</v>
      </c>
      <c r="F1437" s="5" t="s">
        <v>17</v>
      </c>
      <c r="G1437" s="5" t="s">
        <v>12</v>
      </c>
      <c r="H1437" s="5">
        <v>6900</v>
      </c>
      <c r="I1437" s="5">
        <v>9</v>
      </c>
      <c r="J1437" s="9">
        <v>62100</v>
      </c>
    </row>
    <row r="1438" spans="1:10" x14ac:dyDescent="0.3">
      <c r="A1438" s="3" t="s">
        <v>1503</v>
      </c>
      <c r="B1438" s="4">
        <v>43560</v>
      </c>
      <c r="C1438" s="5">
        <v>7</v>
      </c>
      <c r="D1438" s="5" t="s">
        <v>25</v>
      </c>
      <c r="E1438" s="5" t="s">
        <v>44</v>
      </c>
      <c r="F1438" s="5" t="s">
        <v>15</v>
      </c>
      <c r="G1438" s="5" t="s">
        <v>11</v>
      </c>
      <c r="H1438" s="5">
        <v>19900</v>
      </c>
      <c r="I1438" s="5">
        <v>8</v>
      </c>
      <c r="J1438" s="9">
        <v>159200</v>
      </c>
    </row>
    <row r="1439" spans="1:10" x14ac:dyDescent="0.3">
      <c r="A1439" s="3" t="s">
        <v>1504</v>
      </c>
      <c r="B1439" s="4">
        <v>43560</v>
      </c>
      <c r="C1439" s="5">
        <v>4</v>
      </c>
      <c r="D1439" s="5" t="s">
        <v>22</v>
      </c>
      <c r="E1439" s="5" t="s">
        <v>46</v>
      </c>
      <c r="F1439" s="5" t="s">
        <v>18</v>
      </c>
      <c r="G1439" s="5" t="s">
        <v>12</v>
      </c>
      <c r="H1439" s="5">
        <v>6900</v>
      </c>
      <c r="I1439" s="5">
        <v>7</v>
      </c>
      <c r="J1439" s="9">
        <v>48300</v>
      </c>
    </row>
    <row r="1440" spans="1:10" x14ac:dyDescent="0.3">
      <c r="A1440" s="3" t="s">
        <v>1505</v>
      </c>
      <c r="B1440" s="4">
        <v>43560</v>
      </c>
      <c r="C1440" s="5">
        <v>16</v>
      </c>
      <c r="D1440" s="5" t="s">
        <v>34</v>
      </c>
      <c r="E1440" s="5" t="s">
        <v>43</v>
      </c>
      <c r="F1440" s="5" t="s">
        <v>17</v>
      </c>
      <c r="G1440" s="5" t="s">
        <v>11</v>
      </c>
      <c r="H1440" s="5">
        <v>19900</v>
      </c>
      <c r="I1440" s="5">
        <v>9</v>
      </c>
      <c r="J1440" s="9">
        <v>179100</v>
      </c>
    </row>
    <row r="1441" spans="1:10" x14ac:dyDescent="0.3">
      <c r="A1441" s="3" t="s">
        <v>1506</v>
      </c>
      <c r="B1441" s="4">
        <v>43560</v>
      </c>
      <c r="C1441" s="5">
        <v>18</v>
      </c>
      <c r="D1441" s="5" t="s">
        <v>36</v>
      </c>
      <c r="E1441" s="5" t="s">
        <v>43</v>
      </c>
      <c r="F1441" s="5" t="s">
        <v>17</v>
      </c>
      <c r="G1441" s="5" t="s">
        <v>11</v>
      </c>
      <c r="H1441" s="5">
        <v>19900</v>
      </c>
      <c r="I1441" s="5">
        <v>2</v>
      </c>
      <c r="J1441" s="9">
        <v>39800</v>
      </c>
    </row>
    <row r="1442" spans="1:10" x14ac:dyDescent="0.3">
      <c r="A1442" s="3" t="s">
        <v>1507</v>
      </c>
      <c r="B1442" s="4">
        <v>43560</v>
      </c>
      <c r="C1442" s="5">
        <v>13</v>
      </c>
      <c r="D1442" s="5" t="s">
        <v>31</v>
      </c>
      <c r="E1442" s="5" t="s">
        <v>45</v>
      </c>
      <c r="F1442" s="5" t="s">
        <v>16</v>
      </c>
      <c r="G1442" s="5" t="s">
        <v>11</v>
      </c>
      <c r="H1442" s="5">
        <v>19900</v>
      </c>
      <c r="I1442" s="5">
        <v>5</v>
      </c>
      <c r="J1442" s="9">
        <v>99500</v>
      </c>
    </row>
    <row r="1443" spans="1:10" x14ac:dyDescent="0.3">
      <c r="A1443" s="3" t="s">
        <v>1508</v>
      </c>
      <c r="B1443" s="4">
        <v>43560</v>
      </c>
      <c r="C1443" s="5">
        <v>15</v>
      </c>
      <c r="D1443" s="5" t="s">
        <v>33</v>
      </c>
      <c r="E1443" s="5" t="s">
        <v>39</v>
      </c>
      <c r="F1443" s="5" t="s">
        <v>16</v>
      </c>
      <c r="G1443" s="5" t="s">
        <v>12</v>
      </c>
      <c r="H1443" s="5">
        <v>6900</v>
      </c>
      <c r="I1443" s="5">
        <v>1</v>
      </c>
      <c r="J1443" s="9">
        <v>6900</v>
      </c>
    </row>
    <row r="1444" spans="1:10" x14ac:dyDescent="0.3">
      <c r="A1444" s="3" t="s">
        <v>1509</v>
      </c>
      <c r="B1444" s="4">
        <v>43560</v>
      </c>
      <c r="C1444" s="5">
        <v>15</v>
      </c>
      <c r="D1444" s="5" t="s">
        <v>33</v>
      </c>
      <c r="E1444" s="5" t="s">
        <v>45</v>
      </c>
      <c r="F1444" s="5" t="s">
        <v>16</v>
      </c>
      <c r="G1444" s="5" t="s">
        <v>13</v>
      </c>
      <c r="H1444" s="5">
        <v>28900</v>
      </c>
      <c r="I1444" s="5">
        <v>8</v>
      </c>
      <c r="J1444" s="9">
        <v>231200</v>
      </c>
    </row>
    <row r="1445" spans="1:10" x14ac:dyDescent="0.3">
      <c r="A1445" s="3" t="s">
        <v>1510</v>
      </c>
      <c r="B1445" s="4">
        <v>43561</v>
      </c>
      <c r="C1445" s="5">
        <v>3</v>
      </c>
      <c r="D1445" s="5" t="s">
        <v>21</v>
      </c>
      <c r="E1445" s="5" t="s">
        <v>40</v>
      </c>
      <c r="F1445" s="5" t="s">
        <v>18</v>
      </c>
      <c r="G1445" s="5" t="s">
        <v>13</v>
      </c>
      <c r="H1445" s="5">
        <v>28900</v>
      </c>
      <c r="I1445" s="5">
        <v>2</v>
      </c>
      <c r="J1445" s="9">
        <v>57800</v>
      </c>
    </row>
    <row r="1446" spans="1:10" x14ac:dyDescent="0.3">
      <c r="A1446" s="3" t="s">
        <v>1511</v>
      </c>
      <c r="B1446" s="4">
        <v>43561</v>
      </c>
      <c r="C1446" s="5">
        <v>1</v>
      </c>
      <c r="D1446" s="5" t="s">
        <v>19</v>
      </c>
      <c r="E1446" s="5" t="s">
        <v>46</v>
      </c>
      <c r="F1446" s="5" t="s">
        <v>18</v>
      </c>
      <c r="G1446" s="5" t="s">
        <v>11</v>
      </c>
      <c r="H1446" s="5">
        <v>19900</v>
      </c>
      <c r="I1446" s="5">
        <v>3</v>
      </c>
      <c r="J1446" s="9">
        <v>59700</v>
      </c>
    </row>
    <row r="1447" spans="1:10" x14ac:dyDescent="0.3">
      <c r="A1447" s="3" t="s">
        <v>1512</v>
      </c>
      <c r="B1447" s="4">
        <v>43562</v>
      </c>
      <c r="C1447" s="5">
        <v>12</v>
      </c>
      <c r="D1447" s="5" t="s">
        <v>30</v>
      </c>
      <c r="E1447" s="5" t="s">
        <v>45</v>
      </c>
      <c r="F1447" s="5" t="s">
        <v>16</v>
      </c>
      <c r="G1447" s="5" t="s">
        <v>10</v>
      </c>
      <c r="H1447" s="5">
        <v>39900</v>
      </c>
      <c r="I1447" s="5">
        <v>5</v>
      </c>
      <c r="J1447" s="9">
        <v>199500</v>
      </c>
    </row>
    <row r="1448" spans="1:10" x14ac:dyDescent="0.3">
      <c r="A1448" s="3" t="s">
        <v>1513</v>
      </c>
      <c r="B1448" s="4">
        <v>43562</v>
      </c>
      <c r="C1448" s="5">
        <v>7</v>
      </c>
      <c r="D1448" s="5" t="s">
        <v>25</v>
      </c>
      <c r="E1448" s="5" t="s">
        <v>41</v>
      </c>
      <c r="F1448" s="5" t="s">
        <v>15</v>
      </c>
      <c r="G1448" s="5" t="s">
        <v>12</v>
      </c>
      <c r="H1448" s="5">
        <v>6900</v>
      </c>
      <c r="I1448" s="5">
        <v>6</v>
      </c>
      <c r="J1448" s="9">
        <v>41400</v>
      </c>
    </row>
    <row r="1449" spans="1:10" x14ac:dyDescent="0.3">
      <c r="A1449" s="3" t="s">
        <v>1514</v>
      </c>
      <c r="B1449" s="4">
        <v>43562</v>
      </c>
      <c r="C1449" s="5">
        <v>15</v>
      </c>
      <c r="D1449" s="5" t="s">
        <v>33</v>
      </c>
      <c r="E1449" s="5" t="s">
        <v>39</v>
      </c>
      <c r="F1449" s="5" t="s">
        <v>16</v>
      </c>
      <c r="G1449" s="5" t="s">
        <v>14</v>
      </c>
      <c r="H1449" s="5">
        <v>15900</v>
      </c>
      <c r="I1449" s="5">
        <v>7</v>
      </c>
      <c r="J1449" s="9">
        <v>111300</v>
      </c>
    </row>
    <row r="1450" spans="1:10" x14ac:dyDescent="0.3">
      <c r="A1450" s="3" t="s">
        <v>1515</v>
      </c>
      <c r="B1450" s="4">
        <v>43562</v>
      </c>
      <c r="C1450" s="5">
        <v>20</v>
      </c>
      <c r="D1450" s="5" t="s">
        <v>38</v>
      </c>
      <c r="E1450" s="5" t="s">
        <v>43</v>
      </c>
      <c r="F1450" s="5" t="s">
        <v>17</v>
      </c>
      <c r="G1450" s="5" t="s">
        <v>14</v>
      </c>
      <c r="H1450" s="5">
        <v>15900</v>
      </c>
      <c r="I1450" s="5">
        <v>9</v>
      </c>
      <c r="J1450" s="9">
        <v>143100</v>
      </c>
    </row>
    <row r="1451" spans="1:10" x14ac:dyDescent="0.3">
      <c r="A1451" s="3" t="s">
        <v>1516</v>
      </c>
      <c r="B1451" s="4">
        <v>43562</v>
      </c>
      <c r="C1451" s="5">
        <v>4</v>
      </c>
      <c r="D1451" s="5" t="s">
        <v>22</v>
      </c>
      <c r="E1451" s="5" t="s">
        <v>46</v>
      </c>
      <c r="F1451" s="5" t="s">
        <v>18</v>
      </c>
      <c r="G1451" s="5" t="s">
        <v>11</v>
      </c>
      <c r="H1451" s="5">
        <v>19900</v>
      </c>
      <c r="I1451" s="5">
        <v>5</v>
      </c>
      <c r="J1451" s="9">
        <v>99500</v>
      </c>
    </row>
    <row r="1452" spans="1:10" x14ac:dyDescent="0.3">
      <c r="A1452" s="3" t="s">
        <v>1517</v>
      </c>
      <c r="B1452" s="4">
        <v>43563</v>
      </c>
      <c r="C1452" s="5">
        <v>12</v>
      </c>
      <c r="D1452" s="5" t="s">
        <v>30</v>
      </c>
      <c r="E1452" s="5" t="s">
        <v>39</v>
      </c>
      <c r="F1452" s="5" t="s">
        <v>16</v>
      </c>
      <c r="G1452" s="5" t="s">
        <v>14</v>
      </c>
      <c r="H1452" s="5">
        <v>15900</v>
      </c>
      <c r="I1452" s="5">
        <v>9</v>
      </c>
      <c r="J1452" s="9">
        <v>143100</v>
      </c>
    </row>
    <row r="1453" spans="1:10" x14ac:dyDescent="0.3">
      <c r="A1453" s="3" t="s">
        <v>1518</v>
      </c>
      <c r="B1453" s="4">
        <v>43564</v>
      </c>
      <c r="C1453" s="5">
        <v>9</v>
      </c>
      <c r="D1453" s="5" t="s">
        <v>27</v>
      </c>
      <c r="E1453" s="5" t="s">
        <v>44</v>
      </c>
      <c r="F1453" s="5" t="s">
        <v>15</v>
      </c>
      <c r="G1453" s="5" t="s">
        <v>10</v>
      </c>
      <c r="H1453" s="5">
        <v>39900</v>
      </c>
      <c r="I1453" s="5">
        <v>5</v>
      </c>
      <c r="J1453" s="9">
        <v>199500</v>
      </c>
    </row>
    <row r="1454" spans="1:10" x14ac:dyDescent="0.3">
      <c r="A1454" s="3" t="s">
        <v>1519</v>
      </c>
      <c r="B1454" s="4">
        <v>43564</v>
      </c>
      <c r="C1454" s="5">
        <v>9</v>
      </c>
      <c r="D1454" s="5" t="s">
        <v>27</v>
      </c>
      <c r="E1454" s="5" t="s">
        <v>41</v>
      </c>
      <c r="F1454" s="5" t="s">
        <v>15</v>
      </c>
      <c r="G1454" s="5" t="s">
        <v>12</v>
      </c>
      <c r="H1454" s="5">
        <v>6900</v>
      </c>
      <c r="I1454" s="5">
        <v>6</v>
      </c>
      <c r="J1454" s="9">
        <v>41400</v>
      </c>
    </row>
    <row r="1455" spans="1:10" x14ac:dyDescent="0.3">
      <c r="A1455" s="3" t="s">
        <v>1520</v>
      </c>
      <c r="B1455" s="4">
        <v>43564</v>
      </c>
      <c r="C1455" s="5">
        <v>7</v>
      </c>
      <c r="D1455" s="5" t="s">
        <v>25</v>
      </c>
      <c r="E1455" s="5" t="s">
        <v>44</v>
      </c>
      <c r="F1455" s="5" t="s">
        <v>15</v>
      </c>
      <c r="G1455" s="5" t="s">
        <v>13</v>
      </c>
      <c r="H1455" s="5">
        <v>28900</v>
      </c>
      <c r="I1455" s="5">
        <v>3</v>
      </c>
      <c r="J1455" s="9">
        <v>86700</v>
      </c>
    </row>
    <row r="1456" spans="1:10" x14ac:dyDescent="0.3">
      <c r="A1456" s="3" t="s">
        <v>1521</v>
      </c>
      <c r="B1456" s="4">
        <v>43564</v>
      </c>
      <c r="C1456" s="5">
        <v>5</v>
      </c>
      <c r="D1456" s="5" t="s">
        <v>23</v>
      </c>
      <c r="E1456" s="5" t="s">
        <v>40</v>
      </c>
      <c r="F1456" s="5" t="s">
        <v>18</v>
      </c>
      <c r="G1456" s="5" t="s">
        <v>14</v>
      </c>
      <c r="H1456" s="5">
        <v>15900</v>
      </c>
      <c r="I1456" s="5">
        <v>7</v>
      </c>
      <c r="J1456" s="9">
        <v>111300</v>
      </c>
    </row>
    <row r="1457" spans="1:10" x14ac:dyDescent="0.3">
      <c r="A1457" s="3" t="s">
        <v>1522</v>
      </c>
      <c r="B1457" s="4">
        <v>43564</v>
      </c>
      <c r="C1457" s="5">
        <v>17</v>
      </c>
      <c r="D1457" s="5" t="s">
        <v>35</v>
      </c>
      <c r="E1457" s="5" t="s">
        <v>42</v>
      </c>
      <c r="F1457" s="5" t="s">
        <v>17</v>
      </c>
      <c r="G1457" s="5" t="s">
        <v>11</v>
      </c>
      <c r="H1457" s="5">
        <v>19900</v>
      </c>
      <c r="I1457" s="5">
        <v>7</v>
      </c>
      <c r="J1457" s="9">
        <v>139300</v>
      </c>
    </row>
    <row r="1458" spans="1:10" x14ac:dyDescent="0.3">
      <c r="A1458" s="3" t="s">
        <v>1523</v>
      </c>
      <c r="B1458" s="4">
        <v>43564</v>
      </c>
      <c r="C1458" s="5">
        <v>17</v>
      </c>
      <c r="D1458" s="5" t="s">
        <v>35</v>
      </c>
      <c r="E1458" s="5" t="s">
        <v>43</v>
      </c>
      <c r="F1458" s="5" t="s">
        <v>17</v>
      </c>
      <c r="G1458" s="5" t="s">
        <v>12</v>
      </c>
      <c r="H1458" s="5">
        <v>6900</v>
      </c>
      <c r="I1458" s="5">
        <v>5</v>
      </c>
      <c r="J1458" s="9">
        <v>34500</v>
      </c>
    </row>
    <row r="1459" spans="1:10" x14ac:dyDescent="0.3">
      <c r="A1459" s="3" t="s">
        <v>1524</v>
      </c>
      <c r="B1459" s="4">
        <v>43565</v>
      </c>
      <c r="C1459" s="5">
        <v>15</v>
      </c>
      <c r="D1459" s="5" t="s">
        <v>33</v>
      </c>
      <c r="E1459" s="5" t="s">
        <v>39</v>
      </c>
      <c r="F1459" s="5" t="s">
        <v>16</v>
      </c>
      <c r="G1459" s="5" t="s">
        <v>12</v>
      </c>
      <c r="H1459" s="5">
        <v>6900</v>
      </c>
      <c r="I1459" s="5">
        <v>0</v>
      </c>
      <c r="J1459" s="9">
        <v>0</v>
      </c>
    </row>
    <row r="1460" spans="1:10" x14ac:dyDescent="0.3">
      <c r="A1460" s="3" t="s">
        <v>1525</v>
      </c>
      <c r="B1460" s="4">
        <v>43565</v>
      </c>
      <c r="C1460" s="5">
        <v>17</v>
      </c>
      <c r="D1460" s="5" t="s">
        <v>35</v>
      </c>
      <c r="E1460" s="5" t="s">
        <v>43</v>
      </c>
      <c r="F1460" s="5" t="s">
        <v>17</v>
      </c>
      <c r="G1460" s="5" t="s">
        <v>11</v>
      </c>
      <c r="H1460" s="5">
        <v>19900</v>
      </c>
      <c r="I1460" s="5">
        <v>5</v>
      </c>
      <c r="J1460" s="9">
        <v>99500</v>
      </c>
    </row>
    <row r="1461" spans="1:10" x14ac:dyDescent="0.3">
      <c r="A1461" s="3" t="s">
        <v>1526</v>
      </c>
      <c r="B1461" s="4">
        <v>43566</v>
      </c>
      <c r="C1461" s="5">
        <v>13</v>
      </c>
      <c r="D1461" s="5" t="s">
        <v>31</v>
      </c>
      <c r="E1461" s="5" t="s">
        <v>39</v>
      </c>
      <c r="F1461" s="5" t="s">
        <v>16</v>
      </c>
      <c r="G1461" s="5" t="s">
        <v>11</v>
      </c>
      <c r="H1461" s="5">
        <v>19900</v>
      </c>
      <c r="I1461" s="5">
        <v>9</v>
      </c>
      <c r="J1461" s="9">
        <v>179100</v>
      </c>
    </row>
    <row r="1462" spans="1:10" x14ac:dyDescent="0.3">
      <c r="A1462" s="3" t="s">
        <v>1527</v>
      </c>
      <c r="B1462" s="4">
        <v>43566</v>
      </c>
      <c r="C1462" s="5">
        <v>16</v>
      </c>
      <c r="D1462" s="5" t="s">
        <v>34</v>
      </c>
      <c r="E1462" s="5" t="s">
        <v>42</v>
      </c>
      <c r="F1462" s="5" t="s">
        <v>17</v>
      </c>
      <c r="G1462" s="5" t="s">
        <v>14</v>
      </c>
      <c r="H1462" s="5">
        <v>15900</v>
      </c>
      <c r="I1462" s="5">
        <v>8</v>
      </c>
      <c r="J1462" s="9">
        <v>127200</v>
      </c>
    </row>
    <row r="1463" spans="1:10" x14ac:dyDescent="0.3">
      <c r="A1463" s="3" t="s">
        <v>1528</v>
      </c>
      <c r="B1463" s="4">
        <v>43567</v>
      </c>
      <c r="C1463" s="5">
        <v>19</v>
      </c>
      <c r="D1463" s="5" t="s">
        <v>37</v>
      </c>
      <c r="E1463" s="5" t="s">
        <v>43</v>
      </c>
      <c r="F1463" s="5" t="s">
        <v>17</v>
      </c>
      <c r="G1463" s="5" t="s">
        <v>13</v>
      </c>
      <c r="H1463" s="5">
        <v>28900</v>
      </c>
      <c r="I1463" s="5">
        <v>3</v>
      </c>
      <c r="J1463" s="9">
        <v>86700</v>
      </c>
    </row>
    <row r="1464" spans="1:10" x14ac:dyDescent="0.3">
      <c r="A1464" s="3" t="s">
        <v>1529</v>
      </c>
      <c r="B1464" s="4">
        <v>43567</v>
      </c>
      <c r="C1464" s="5">
        <v>13</v>
      </c>
      <c r="D1464" s="5" t="s">
        <v>31</v>
      </c>
      <c r="E1464" s="5" t="s">
        <v>39</v>
      </c>
      <c r="F1464" s="5" t="s">
        <v>16</v>
      </c>
      <c r="G1464" s="5" t="s">
        <v>11</v>
      </c>
      <c r="H1464" s="5">
        <v>19900</v>
      </c>
      <c r="I1464" s="5">
        <v>3</v>
      </c>
      <c r="J1464" s="9">
        <v>59700</v>
      </c>
    </row>
    <row r="1465" spans="1:10" x14ac:dyDescent="0.3">
      <c r="A1465" s="3" t="s">
        <v>1530</v>
      </c>
      <c r="B1465" s="4">
        <v>43567</v>
      </c>
      <c r="C1465" s="5">
        <v>5</v>
      </c>
      <c r="D1465" s="5" t="s">
        <v>23</v>
      </c>
      <c r="E1465" s="5" t="s">
        <v>46</v>
      </c>
      <c r="F1465" s="5" t="s">
        <v>18</v>
      </c>
      <c r="G1465" s="5" t="s">
        <v>13</v>
      </c>
      <c r="H1465" s="5">
        <v>28900</v>
      </c>
      <c r="I1465" s="5">
        <v>5</v>
      </c>
      <c r="J1465" s="9">
        <v>144500</v>
      </c>
    </row>
    <row r="1466" spans="1:10" x14ac:dyDescent="0.3">
      <c r="A1466" s="3" t="s">
        <v>1531</v>
      </c>
      <c r="B1466" s="4">
        <v>43568</v>
      </c>
      <c r="C1466" s="5">
        <v>13</v>
      </c>
      <c r="D1466" s="5" t="s">
        <v>31</v>
      </c>
      <c r="E1466" s="5" t="s">
        <v>45</v>
      </c>
      <c r="F1466" s="5" t="s">
        <v>16</v>
      </c>
      <c r="G1466" s="5" t="s">
        <v>10</v>
      </c>
      <c r="H1466" s="5">
        <v>39900</v>
      </c>
      <c r="I1466" s="5">
        <v>0</v>
      </c>
      <c r="J1466" s="9">
        <v>0</v>
      </c>
    </row>
    <row r="1467" spans="1:10" x14ac:dyDescent="0.3">
      <c r="A1467" s="3" t="s">
        <v>1532</v>
      </c>
      <c r="B1467" s="4">
        <v>43569</v>
      </c>
      <c r="C1467" s="5">
        <v>9</v>
      </c>
      <c r="D1467" s="5" t="s">
        <v>27</v>
      </c>
      <c r="E1467" s="5" t="s">
        <v>41</v>
      </c>
      <c r="F1467" s="5" t="s">
        <v>15</v>
      </c>
      <c r="G1467" s="5" t="s">
        <v>10</v>
      </c>
      <c r="H1467" s="5">
        <v>39900</v>
      </c>
      <c r="I1467" s="5">
        <v>7</v>
      </c>
      <c r="J1467" s="9">
        <v>279300</v>
      </c>
    </row>
    <row r="1468" spans="1:10" x14ac:dyDescent="0.3">
      <c r="A1468" s="3" t="s">
        <v>1533</v>
      </c>
      <c r="B1468" s="4">
        <v>43570</v>
      </c>
      <c r="C1468" s="5">
        <v>3</v>
      </c>
      <c r="D1468" s="5" t="s">
        <v>21</v>
      </c>
      <c r="E1468" s="5" t="s">
        <v>46</v>
      </c>
      <c r="F1468" s="5" t="s">
        <v>18</v>
      </c>
      <c r="G1468" s="5" t="s">
        <v>11</v>
      </c>
      <c r="H1468" s="5">
        <v>19900</v>
      </c>
      <c r="I1468" s="5">
        <v>5</v>
      </c>
      <c r="J1468" s="9">
        <v>99500</v>
      </c>
    </row>
    <row r="1469" spans="1:10" x14ac:dyDescent="0.3">
      <c r="A1469" s="3" t="s">
        <v>1534</v>
      </c>
      <c r="B1469" s="4">
        <v>43570</v>
      </c>
      <c r="C1469" s="5">
        <v>6</v>
      </c>
      <c r="D1469" s="5" t="s">
        <v>24</v>
      </c>
      <c r="E1469" s="5" t="s">
        <v>41</v>
      </c>
      <c r="F1469" s="5" t="s">
        <v>15</v>
      </c>
      <c r="G1469" s="5" t="s">
        <v>10</v>
      </c>
      <c r="H1469" s="5">
        <v>39900</v>
      </c>
      <c r="I1469" s="5">
        <v>0</v>
      </c>
      <c r="J1469" s="9">
        <v>0</v>
      </c>
    </row>
    <row r="1470" spans="1:10" x14ac:dyDescent="0.3">
      <c r="A1470" s="3" t="s">
        <v>1535</v>
      </c>
      <c r="B1470" s="4">
        <v>43571</v>
      </c>
      <c r="C1470" s="5">
        <v>12</v>
      </c>
      <c r="D1470" s="5" t="s">
        <v>30</v>
      </c>
      <c r="E1470" s="5" t="s">
        <v>45</v>
      </c>
      <c r="F1470" s="5" t="s">
        <v>16</v>
      </c>
      <c r="G1470" s="5" t="s">
        <v>12</v>
      </c>
      <c r="H1470" s="5">
        <v>6900</v>
      </c>
      <c r="I1470" s="5">
        <v>2</v>
      </c>
      <c r="J1470" s="9">
        <v>13800</v>
      </c>
    </row>
    <row r="1471" spans="1:10" x14ac:dyDescent="0.3">
      <c r="A1471" s="3" t="s">
        <v>1536</v>
      </c>
      <c r="B1471" s="4">
        <v>43572</v>
      </c>
      <c r="C1471" s="5">
        <v>1</v>
      </c>
      <c r="D1471" s="5" t="s">
        <v>19</v>
      </c>
      <c r="E1471" s="5" t="s">
        <v>40</v>
      </c>
      <c r="F1471" s="5" t="s">
        <v>18</v>
      </c>
      <c r="G1471" s="5" t="s">
        <v>12</v>
      </c>
      <c r="H1471" s="5">
        <v>6900</v>
      </c>
      <c r="I1471" s="5">
        <v>0</v>
      </c>
      <c r="J1471" s="9">
        <v>0</v>
      </c>
    </row>
    <row r="1472" spans="1:10" x14ac:dyDescent="0.3">
      <c r="A1472" s="3" t="s">
        <v>1537</v>
      </c>
      <c r="B1472" s="4">
        <v>43573</v>
      </c>
      <c r="C1472" s="5">
        <v>5</v>
      </c>
      <c r="D1472" s="5" t="s">
        <v>23</v>
      </c>
      <c r="E1472" s="5" t="s">
        <v>46</v>
      </c>
      <c r="F1472" s="5" t="s">
        <v>18</v>
      </c>
      <c r="G1472" s="5" t="s">
        <v>10</v>
      </c>
      <c r="H1472" s="5">
        <v>39900</v>
      </c>
      <c r="I1472" s="5">
        <v>8</v>
      </c>
      <c r="J1472" s="9">
        <v>319200</v>
      </c>
    </row>
    <row r="1473" spans="1:10" x14ac:dyDescent="0.3">
      <c r="A1473" s="3" t="s">
        <v>1538</v>
      </c>
      <c r="B1473" s="4">
        <v>43573</v>
      </c>
      <c r="C1473" s="5">
        <v>19</v>
      </c>
      <c r="D1473" s="5" t="s">
        <v>37</v>
      </c>
      <c r="E1473" s="5" t="s">
        <v>43</v>
      </c>
      <c r="F1473" s="5" t="s">
        <v>17</v>
      </c>
      <c r="G1473" s="5" t="s">
        <v>12</v>
      </c>
      <c r="H1473" s="5">
        <v>6900</v>
      </c>
      <c r="I1473" s="5">
        <v>0</v>
      </c>
      <c r="J1473" s="9">
        <v>0</v>
      </c>
    </row>
    <row r="1474" spans="1:10" x14ac:dyDescent="0.3">
      <c r="A1474" s="3" t="s">
        <v>1539</v>
      </c>
      <c r="B1474" s="4">
        <v>43573</v>
      </c>
      <c r="C1474" s="5">
        <v>12</v>
      </c>
      <c r="D1474" s="5" t="s">
        <v>30</v>
      </c>
      <c r="E1474" s="5" t="s">
        <v>39</v>
      </c>
      <c r="F1474" s="5" t="s">
        <v>16</v>
      </c>
      <c r="G1474" s="5" t="s">
        <v>13</v>
      </c>
      <c r="H1474" s="5">
        <v>28900</v>
      </c>
      <c r="I1474" s="5">
        <v>5</v>
      </c>
      <c r="J1474" s="9">
        <v>144500</v>
      </c>
    </row>
    <row r="1475" spans="1:10" x14ac:dyDescent="0.3">
      <c r="A1475" s="3" t="s">
        <v>1540</v>
      </c>
      <c r="B1475" s="4">
        <v>43573</v>
      </c>
      <c r="C1475" s="5">
        <v>15</v>
      </c>
      <c r="D1475" s="5" t="s">
        <v>33</v>
      </c>
      <c r="E1475" s="5" t="s">
        <v>39</v>
      </c>
      <c r="F1475" s="5" t="s">
        <v>16</v>
      </c>
      <c r="G1475" s="5" t="s">
        <v>14</v>
      </c>
      <c r="H1475" s="5">
        <v>15900</v>
      </c>
      <c r="I1475" s="5">
        <v>8</v>
      </c>
      <c r="J1475" s="9">
        <v>127200</v>
      </c>
    </row>
    <row r="1476" spans="1:10" x14ac:dyDescent="0.3">
      <c r="A1476" s="3" t="s">
        <v>1541</v>
      </c>
      <c r="B1476" s="4">
        <v>43573</v>
      </c>
      <c r="C1476" s="5">
        <v>13</v>
      </c>
      <c r="D1476" s="5" t="s">
        <v>31</v>
      </c>
      <c r="E1476" s="5" t="s">
        <v>39</v>
      </c>
      <c r="F1476" s="5" t="s">
        <v>16</v>
      </c>
      <c r="G1476" s="5" t="s">
        <v>10</v>
      </c>
      <c r="H1476" s="5">
        <v>39900</v>
      </c>
      <c r="I1476" s="5">
        <v>5</v>
      </c>
      <c r="J1476" s="9">
        <v>199500</v>
      </c>
    </row>
    <row r="1477" spans="1:10" x14ac:dyDescent="0.3">
      <c r="A1477" s="3" t="s">
        <v>1542</v>
      </c>
      <c r="B1477" s="4">
        <v>43574</v>
      </c>
      <c r="C1477" s="5">
        <v>19</v>
      </c>
      <c r="D1477" s="5" t="s">
        <v>37</v>
      </c>
      <c r="E1477" s="5" t="s">
        <v>42</v>
      </c>
      <c r="F1477" s="5" t="s">
        <v>17</v>
      </c>
      <c r="G1477" s="5" t="s">
        <v>14</v>
      </c>
      <c r="H1477" s="5">
        <v>15900</v>
      </c>
      <c r="I1477" s="5">
        <v>9</v>
      </c>
      <c r="J1477" s="9">
        <v>143100</v>
      </c>
    </row>
    <row r="1478" spans="1:10" x14ac:dyDescent="0.3">
      <c r="A1478" s="3" t="s">
        <v>1543</v>
      </c>
      <c r="B1478" s="4">
        <v>43574</v>
      </c>
      <c r="C1478" s="5">
        <v>4</v>
      </c>
      <c r="D1478" s="5" t="s">
        <v>22</v>
      </c>
      <c r="E1478" s="5" t="s">
        <v>40</v>
      </c>
      <c r="F1478" s="5" t="s">
        <v>18</v>
      </c>
      <c r="G1478" s="5" t="s">
        <v>10</v>
      </c>
      <c r="H1478" s="5">
        <v>39900</v>
      </c>
      <c r="I1478" s="5">
        <v>7</v>
      </c>
      <c r="J1478" s="9">
        <v>279300</v>
      </c>
    </row>
    <row r="1479" spans="1:10" x14ac:dyDescent="0.3">
      <c r="A1479" s="3" t="s">
        <v>1544</v>
      </c>
      <c r="B1479" s="4">
        <v>43574</v>
      </c>
      <c r="C1479" s="5">
        <v>4</v>
      </c>
      <c r="D1479" s="5" t="s">
        <v>22</v>
      </c>
      <c r="E1479" s="5" t="s">
        <v>46</v>
      </c>
      <c r="F1479" s="5" t="s">
        <v>18</v>
      </c>
      <c r="G1479" s="5" t="s">
        <v>10</v>
      </c>
      <c r="H1479" s="5">
        <v>39900</v>
      </c>
      <c r="I1479" s="5">
        <v>9</v>
      </c>
      <c r="J1479" s="9">
        <v>359100</v>
      </c>
    </row>
    <row r="1480" spans="1:10" x14ac:dyDescent="0.3">
      <c r="A1480" s="3" t="s">
        <v>1545</v>
      </c>
      <c r="B1480" s="4">
        <v>43574</v>
      </c>
      <c r="C1480" s="5">
        <v>10</v>
      </c>
      <c r="D1480" s="5" t="s">
        <v>28</v>
      </c>
      <c r="E1480" s="5" t="s">
        <v>41</v>
      </c>
      <c r="F1480" s="5" t="s">
        <v>15</v>
      </c>
      <c r="G1480" s="5" t="s">
        <v>10</v>
      </c>
      <c r="H1480" s="5">
        <v>39900</v>
      </c>
      <c r="I1480" s="5">
        <v>4</v>
      </c>
      <c r="J1480" s="9">
        <v>159600</v>
      </c>
    </row>
    <row r="1481" spans="1:10" x14ac:dyDescent="0.3">
      <c r="A1481" s="3" t="s">
        <v>1546</v>
      </c>
      <c r="B1481" s="4">
        <v>43575</v>
      </c>
      <c r="C1481" s="5">
        <v>6</v>
      </c>
      <c r="D1481" s="5" t="s">
        <v>24</v>
      </c>
      <c r="E1481" s="5" t="s">
        <v>41</v>
      </c>
      <c r="F1481" s="5" t="s">
        <v>15</v>
      </c>
      <c r="G1481" s="5" t="s">
        <v>10</v>
      </c>
      <c r="H1481" s="5">
        <v>39900</v>
      </c>
      <c r="I1481" s="5">
        <v>6</v>
      </c>
      <c r="J1481" s="9">
        <v>239400</v>
      </c>
    </row>
    <row r="1482" spans="1:10" x14ac:dyDescent="0.3">
      <c r="A1482" s="3" t="s">
        <v>1547</v>
      </c>
      <c r="B1482" s="4">
        <v>43575</v>
      </c>
      <c r="C1482" s="5">
        <v>18</v>
      </c>
      <c r="D1482" s="5" t="s">
        <v>36</v>
      </c>
      <c r="E1482" s="5" t="s">
        <v>43</v>
      </c>
      <c r="F1482" s="5" t="s">
        <v>17</v>
      </c>
      <c r="G1482" s="5" t="s">
        <v>14</v>
      </c>
      <c r="H1482" s="5">
        <v>15900</v>
      </c>
      <c r="I1482" s="5">
        <v>8</v>
      </c>
      <c r="J1482" s="9">
        <v>127200</v>
      </c>
    </row>
    <row r="1483" spans="1:10" x14ac:dyDescent="0.3">
      <c r="A1483" s="3" t="s">
        <v>1548</v>
      </c>
      <c r="B1483" s="4">
        <v>43575</v>
      </c>
      <c r="C1483" s="5">
        <v>4</v>
      </c>
      <c r="D1483" s="5" t="s">
        <v>22</v>
      </c>
      <c r="E1483" s="5" t="s">
        <v>40</v>
      </c>
      <c r="F1483" s="5" t="s">
        <v>18</v>
      </c>
      <c r="G1483" s="5" t="s">
        <v>12</v>
      </c>
      <c r="H1483" s="5">
        <v>6900</v>
      </c>
      <c r="I1483" s="5">
        <v>0</v>
      </c>
      <c r="J1483" s="9">
        <v>0</v>
      </c>
    </row>
    <row r="1484" spans="1:10" x14ac:dyDescent="0.3">
      <c r="A1484" s="3" t="s">
        <v>1549</v>
      </c>
      <c r="B1484" s="4">
        <v>43575</v>
      </c>
      <c r="C1484" s="5">
        <v>20</v>
      </c>
      <c r="D1484" s="5" t="s">
        <v>38</v>
      </c>
      <c r="E1484" s="5" t="s">
        <v>43</v>
      </c>
      <c r="F1484" s="5" t="s">
        <v>17</v>
      </c>
      <c r="G1484" s="5" t="s">
        <v>10</v>
      </c>
      <c r="H1484" s="5">
        <v>39900</v>
      </c>
      <c r="I1484" s="5">
        <v>9</v>
      </c>
      <c r="J1484" s="9">
        <v>359100</v>
      </c>
    </row>
    <row r="1485" spans="1:10" x14ac:dyDescent="0.3">
      <c r="A1485" s="3" t="s">
        <v>1550</v>
      </c>
      <c r="B1485" s="4">
        <v>43576</v>
      </c>
      <c r="C1485" s="5">
        <v>18</v>
      </c>
      <c r="D1485" s="5" t="s">
        <v>36</v>
      </c>
      <c r="E1485" s="5" t="s">
        <v>43</v>
      </c>
      <c r="F1485" s="5" t="s">
        <v>17</v>
      </c>
      <c r="G1485" s="5" t="s">
        <v>12</v>
      </c>
      <c r="H1485" s="5">
        <v>6900</v>
      </c>
      <c r="I1485" s="5">
        <v>2</v>
      </c>
      <c r="J1485" s="9">
        <v>13800</v>
      </c>
    </row>
    <row r="1486" spans="1:10" x14ac:dyDescent="0.3">
      <c r="A1486" s="3" t="s">
        <v>1551</v>
      </c>
      <c r="B1486" s="4">
        <v>43576</v>
      </c>
      <c r="C1486" s="5">
        <v>6</v>
      </c>
      <c r="D1486" s="5" t="s">
        <v>24</v>
      </c>
      <c r="E1486" s="5" t="s">
        <v>44</v>
      </c>
      <c r="F1486" s="5" t="s">
        <v>15</v>
      </c>
      <c r="G1486" s="5" t="s">
        <v>13</v>
      </c>
      <c r="H1486" s="5">
        <v>28900</v>
      </c>
      <c r="I1486" s="5">
        <v>5</v>
      </c>
      <c r="J1486" s="9">
        <v>144500</v>
      </c>
    </row>
    <row r="1487" spans="1:10" x14ac:dyDescent="0.3">
      <c r="A1487" s="3" t="s">
        <v>1552</v>
      </c>
      <c r="B1487" s="4">
        <v>43577</v>
      </c>
      <c r="C1487" s="5">
        <v>1</v>
      </c>
      <c r="D1487" s="5" t="s">
        <v>19</v>
      </c>
      <c r="E1487" s="5" t="s">
        <v>46</v>
      </c>
      <c r="F1487" s="5" t="s">
        <v>18</v>
      </c>
      <c r="G1487" s="5" t="s">
        <v>12</v>
      </c>
      <c r="H1487" s="5">
        <v>6900</v>
      </c>
      <c r="I1487" s="5">
        <v>5</v>
      </c>
      <c r="J1487" s="9">
        <v>34500</v>
      </c>
    </row>
    <row r="1488" spans="1:10" x14ac:dyDescent="0.3">
      <c r="A1488" s="3" t="s">
        <v>1553</v>
      </c>
      <c r="B1488" s="4">
        <v>43577</v>
      </c>
      <c r="C1488" s="5">
        <v>11</v>
      </c>
      <c r="D1488" s="5" t="s">
        <v>29</v>
      </c>
      <c r="E1488" s="5" t="s">
        <v>45</v>
      </c>
      <c r="F1488" s="5" t="s">
        <v>16</v>
      </c>
      <c r="G1488" s="5" t="s">
        <v>14</v>
      </c>
      <c r="H1488" s="5">
        <v>15900</v>
      </c>
      <c r="I1488" s="5">
        <v>6</v>
      </c>
      <c r="J1488" s="9">
        <v>95400</v>
      </c>
    </row>
    <row r="1489" spans="1:10" x14ac:dyDescent="0.3">
      <c r="A1489" s="3" t="s">
        <v>1554</v>
      </c>
      <c r="B1489" s="4">
        <v>43578</v>
      </c>
      <c r="C1489" s="5">
        <v>12</v>
      </c>
      <c r="D1489" s="5" t="s">
        <v>30</v>
      </c>
      <c r="E1489" s="5" t="s">
        <v>45</v>
      </c>
      <c r="F1489" s="5" t="s">
        <v>16</v>
      </c>
      <c r="G1489" s="5" t="s">
        <v>11</v>
      </c>
      <c r="H1489" s="5">
        <v>19900</v>
      </c>
      <c r="I1489" s="5">
        <v>8</v>
      </c>
      <c r="J1489" s="9">
        <v>159200</v>
      </c>
    </row>
    <row r="1490" spans="1:10" x14ac:dyDescent="0.3">
      <c r="A1490" s="3" t="s">
        <v>1555</v>
      </c>
      <c r="B1490" s="4">
        <v>43578</v>
      </c>
      <c r="C1490" s="5">
        <v>6</v>
      </c>
      <c r="D1490" s="5" t="s">
        <v>24</v>
      </c>
      <c r="E1490" s="5" t="s">
        <v>44</v>
      </c>
      <c r="F1490" s="5" t="s">
        <v>15</v>
      </c>
      <c r="G1490" s="5" t="s">
        <v>12</v>
      </c>
      <c r="H1490" s="5">
        <v>6900</v>
      </c>
      <c r="I1490" s="5">
        <v>4</v>
      </c>
      <c r="J1490" s="9">
        <v>27600</v>
      </c>
    </row>
    <row r="1491" spans="1:10" x14ac:dyDescent="0.3">
      <c r="A1491" s="3" t="s">
        <v>1556</v>
      </c>
      <c r="B1491" s="4">
        <v>43578</v>
      </c>
      <c r="C1491" s="5">
        <v>19</v>
      </c>
      <c r="D1491" s="5" t="s">
        <v>37</v>
      </c>
      <c r="E1491" s="5" t="s">
        <v>42</v>
      </c>
      <c r="F1491" s="5" t="s">
        <v>17</v>
      </c>
      <c r="G1491" s="5" t="s">
        <v>10</v>
      </c>
      <c r="H1491" s="5">
        <v>39900</v>
      </c>
      <c r="I1491" s="5">
        <v>1</v>
      </c>
      <c r="J1491" s="9">
        <v>39900</v>
      </c>
    </row>
    <row r="1492" spans="1:10" x14ac:dyDescent="0.3">
      <c r="A1492" s="3" t="s">
        <v>1557</v>
      </c>
      <c r="B1492" s="4">
        <v>43578</v>
      </c>
      <c r="C1492" s="5">
        <v>5</v>
      </c>
      <c r="D1492" s="5" t="s">
        <v>23</v>
      </c>
      <c r="E1492" s="5" t="s">
        <v>40</v>
      </c>
      <c r="F1492" s="5" t="s">
        <v>18</v>
      </c>
      <c r="G1492" s="5" t="s">
        <v>10</v>
      </c>
      <c r="H1492" s="5">
        <v>39900</v>
      </c>
      <c r="I1492" s="5">
        <v>8</v>
      </c>
      <c r="J1492" s="9">
        <v>319200</v>
      </c>
    </row>
    <row r="1493" spans="1:10" x14ac:dyDescent="0.3">
      <c r="A1493" s="3" t="s">
        <v>1558</v>
      </c>
      <c r="B1493" s="4">
        <v>43578</v>
      </c>
      <c r="C1493" s="5">
        <v>11</v>
      </c>
      <c r="D1493" s="5" t="s">
        <v>29</v>
      </c>
      <c r="E1493" s="5" t="s">
        <v>45</v>
      </c>
      <c r="F1493" s="5" t="s">
        <v>16</v>
      </c>
      <c r="G1493" s="5" t="s">
        <v>10</v>
      </c>
      <c r="H1493" s="5">
        <v>39900</v>
      </c>
      <c r="I1493" s="5">
        <v>6</v>
      </c>
      <c r="J1493" s="9">
        <v>239400</v>
      </c>
    </row>
    <row r="1494" spans="1:10" x14ac:dyDescent="0.3">
      <c r="A1494" s="3" t="s">
        <v>1559</v>
      </c>
      <c r="B1494" s="4">
        <v>43578</v>
      </c>
      <c r="C1494" s="5">
        <v>8</v>
      </c>
      <c r="D1494" s="5" t="s">
        <v>26</v>
      </c>
      <c r="E1494" s="5" t="s">
        <v>44</v>
      </c>
      <c r="F1494" s="5" t="s">
        <v>15</v>
      </c>
      <c r="G1494" s="5" t="s">
        <v>10</v>
      </c>
      <c r="H1494" s="5">
        <v>39900</v>
      </c>
      <c r="I1494" s="5">
        <v>2</v>
      </c>
      <c r="J1494" s="9">
        <v>79800</v>
      </c>
    </row>
    <row r="1495" spans="1:10" x14ac:dyDescent="0.3">
      <c r="A1495" s="3" t="s">
        <v>1560</v>
      </c>
      <c r="B1495" s="4">
        <v>43579</v>
      </c>
      <c r="C1495" s="5">
        <v>3</v>
      </c>
      <c r="D1495" s="5" t="s">
        <v>21</v>
      </c>
      <c r="E1495" s="5" t="s">
        <v>46</v>
      </c>
      <c r="F1495" s="5" t="s">
        <v>18</v>
      </c>
      <c r="G1495" s="5" t="s">
        <v>13</v>
      </c>
      <c r="H1495" s="5">
        <v>28900</v>
      </c>
      <c r="I1495" s="5">
        <v>6</v>
      </c>
      <c r="J1495" s="9">
        <v>173400</v>
      </c>
    </row>
    <row r="1496" spans="1:10" x14ac:dyDescent="0.3">
      <c r="A1496" s="3" t="s">
        <v>1561</v>
      </c>
      <c r="B1496" s="4">
        <v>43580</v>
      </c>
      <c r="C1496" s="5">
        <v>7</v>
      </c>
      <c r="D1496" s="5" t="s">
        <v>25</v>
      </c>
      <c r="E1496" s="5" t="s">
        <v>44</v>
      </c>
      <c r="F1496" s="5" t="s">
        <v>15</v>
      </c>
      <c r="G1496" s="5" t="s">
        <v>14</v>
      </c>
      <c r="H1496" s="5">
        <v>15900</v>
      </c>
      <c r="I1496" s="5">
        <v>5</v>
      </c>
      <c r="J1496" s="9">
        <v>79500</v>
      </c>
    </row>
    <row r="1497" spans="1:10" x14ac:dyDescent="0.3">
      <c r="A1497" s="3" t="s">
        <v>1562</v>
      </c>
      <c r="B1497" s="4">
        <v>43580</v>
      </c>
      <c r="C1497" s="5">
        <v>10</v>
      </c>
      <c r="D1497" s="5" t="s">
        <v>28</v>
      </c>
      <c r="E1497" s="5" t="s">
        <v>41</v>
      </c>
      <c r="F1497" s="5" t="s">
        <v>15</v>
      </c>
      <c r="G1497" s="5" t="s">
        <v>10</v>
      </c>
      <c r="H1497" s="5">
        <v>39900</v>
      </c>
      <c r="I1497" s="5">
        <v>5</v>
      </c>
      <c r="J1497" s="9">
        <v>199500</v>
      </c>
    </row>
    <row r="1498" spans="1:10" x14ac:dyDescent="0.3">
      <c r="A1498" s="3" t="s">
        <v>1563</v>
      </c>
      <c r="B1498" s="4">
        <v>43581</v>
      </c>
      <c r="C1498" s="5">
        <v>13</v>
      </c>
      <c r="D1498" s="5" t="s">
        <v>31</v>
      </c>
      <c r="E1498" s="5" t="s">
        <v>45</v>
      </c>
      <c r="F1498" s="5" t="s">
        <v>16</v>
      </c>
      <c r="G1498" s="5" t="s">
        <v>11</v>
      </c>
      <c r="H1498" s="5">
        <v>19900</v>
      </c>
      <c r="I1498" s="5">
        <v>5</v>
      </c>
      <c r="J1498" s="9">
        <v>99500</v>
      </c>
    </row>
    <row r="1499" spans="1:10" x14ac:dyDescent="0.3">
      <c r="A1499" s="3" t="s">
        <v>1564</v>
      </c>
      <c r="B1499" s="4">
        <v>43581</v>
      </c>
      <c r="C1499" s="5">
        <v>1</v>
      </c>
      <c r="D1499" s="5" t="s">
        <v>19</v>
      </c>
      <c r="E1499" s="5" t="s">
        <v>46</v>
      </c>
      <c r="F1499" s="5" t="s">
        <v>18</v>
      </c>
      <c r="G1499" s="5" t="s">
        <v>13</v>
      </c>
      <c r="H1499" s="5">
        <v>28900</v>
      </c>
      <c r="I1499" s="5">
        <v>4</v>
      </c>
      <c r="J1499" s="9">
        <v>115600</v>
      </c>
    </row>
    <row r="1500" spans="1:10" x14ac:dyDescent="0.3">
      <c r="A1500" s="3" t="s">
        <v>1565</v>
      </c>
      <c r="B1500" s="4">
        <v>43582</v>
      </c>
      <c r="C1500" s="5">
        <v>18</v>
      </c>
      <c r="D1500" s="5" t="s">
        <v>36</v>
      </c>
      <c r="E1500" s="5" t="s">
        <v>43</v>
      </c>
      <c r="F1500" s="5" t="s">
        <v>17</v>
      </c>
      <c r="G1500" s="5" t="s">
        <v>14</v>
      </c>
      <c r="H1500" s="5">
        <v>15900</v>
      </c>
      <c r="I1500" s="5">
        <v>1</v>
      </c>
      <c r="J1500" s="9">
        <v>15900</v>
      </c>
    </row>
    <row r="1501" spans="1:10" x14ac:dyDescent="0.3">
      <c r="A1501" s="3" t="s">
        <v>1566</v>
      </c>
      <c r="B1501" s="4">
        <v>43582</v>
      </c>
      <c r="C1501" s="5">
        <v>18</v>
      </c>
      <c r="D1501" s="5" t="s">
        <v>36</v>
      </c>
      <c r="E1501" s="5" t="s">
        <v>43</v>
      </c>
      <c r="F1501" s="5" t="s">
        <v>17</v>
      </c>
      <c r="G1501" s="5" t="s">
        <v>13</v>
      </c>
      <c r="H1501" s="5">
        <v>28900</v>
      </c>
      <c r="I1501" s="5">
        <v>8</v>
      </c>
      <c r="J1501" s="9">
        <v>231200</v>
      </c>
    </row>
    <row r="1502" spans="1:10" x14ac:dyDescent="0.3">
      <c r="A1502" s="3" t="s">
        <v>1567</v>
      </c>
      <c r="B1502" s="4">
        <v>43583</v>
      </c>
      <c r="C1502" s="5">
        <v>8</v>
      </c>
      <c r="D1502" s="5" t="s">
        <v>26</v>
      </c>
      <c r="E1502" s="5" t="s">
        <v>41</v>
      </c>
      <c r="F1502" s="5" t="s">
        <v>15</v>
      </c>
      <c r="G1502" s="5" t="s">
        <v>12</v>
      </c>
      <c r="H1502" s="5">
        <v>6900</v>
      </c>
      <c r="I1502" s="5">
        <v>8</v>
      </c>
      <c r="J1502" s="9">
        <v>55200</v>
      </c>
    </row>
    <row r="1503" spans="1:10" x14ac:dyDescent="0.3">
      <c r="A1503" s="3" t="s">
        <v>1568</v>
      </c>
      <c r="B1503" s="4">
        <v>43584</v>
      </c>
      <c r="C1503" s="5">
        <v>7</v>
      </c>
      <c r="D1503" s="5" t="s">
        <v>25</v>
      </c>
      <c r="E1503" s="5" t="s">
        <v>41</v>
      </c>
      <c r="F1503" s="5" t="s">
        <v>15</v>
      </c>
      <c r="G1503" s="5" t="s">
        <v>14</v>
      </c>
      <c r="H1503" s="5">
        <v>15900</v>
      </c>
      <c r="I1503" s="5">
        <v>7</v>
      </c>
      <c r="J1503" s="9">
        <v>111300</v>
      </c>
    </row>
    <row r="1504" spans="1:10" x14ac:dyDescent="0.3">
      <c r="A1504" s="3" t="s">
        <v>1569</v>
      </c>
      <c r="B1504" s="4">
        <v>43585</v>
      </c>
      <c r="C1504" s="5">
        <v>6</v>
      </c>
      <c r="D1504" s="5" t="s">
        <v>24</v>
      </c>
      <c r="E1504" s="5" t="s">
        <v>44</v>
      </c>
      <c r="F1504" s="5" t="s">
        <v>15</v>
      </c>
      <c r="G1504" s="5" t="s">
        <v>13</v>
      </c>
      <c r="H1504" s="5">
        <v>28900</v>
      </c>
      <c r="I1504" s="5">
        <v>7</v>
      </c>
      <c r="J1504" s="9">
        <v>202300</v>
      </c>
    </row>
    <row r="1505" spans="1:10" x14ac:dyDescent="0.3">
      <c r="A1505" s="3" t="s">
        <v>1570</v>
      </c>
      <c r="B1505" s="4">
        <v>43585</v>
      </c>
      <c r="C1505" s="5">
        <v>11</v>
      </c>
      <c r="D1505" s="5" t="s">
        <v>29</v>
      </c>
      <c r="E1505" s="5" t="s">
        <v>39</v>
      </c>
      <c r="F1505" s="5" t="s">
        <v>16</v>
      </c>
      <c r="G1505" s="5" t="s">
        <v>10</v>
      </c>
      <c r="H1505" s="5">
        <v>39900</v>
      </c>
      <c r="I1505" s="5">
        <v>5</v>
      </c>
      <c r="J1505" s="9">
        <v>199500</v>
      </c>
    </row>
    <row r="1506" spans="1:10" x14ac:dyDescent="0.3">
      <c r="A1506" s="3" t="s">
        <v>1571</v>
      </c>
      <c r="B1506" s="4">
        <v>43585</v>
      </c>
      <c r="C1506" s="5">
        <v>9</v>
      </c>
      <c r="D1506" s="5" t="s">
        <v>27</v>
      </c>
      <c r="E1506" s="5" t="s">
        <v>41</v>
      </c>
      <c r="F1506" s="5" t="s">
        <v>15</v>
      </c>
      <c r="G1506" s="5" t="s">
        <v>13</v>
      </c>
      <c r="H1506" s="5">
        <v>28900</v>
      </c>
      <c r="I1506" s="5">
        <v>6</v>
      </c>
      <c r="J1506" s="9">
        <v>173400</v>
      </c>
    </row>
    <row r="1507" spans="1:10" x14ac:dyDescent="0.3">
      <c r="A1507" s="3" t="s">
        <v>1572</v>
      </c>
      <c r="B1507" s="4">
        <v>43585</v>
      </c>
      <c r="C1507" s="5">
        <v>20</v>
      </c>
      <c r="D1507" s="5" t="s">
        <v>38</v>
      </c>
      <c r="E1507" s="5" t="s">
        <v>42</v>
      </c>
      <c r="F1507" s="5" t="s">
        <v>17</v>
      </c>
      <c r="G1507" s="5" t="s">
        <v>12</v>
      </c>
      <c r="H1507" s="5">
        <v>6900</v>
      </c>
      <c r="I1507" s="5">
        <v>4</v>
      </c>
      <c r="J1507" s="9">
        <v>27600</v>
      </c>
    </row>
    <row r="1508" spans="1:10" x14ac:dyDescent="0.3">
      <c r="A1508" s="3" t="s">
        <v>1573</v>
      </c>
      <c r="B1508" s="4">
        <v>43586</v>
      </c>
      <c r="C1508" s="5">
        <v>1</v>
      </c>
      <c r="D1508" s="5" t="s">
        <v>19</v>
      </c>
      <c r="E1508" s="5" t="s">
        <v>46</v>
      </c>
      <c r="F1508" s="5" t="s">
        <v>18</v>
      </c>
      <c r="G1508" s="5" t="s">
        <v>13</v>
      </c>
      <c r="H1508" s="5">
        <v>28900</v>
      </c>
      <c r="I1508" s="5">
        <v>6</v>
      </c>
      <c r="J1508" s="9">
        <v>173400</v>
      </c>
    </row>
    <row r="1509" spans="1:10" x14ac:dyDescent="0.3">
      <c r="A1509" s="3" t="s">
        <v>1574</v>
      </c>
      <c r="B1509" s="4">
        <v>43586</v>
      </c>
      <c r="C1509" s="5">
        <v>2</v>
      </c>
      <c r="D1509" s="5" t="s">
        <v>20</v>
      </c>
      <c r="E1509" s="5" t="s">
        <v>40</v>
      </c>
      <c r="F1509" s="5" t="s">
        <v>18</v>
      </c>
      <c r="G1509" s="5" t="s">
        <v>11</v>
      </c>
      <c r="H1509" s="5">
        <v>19900</v>
      </c>
      <c r="I1509" s="5">
        <v>4</v>
      </c>
      <c r="J1509" s="9">
        <v>79600</v>
      </c>
    </row>
    <row r="1510" spans="1:10" x14ac:dyDescent="0.3">
      <c r="A1510" s="3" t="s">
        <v>1575</v>
      </c>
      <c r="B1510" s="4">
        <v>43587</v>
      </c>
      <c r="C1510" s="5">
        <v>17</v>
      </c>
      <c r="D1510" s="5" t="s">
        <v>35</v>
      </c>
      <c r="E1510" s="5" t="s">
        <v>42</v>
      </c>
      <c r="F1510" s="5" t="s">
        <v>17</v>
      </c>
      <c r="G1510" s="5" t="s">
        <v>13</v>
      </c>
      <c r="H1510" s="5">
        <v>28900</v>
      </c>
      <c r="I1510" s="5">
        <v>7</v>
      </c>
      <c r="J1510" s="9">
        <v>202300</v>
      </c>
    </row>
    <row r="1511" spans="1:10" x14ac:dyDescent="0.3">
      <c r="A1511" s="3" t="s">
        <v>1576</v>
      </c>
      <c r="B1511" s="4">
        <v>43587</v>
      </c>
      <c r="C1511" s="5">
        <v>1</v>
      </c>
      <c r="D1511" s="5" t="s">
        <v>19</v>
      </c>
      <c r="E1511" s="5" t="s">
        <v>40</v>
      </c>
      <c r="F1511" s="5" t="s">
        <v>18</v>
      </c>
      <c r="G1511" s="5" t="s">
        <v>12</v>
      </c>
      <c r="H1511" s="5">
        <v>6900</v>
      </c>
      <c r="I1511" s="5">
        <v>9</v>
      </c>
      <c r="J1511" s="9">
        <v>62100</v>
      </c>
    </row>
    <row r="1512" spans="1:10" x14ac:dyDescent="0.3">
      <c r="A1512" s="3" t="s">
        <v>1577</v>
      </c>
      <c r="B1512" s="4">
        <v>43588</v>
      </c>
      <c r="C1512" s="5">
        <v>16</v>
      </c>
      <c r="D1512" s="5" t="s">
        <v>34</v>
      </c>
      <c r="E1512" s="5" t="s">
        <v>43</v>
      </c>
      <c r="F1512" s="5" t="s">
        <v>17</v>
      </c>
      <c r="G1512" s="5" t="s">
        <v>10</v>
      </c>
      <c r="H1512" s="5">
        <v>39900</v>
      </c>
      <c r="I1512" s="5">
        <v>3</v>
      </c>
      <c r="J1512" s="9">
        <v>119700</v>
      </c>
    </row>
    <row r="1513" spans="1:10" x14ac:dyDescent="0.3">
      <c r="A1513" s="3" t="s">
        <v>1578</v>
      </c>
      <c r="B1513" s="4">
        <v>43588</v>
      </c>
      <c r="C1513" s="5">
        <v>12</v>
      </c>
      <c r="D1513" s="5" t="s">
        <v>30</v>
      </c>
      <c r="E1513" s="5" t="s">
        <v>45</v>
      </c>
      <c r="F1513" s="5" t="s">
        <v>16</v>
      </c>
      <c r="G1513" s="5" t="s">
        <v>13</v>
      </c>
      <c r="H1513" s="5">
        <v>28900</v>
      </c>
      <c r="I1513" s="5">
        <v>1</v>
      </c>
      <c r="J1513" s="9">
        <v>28900</v>
      </c>
    </row>
    <row r="1514" spans="1:10" x14ac:dyDescent="0.3">
      <c r="A1514" s="3" t="s">
        <v>1579</v>
      </c>
      <c r="B1514" s="4">
        <v>43588</v>
      </c>
      <c r="C1514" s="5">
        <v>4</v>
      </c>
      <c r="D1514" s="5" t="s">
        <v>22</v>
      </c>
      <c r="E1514" s="5" t="s">
        <v>40</v>
      </c>
      <c r="F1514" s="5" t="s">
        <v>18</v>
      </c>
      <c r="G1514" s="5" t="s">
        <v>14</v>
      </c>
      <c r="H1514" s="5">
        <v>15900</v>
      </c>
      <c r="I1514" s="5">
        <v>3</v>
      </c>
      <c r="J1514" s="9">
        <v>47700</v>
      </c>
    </row>
    <row r="1515" spans="1:10" x14ac:dyDescent="0.3">
      <c r="A1515" s="3" t="s">
        <v>1580</v>
      </c>
      <c r="B1515" s="4">
        <v>43588</v>
      </c>
      <c r="C1515" s="5">
        <v>11</v>
      </c>
      <c r="D1515" s="5" t="s">
        <v>29</v>
      </c>
      <c r="E1515" s="5" t="s">
        <v>39</v>
      </c>
      <c r="F1515" s="5" t="s">
        <v>16</v>
      </c>
      <c r="G1515" s="5" t="s">
        <v>11</v>
      </c>
      <c r="H1515" s="5">
        <v>19900</v>
      </c>
      <c r="I1515" s="5">
        <v>2</v>
      </c>
      <c r="J1515" s="9">
        <v>39800</v>
      </c>
    </row>
    <row r="1516" spans="1:10" x14ac:dyDescent="0.3">
      <c r="A1516" s="3" t="s">
        <v>1581</v>
      </c>
      <c r="B1516" s="4">
        <v>43588</v>
      </c>
      <c r="C1516" s="5">
        <v>18</v>
      </c>
      <c r="D1516" s="5" t="s">
        <v>36</v>
      </c>
      <c r="E1516" s="5" t="s">
        <v>42</v>
      </c>
      <c r="F1516" s="5" t="s">
        <v>17</v>
      </c>
      <c r="G1516" s="5" t="s">
        <v>10</v>
      </c>
      <c r="H1516" s="5">
        <v>39900</v>
      </c>
      <c r="I1516" s="5">
        <v>6</v>
      </c>
      <c r="J1516" s="9">
        <v>239400</v>
      </c>
    </row>
    <row r="1517" spans="1:10" x14ac:dyDescent="0.3">
      <c r="A1517" s="3" t="s">
        <v>1582</v>
      </c>
      <c r="B1517" s="4">
        <v>43588</v>
      </c>
      <c r="C1517" s="5">
        <v>1</v>
      </c>
      <c r="D1517" s="5" t="s">
        <v>19</v>
      </c>
      <c r="E1517" s="5" t="s">
        <v>40</v>
      </c>
      <c r="F1517" s="5" t="s">
        <v>18</v>
      </c>
      <c r="G1517" s="5" t="s">
        <v>14</v>
      </c>
      <c r="H1517" s="5">
        <v>15900</v>
      </c>
      <c r="I1517" s="5">
        <v>0</v>
      </c>
      <c r="J1517" s="9">
        <v>0</v>
      </c>
    </row>
    <row r="1518" spans="1:10" x14ac:dyDescent="0.3">
      <c r="A1518" s="3" t="s">
        <v>1583</v>
      </c>
      <c r="B1518" s="4">
        <v>43588</v>
      </c>
      <c r="C1518" s="5">
        <v>17</v>
      </c>
      <c r="D1518" s="5" t="s">
        <v>35</v>
      </c>
      <c r="E1518" s="5" t="s">
        <v>43</v>
      </c>
      <c r="F1518" s="5" t="s">
        <v>17</v>
      </c>
      <c r="G1518" s="5" t="s">
        <v>12</v>
      </c>
      <c r="H1518" s="5">
        <v>6900</v>
      </c>
      <c r="I1518" s="5">
        <v>5</v>
      </c>
      <c r="J1518" s="9">
        <v>34500</v>
      </c>
    </row>
    <row r="1519" spans="1:10" x14ac:dyDescent="0.3">
      <c r="A1519" s="3" t="s">
        <v>1584</v>
      </c>
      <c r="B1519" s="4">
        <v>43588</v>
      </c>
      <c r="C1519" s="5">
        <v>3</v>
      </c>
      <c r="D1519" s="5" t="s">
        <v>21</v>
      </c>
      <c r="E1519" s="5" t="s">
        <v>40</v>
      </c>
      <c r="F1519" s="5" t="s">
        <v>18</v>
      </c>
      <c r="G1519" s="5" t="s">
        <v>12</v>
      </c>
      <c r="H1519" s="5">
        <v>6900</v>
      </c>
      <c r="I1519" s="5">
        <v>8</v>
      </c>
      <c r="J1519" s="9">
        <v>55200</v>
      </c>
    </row>
    <row r="1520" spans="1:10" x14ac:dyDescent="0.3">
      <c r="A1520" s="3" t="s">
        <v>1585</v>
      </c>
      <c r="B1520" s="4">
        <v>43589</v>
      </c>
      <c r="C1520" s="5">
        <v>14</v>
      </c>
      <c r="D1520" s="5" t="s">
        <v>32</v>
      </c>
      <c r="E1520" s="5" t="s">
        <v>45</v>
      </c>
      <c r="F1520" s="5" t="s">
        <v>16</v>
      </c>
      <c r="G1520" s="5" t="s">
        <v>12</v>
      </c>
      <c r="H1520" s="5">
        <v>6900</v>
      </c>
      <c r="I1520" s="5">
        <v>9</v>
      </c>
      <c r="J1520" s="9">
        <v>62100</v>
      </c>
    </row>
    <row r="1521" spans="1:10" x14ac:dyDescent="0.3">
      <c r="A1521" s="3" t="s">
        <v>1586</v>
      </c>
      <c r="B1521" s="4">
        <v>43590</v>
      </c>
      <c r="C1521" s="5">
        <v>12</v>
      </c>
      <c r="D1521" s="5" t="s">
        <v>30</v>
      </c>
      <c r="E1521" s="5" t="s">
        <v>45</v>
      </c>
      <c r="F1521" s="5" t="s">
        <v>16</v>
      </c>
      <c r="G1521" s="5" t="s">
        <v>14</v>
      </c>
      <c r="H1521" s="5">
        <v>15900</v>
      </c>
      <c r="I1521" s="5">
        <v>4</v>
      </c>
      <c r="J1521" s="9">
        <v>63600</v>
      </c>
    </row>
    <row r="1522" spans="1:10" x14ac:dyDescent="0.3">
      <c r="A1522" s="3" t="s">
        <v>1587</v>
      </c>
      <c r="B1522" s="4">
        <v>43590</v>
      </c>
      <c r="C1522" s="5">
        <v>19</v>
      </c>
      <c r="D1522" s="5" t="s">
        <v>37</v>
      </c>
      <c r="E1522" s="5" t="s">
        <v>42</v>
      </c>
      <c r="F1522" s="5" t="s">
        <v>17</v>
      </c>
      <c r="G1522" s="5" t="s">
        <v>10</v>
      </c>
      <c r="H1522" s="5">
        <v>39900</v>
      </c>
      <c r="I1522" s="5">
        <v>5</v>
      </c>
      <c r="J1522" s="9">
        <v>199500</v>
      </c>
    </row>
    <row r="1523" spans="1:10" x14ac:dyDescent="0.3">
      <c r="A1523" s="3" t="s">
        <v>1588</v>
      </c>
      <c r="B1523" s="4">
        <v>43591</v>
      </c>
      <c r="C1523" s="5">
        <v>15</v>
      </c>
      <c r="D1523" s="5" t="s">
        <v>33</v>
      </c>
      <c r="E1523" s="5" t="s">
        <v>45</v>
      </c>
      <c r="F1523" s="5" t="s">
        <v>16</v>
      </c>
      <c r="G1523" s="5" t="s">
        <v>12</v>
      </c>
      <c r="H1523" s="5">
        <v>6900</v>
      </c>
      <c r="I1523" s="5">
        <v>9</v>
      </c>
      <c r="J1523" s="9">
        <v>62100</v>
      </c>
    </row>
    <row r="1524" spans="1:10" x14ac:dyDescent="0.3">
      <c r="A1524" s="3" t="s">
        <v>1589</v>
      </c>
      <c r="B1524" s="4">
        <v>43592</v>
      </c>
      <c r="C1524" s="5">
        <v>11</v>
      </c>
      <c r="D1524" s="5" t="s">
        <v>29</v>
      </c>
      <c r="E1524" s="5" t="s">
        <v>39</v>
      </c>
      <c r="F1524" s="5" t="s">
        <v>16</v>
      </c>
      <c r="G1524" s="5" t="s">
        <v>14</v>
      </c>
      <c r="H1524" s="5">
        <v>15900</v>
      </c>
      <c r="I1524" s="5">
        <v>3</v>
      </c>
      <c r="J1524" s="9">
        <v>47700</v>
      </c>
    </row>
    <row r="1525" spans="1:10" x14ac:dyDescent="0.3">
      <c r="A1525" s="3" t="s">
        <v>1590</v>
      </c>
      <c r="B1525" s="4">
        <v>43592</v>
      </c>
      <c r="C1525" s="5">
        <v>14</v>
      </c>
      <c r="D1525" s="5" t="s">
        <v>32</v>
      </c>
      <c r="E1525" s="5" t="s">
        <v>45</v>
      </c>
      <c r="F1525" s="5" t="s">
        <v>16</v>
      </c>
      <c r="G1525" s="5" t="s">
        <v>14</v>
      </c>
      <c r="H1525" s="5">
        <v>15900</v>
      </c>
      <c r="I1525" s="5">
        <v>1</v>
      </c>
      <c r="J1525" s="9">
        <v>15900</v>
      </c>
    </row>
    <row r="1526" spans="1:10" x14ac:dyDescent="0.3">
      <c r="A1526" s="3" t="s">
        <v>1591</v>
      </c>
      <c r="B1526" s="4">
        <v>43592</v>
      </c>
      <c r="C1526" s="5">
        <v>3</v>
      </c>
      <c r="D1526" s="5" t="s">
        <v>21</v>
      </c>
      <c r="E1526" s="5" t="s">
        <v>46</v>
      </c>
      <c r="F1526" s="5" t="s">
        <v>18</v>
      </c>
      <c r="G1526" s="5" t="s">
        <v>12</v>
      </c>
      <c r="H1526" s="5">
        <v>6900</v>
      </c>
      <c r="I1526" s="5">
        <v>6</v>
      </c>
      <c r="J1526" s="9">
        <v>41400</v>
      </c>
    </row>
    <row r="1527" spans="1:10" x14ac:dyDescent="0.3">
      <c r="A1527" s="3" t="s">
        <v>1592</v>
      </c>
      <c r="B1527" s="4">
        <v>43592</v>
      </c>
      <c r="C1527" s="5">
        <v>4</v>
      </c>
      <c r="D1527" s="5" t="s">
        <v>22</v>
      </c>
      <c r="E1527" s="5" t="s">
        <v>46</v>
      </c>
      <c r="F1527" s="5" t="s">
        <v>18</v>
      </c>
      <c r="G1527" s="5" t="s">
        <v>13</v>
      </c>
      <c r="H1527" s="5">
        <v>28900</v>
      </c>
      <c r="I1527" s="5">
        <v>5</v>
      </c>
      <c r="J1527" s="9">
        <v>144500</v>
      </c>
    </row>
    <row r="1528" spans="1:10" x14ac:dyDescent="0.3">
      <c r="A1528" s="3" t="s">
        <v>1593</v>
      </c>
      <c r="B1528" s="4">
        <v>43592</v>
      </c>
      <c r="C1528" s="5">
        <v>16</v>
      </c>
      <c r="D1528" s="5" t="s">
        <v>34</v>
      </c>
      <c r="E1528" s="5" t="s">
        <v>42</v>
      </c>
      <c r="F1528" s="5" t="s">
        <v>17</v>
      </c>
      <c r="G1528" s="5" t="s">
        <v>14</v>
      </c>
      <c r="H1528" s="5">
        <v>15900</v>
      </c>
      <c r="I1528" s="5">
        <v>7</v>
      </c>
      <c r="J1528" s="9">
        <v>111300</v>
      </c>
    </row>
    <row r="1529" spans="1:10" x14ac:dyDescent="0.3">
      <c r="A1529" s="3" t="s">
        <v>1594</v>
      </c>
      <c r="B1529" s="4">
        <v>43592</v>
      </c>
      <c r="C1529" s="5">
        <v>13</v>
      </c>
      <c r="D1529" s="5" t="s">
        <v>31</v>
      </c>
      <c r="E1529" s="5" t="s">
        <v>45</v>
      </c>
      <c r="F1529" s="5" t="s">
        <v>16</v>
      </c>
      <c r="G1529" s="5" t="s">
        <v>14</v>
      </c>
      <c r="H1529" s="5">
        <v>15900</v>
      </c>
      <c r="I1529" s="5">
        <v>3</v>
      </c>
      <c r="J1529" s="9">
        <v>47700</v>
      </c>
    </row>
    <row r="1530" spans="1:10" x14ac:dyDescent="0.3">
      <c r="A1530" s="3" t="s">
        <v>1595</v>
      </c>
      <c r="B1530" s="4">
        <v>43592</v>
      </c>
      <c r="C1530" s="5">
        <v>18</v>
      </c>
      <c r="D1530" s="5" t="s">
        <v>36</v>
      </c>
      <c r="E1530" s="5" t="s">
        <v>43</v>
      </c>
      <c r="F1530" s="5" t="s">
        <v>17</v>
      </c>
      <c r="G1530" s="5" t="s">
        <v>11</v>
      </c>
      <c r="H1530" s="5">
        <v>19900</v>
      </c>
      <c r="I1530" s="5">
        <v>1</v>
      </c>
      <c r="J1530" s="9">
        <v>19900</v>
      </c>
    </row>
    <row r="1531" spans="1:10" x14ac:dyDescent="0.3">
      <c r="A1531" s="3" t="s">
        <v>1596</v>
      </c>
      <c r="B1531" s="4">
        <v>43592</v>
      </c>
      <c r="C1531" s="5">
        <v>15</v>
      </c>
      <c r="D1531" s="5" t="s">
        <v>33</v>
      </c>
      <c r="E1531" s="5" t="s">
        <v>39</v>
      </c>
      <c r="F1531" s="5" t="s">
        <v>16</v>
      </c>
      <c r="G1531" s="5" t="s">
        <v>10</v>
      </c>
      <c r="H1531" s="5">
        <v>39900</v>
      </c>
      <c r="I1531" s="5">
        <v>0</v>
      </c>
      <c r="J1531" s="9">
        <v>0</v>
      </c>
    </row>
    <row r="1532" spans="1:10" x14ac:dyDescent="0.3">
      <c r="A1532" s="3" t="s">
        <v>1597</v>
      </c>
      <c r="B1532" s="4">
        <v>43593</v>
      </c>
      <c r="C1532" s="5">
        <v>4</v>
      </c>
      <c r="D1532" s="5" t="s">
        <v>22</v>
      </c>
      <c r="E1532" s="5" t="s">
        <v>40</v>
      </c>
      <c r="F1532" s="5" t="s">
        <v>18</v>
      </c>
      <c r="G1532" s="5" t="s">
        <v>11</v>
      </c>
      <c r="H1532" s="5">
        <v>19900</v>
      </c>
      <c r="I1532" s="5">
        <v>7</v>
      </c>
      <c r="J1532" s="9">
        <v>139300</v>
      </c>
    </row>
    <row r="1533" spans="1:10" x14ac:dyDescent="0.3">
      <c r="A1533" s="3" t="s">
        <v>1598</v>
      </c>
      <c r="B1533" s="4">
        <v>43594</v>
      </c>
      <c r="C1533" s="5">
        <v>11</v>
      </c>
      <c r="D1533" s="5" t="s">
        <v>29</v>
      </c>
      <c r="E1533" s="5" t="s">
        <v>45</v>
      </c>
      <c r="F1533" s="5" t="s">
        <v>16</v>
      </c>
      <c r="G1533" s="5" t="s">
        <v>13</v>
      </c>
      <c r="H1533" s="5">
        <v>28900</v>
      </c>
      <c r="I1533" s="5">
        <v>1</v>
      </c>
      <c r="J1533" s="9">
        <v>28900</v>
      </c>
    </row>
    <row r="1534" spans="1:10" x14ac:dyDescent="0.3">
      <c r="A1534" s="3" t="s">
        <v>1599</v>
      </c>
      <c r="B1534" s="4">
        <v>43594</v>
      </c>
      <c r="C1534" s="5">
        <v>18</v>
      </c>
      <c r="D1534" s="5" t="s">
        <v>36</v>
      </c>
      <c r="E1534" s="5" t="s">
        <v>43</v>
      </c>
      <c r="F1534" s="5" t="s">
        <v>17</v>
      </c>
      <c r="G1534" s="5" t="s">
        <v>12</v>
      </c>
      <c r="H1534" s="5">
        <v>6900</v>
      </c>
      <c r="I1534" s="5">
        <v>4</v>
      </c>
      <c r="J1534" s="9">
        <v>27600</v>
      </c>
    </row>
    <row r="1535" spans="1:10" x14ac:dyDescent="0.3">
      <c r="A1535" s="3" t="s">
        <v>1600</v>
      </c>
      <c r="B1535" s="4">
        <v>43594</v>
      </c>
      <c r="C1535" s="5">
        <v>1</v>
      </c>
      <c r="D1535" s="5" t="s">
        <v>19</v>
      </c>
      <c r="E1535" s="5" t="s">
        <v>40</v>
      </c>
      <c r="F1535" s="5" t="s">
        <v>18</v>
      </c>
      <c r="G1535" s="5" t="s">
        <v>12</v>
      </c>
      <c r="H1535" s="5">
        <v>6900</v>
      </c>
      <c r="I1535" s="5">
        <v>1</v>
      </c>
      <c r="J1535" s="9">
        <v>6900</v>
      </c>
    </row>
    <row r="1536" spans="1:10" x14ac:dyDescent="0.3">
      <c r="A1536" s="3" t="s">
        <v>1601</v>
      </c>
      <c r="B1536" s="4">
        <v>43594</v>
      </c>
      <c r="C1536" s="5">
        <v>7</v>
      </c>
      <c r="D1536" s="5" t="s">
        <v>25</v>
      </c>
      <c r="E1536" s="5" t="s">
        <v>41</v>
      </c>
      <c r="F1536" s="5" t="s">
        <v>15</v>
      </c>
      <c r="G1536" s="5" t="s">
        <v>12</v>
      </c>
      <c r="H1536" s="5">
        <v>6900</v>
      </c>
      <c r="I1536" s="5">
        <v>5</v>
      </c>
      <c r="J1536" s="9">
        <v>34500</v>
      </c>
    </row>
    <row r="1537" spans="1:10" x14ac:dyDescent="0.3">
      <c r="A1537" s="3" t="s">
        <v>1602</v>
      </c>
      <c r="B1537" s="4">
        <v>43595</v>
      </c>
      <c r="C1537" s="5">
        <v>19</v>
      </c>
      <c r="D1537" s="5" t="s">
        <v>37</v>
      </c>
      <c r="E1537" s="5" t="s">
        <v>42</v>
      </c>
      <c r="F1537" s="5" t="s">
        <v>17</v>
      </c>
      <c r="G1537" s="5" t="s">
        <v>14</v>
      </c>
      <c r="H1537" s="5">
        <v>15900</v>
      </c>
      <c r="I1537" s="5">
        <v>3</v>
      </c>
      <c r="J1537" s="9">
        <v>47700</v>
      </c>
    </row>
    <row r="1538" spans="1:10" x14ac:dyDescent="0.3">
      <c r="A1538" s="3" t="s">
        <v>1603</v>
      </c>
      <c r="B1538" s="4">
        <v>43595</v>
      </c>
      <c r="C1538" s="5">
        <v>17</v>
      </c>
      <c r="D1538" s="5" t="s">
        <v>35</v>
      </c>
      <c r="E1538" s="5" t="s">
        <v>42</v>
      </c>
      <c r="F1538" s="5" t="s">
        <v>17</v>
      </c>
      <c r="G1538" s="5" t="s">
        <v>10</v>
      </c>
      <c r="H1538" s="5">
        <v>39900</v>
      </c>
      <c r="I1538" s="5">
        <v>1</v>
      </c>
      <c r="J1538" s="9">
        <v>39900</v>
      </c>
    </row>
    <row r="1539" spans="1:10" x14ac:dyDescent="0.3">
      <c r="A1539" s="3" t="s">
        <v>1604</v>
      </c>
      <c r="B1539" s="4">
        <v>43595</v>
      </c>
      <c r="C1539" s="5">
        <v>3</v>
      </c>
      <c r="D1539" s="5" t="s">
        <v>21</v>
      </c>
      <c r="E1539" s="5" t="s">
        <v>46</v>
      </c>
      <c r="F1539" s="5" t="s">
        <v>18</v>
      </c>
      <c r="G1539" s="5" t="s">
        <v>12</v>
      </c>
      <c r="H1539" s="5">
        <v>6900</v>
      </c>
      <c r="I1539" s="5">
        <v>6</v>
      </c>
      <c r="J1539" s="9">
        <v>41400</v>
      </c>
    </row>
    <row r="1540" spans="1:10" x14ac:dyDescent="0.3">
      <c r="A1540" s="3" t="s">
        <v>1605</v>
      </c>
      <c r="B1540" s="4">
        <v>43596</v>
      </c>
      <c r="C1540" s="5">
        <v>15</v>
      </c>
      <c r="D1540" s="5" t="s">
        <v>33</v>
      </c>
      <c r="E1540" s="5" t="s">
        <v>45</v>
      </c>
      <c r="F1540" s="5" t="s">
        <v>16</v>
      </c>
      <c r="G1540" s="5" t="s">
        <v>11</v>
      </c>
      <c r="H1540" s="5">
        <v>19900</v>
      </c>
      <c r="I1540" s="5">
        <v>7</v>
      </c>
      <c r="J1540" s="9">
        <v>139300</v>
      </c>
    </row>
    <row r="1541" spans="1:10" x14ac:dyDescent="0.3">
      <c r="A1541" s="3" t="s">
        <v>1606</v>
      </c>
      <c r="B1541" s="4">
        <v>43597</v>
      </c>
      <c r="C1541" s="5">
        <v>9</v>
      </c>
      <c r="D1541" s="5" t="s">
        <v>27</v>
      </c>
      <c r="E1541" s="5" t="s">
        <v>44</v>
      </c>
      <c r="F1541" s="5" t="s">
        <v>15</v>
      </c>
      <c r="G1541" s="5" t="s">
        <v>14</v>
      </c>
      <c r="H1541" s="5">
        <v>15900</v>
      </c>
      <c r="I1541" s="5">
        <v>6</v>
      </c>
      <c r="J1541" s="9">
        <v>95400</v>
      </c>
    </row>
    <row r="1542" spans="1:10" x14ac:dyDescent="0.3">
      <c r="A1542" s="3" t="s">
        <v>1607</v>
      </c>
      <c r="B1542" s="4">
        <v>43597</v>
      </c>
      <c r="C1542" s="5">
        <v>3</v>
      </c>
      <c r="D1542" s="5" t="s">
        <v>21</v>
      </c>
      <c r="E1542" s="5" t="s">
        <v>40</v>
      </c>
      <c r="F1542" s="5" t="s">
        <v>18</v>
      </c>
      <c r="G1542" s="5" t="s">
        <v>13</v>
      </c>
      <c r="H1542" s="5">
        <v>28900</v>
      </c>
      <c r="I1542" s="5">
        <v>9</v>
      </c>
      <c r="J1542" s="9">
        <v>260100</v>
      </c>
    </row>
    <row r="1543" spans="1:10" x14ac:dyDescent="0.3">
      <c r="A1543" s="3" t="s">
        <v>1608</v>
      </c>
      <c r="B1543" s="4">
        <v>43598</v>
      </c>
      <c r="C1543" s="5">
        <v>5</v>
      </c>
      <c r="D1543" s="5" t="s">
        <v>23</v>
      </c>
      <c r="E1543" s="5" t="s">
        <v>46</v>
      </c>
      <c r="F1543" s="5" t="s">
        <v>18</v>
      </c>
      <c r="G1543" s="5" t="s">
        <v>11</v>
      </c>
      <c r="H1543" s="5">
        <v>19900</v>
      </c>
      <c r="I1543" s="5">
        <v>6</v>
      </c>
      <c r="J1543" s="9">
        <v>119400</v>
      </c>
    </row>
    <row r="1544" spans="1:10" x14ac:dyDescent="0.3">
      <c r="A1544" s="3" t="s">
        <v>1609</v>
      </c>
      <c r="B1544" s="4">
        <v>43598</v>
      </c>
      <c r="C1544" s="5">
        <v>11</v>
      </c>
      <c r="D1544" s="5" t="s">
        <v>29</v>
      </c>
      <c r="E1544" s="5" t="s">
        <v>45</v>
      </c>
      <c r="F1544" s="5" t="s">
        <v>16</v>
      </c>
      <c r="G1544" s="5" t="s">
        <v>10</v>
      </c>
      <c r="H1544" s="5">
        <v>39900</v>
      </c>
      <c r="I1544" s="5">
        <v>2</v>
      </c>
      <c r="J1544" s="9">
        <v>79800</v>
      </c>
    </row>
    <row r="1545" spans="1:10" x14ac:dyDescent="0.3">
      <c r="A1545" s="3" t="s">
        <v>1610</v>
      </c>
      <c r="B1545" s="4">
        <v>43598</v>
      </c>
      <c r="C1545" s="5">
        <v>19</v>
      </c>
      <c r="D1545" s="5" t="s">
        <v>37</v>
      </c>
      <c r="E1545" s="5" t="s">
        <v>43</v>
      </c>
      <c r="F1545" s="5" t="s">
        <v>17</v>
      </c>
      <c r="G1545" s="5" t="s">
        <v>11</v>
      </c>
      <c r="H1545" s="5">
        <v>19900</v>
      </c>
      <c r="I1545" s="5">
        <v>5</v>
      </c>
      <c r="J1545" s="9">
        <v>99500</v>
      </c>
    </row>
    <row r="1546" spans="1:10" x14ac:dyDescent="0.3">
      <c r="A1546" s="3" t="s">
        <v>1611</v>
      </c>
      <c r="B1546" s="4">
        <v>43599</v>
      </c>
      <c r="C1546" s="5">
        <v>11</v>
      </c>
      <c r="D1546" s="5" t="s">
        <v>29</v>
      </c>
      <c r="E1546" s="5" t="s">
        <v>39</v>
      </c>
      <c r="F1546" s="5" t="s">
        <v>16</v>
      </c>
      <c r="G1546" s="5" t="s">
        <v>10</v>
      </c>
      <c r="H1546" s="5">
        <v>39900</v>
      </c>
      <c r="I1546" s="5">
        <v>6</v>
      </c>
      <c r="J1546" s="9">
        <v>239400</v>
      </c>
    </row>
    <row r="1547" spans="1:10" x14ac:dyDescent="0.3">
      <c r="A1547" s="3" t="s">
        <v>1612</v>
      </c>
      <c r="B1547" s="4">
        <v>43600</v>
      </c>
      <c r="C1547" s="5">
        <v>15</v>
      </c>
      <c r="D1547" s="5" t="s">
        <v>33</v>
      </c>
      <c r="E1547" s="5" t="s">
        <v>45</v>
      </c>
      <c r="F1547" s="5" t="s">
        <v>16</v>
      </c>
      <c r="G1547" s="5" t="s">
        <v>11</v>
      </c>
      <c r="H1547" s="5">
        <v>19900</v>
      </c>
      <c r="I1547" s="5">
        <v>7</v>
      </c>
      <c r="J1547" s="9">
        <v>139300</v>
      </c>
    </row>
    <row r="1548" spans="1:10" x14ac:dyDescent="0.3">
      <c r="A1548" s="3" t="s">
        <v>1613</v>
      </c>
      <c r="B1548" s="4">
        <v>43600</v>
      </c>
      <c r="C1548" s="5">
        <v>6</v>
      </c>
      <c r="D1548" s="5" t="s">
        <v>24</v>
      </c>
      <c r="E1548" s="5" t="s">
        <v>41</v>
      </c>
      <c r="F1548" s="5" t="s">
        <v>15</v>
      </c>
      <c r="G1548" s="5" t="s">
        <v>14</v>
      </c>
      <c r="H1548" s="5">
        <v>15900</v>
      </c>
      <c r="I1548" s="5">
        <v>5</v>
      </c>
      <c r="J1548" s="9">
        <v>79500</v>
      </c>
    </row>
    <row r="1549" spans="1:10" x14ac:dyDescent="0.3">
      <c r="A1549" s="3" t="s">
        <v>1614</v>
      </c>
      <c r="B1549" s="4">
        <v>43600</v>
      </c>
      <c r="C1549" s="5">
        <v>14</v>
      </c>
      <c r="D1549" s="5" t="s">
        <v>32</v>
      </c>
      <c r="E1549" s="5" t="s">
        <v>39</v>
      </c>
      <c r="F1549" s="5" t="s">
        <v>16</v>
      </c>
      <c r="G1549" s="5" t="s">
        <v>14</v>
      </c>
      <c r="H1549" s="5">
        <v>15900</v>
      </c>
      <c r="I1549" s="5">
        <v>8</v>
      </c>
      <c r="J1549" s="9">
        <v>127200</v>
      </c>
    </row>
    <row r="1550" spans="1:10" x14ac:dyDescent="0.3">
      <c r="A1550" s="3" t="s">
        <v>1615</v>
      </c>
      <c r="B1550" s="4">
        <v>43601</v>
      </c>
      <c r="C1550" s="5">
        <v>3</v>
      </c>
      <c r="D1550" s="5" t="s">
        <v>21</v>
      </c>
      <c r="E1550" s="5" t="s">
        <v>40</v>
      </c>
      <c r="F1550" s="5" t="s">
        <v>18</v>
      </c>
      <c r="G1550" s="5" t="s">
        <v>13</v>
      </c>
      <c r="H1550" s="5">
        <v>28900</v>
      </c>
      <c r="I1550" s="5">
        <v>4</v>
      </c>
      <c r="J1550" s="9">
        <v>115600</v>
      </c>
    </row>
    <row r="1551" spans="1:10" x14ac:dyDescent="0.3">
      <c r="A1551" s="3" t="s">
        <v>1616</v>
      </c>
      <c r="B1551" s="4">
        <v>43602</v>
      </c>
      <c r="C1551" s="5">
        <v>15</v>
      </c>
      <c r="D1551" s="5" t="s">
        <v>33</v>
      </c>
      <c r="E1551" s="5" t="s">
        <v>39</v>
      </c>
      <c r="F1551" s="5" t="s">
        <v>16</v>
      </c>
      <c r="G1551" s="5" t="s">
        <v>11</v>
      </c>
      <c r="H1551" s="5">
        <v>19900</v>
      </c>
      <c r="I1551" s="5">
        <v>3</v>
      </c>
      <c r="J1551" s="9">
        <v>59700</v>
      </c>
    </row>
    <row r="1552" spans="1:10" x14ac:dyDescent="0.3">
      <c r="A1552" s="3" t="s">
        <v>1617</v>
      </c>
      <c r="B1552" s="4">
        <v>43602</v>
      </c>
      <c r="C1552" s="5">
        <v>1</v>
      </c>
      <c r="D1552" s="5" t="s">
        <v>19</v>
      </c>
      <c r="E1552" s="5" t="s">
        <v>46</v>
      </c>
      <c r="F1552" s="5" t="s">
        <v>18</v>
      </c>
      <c r="G1552" s="5" t="s">
        <v>10</v>
      </c>
      <c r="H1552" s="5">
        <v>39900</v>
      </c>
      <c r="I1552" s="5">
        <v>7</v>
      </c>
      <c r="J1552" s="9">
        <v>279300</v>
      </c>
    </row>
    <row r="1553" spans="1:10" x14ac:dyDescent="0.3">
      <c r="A1553" s="3" t="s">
        <v>1618</v>
      </c>
      <c r="B1553" s="4">
        <v>43602</v>
      </c>
      <c r="C1553" s="5">
        <v>1</v>
      </c>
      <c r="D1553" s="5" t="s">
        <v>19</v>
      </c>
      <c r="E1553" s="5" t="s">
        <v>40</v>
      </c>
      <c r="F1553" s="5" t="s">
        <v>18</v>
      </c>
      <c r="G1553" s="5" t="s">
        <v>13</v>
      </c>
      <c r="H1553" s="5">
        <v>28900</v>
      </c>
      <c r="I1553" s="5">
        <v>9</v>
      </c>
      <c r="J1553" s="9">
        <v>260100</v>
      </c>
    </row>
    <row r="1554" spans="1:10" x14ac:dyDescent="0.3">
      <c r="A1554" s="3" t="s">
        <v>1619</v>
      </c>
      <c r="B1554" s="4">
        <v>43602</v>
      </c>
      <c r="C1554" s="5">
        <v>10</v>
      </c>
      <c r="D1554" s="5" t="s">
        <v>28</v>
      </c>
      <c r="E1554" s="5" t="s">
        <v>44</v>
      </c>
      <c r="F1554" s="5" t="s">
        <v>15</v>
      </c>
      <c r="G1554" s="5" t="s">
        <v>13</v>
      </c>
      <c r="H1554" s="5">
        <v>28900</v>
      </c>
      <c r="I1554" s="5">
        <v>2</v>
      </c>
      <c r="J1554" s="9">
        <v>57800</v>
      </c>
    </row>
    <row r="1555" spans="1:10" x14ac:dyDescent="0.3">
      <c r="A1555" s="3" t="s">
        <v>1620</v>
      </c>
      <c r="B1555" s="4">
        <v>43602</v>
      </c>
      <c r="C1555" s="5">
        <v>13</v>
      </c>
      <c r="D1555" s="5" t="s">
        <v>31</v>
      </c>
      <c r="E1555" s="5" t="s">
        <v>45</v>
      </c>
      <c r="F1555" s="5" t="s">
        <v>16</v>
      </c>
      <c r="G1555" s="5" t="s">
        <v>12</v>
      </c>
      <c r="H1555" s="5">
        <v>6900</v>
      </c>
      <c r="I1555" s="5">
        <v>0</v>
      </c>
      <c r="J1555" s="9">
        <v>0</v>
      </c>
    </row>
    <row r="1556" spans="1:10" x14ac:dyDescent="0.3">
      <c r="A1556" s="3" t="s">
        <v>1621</v>
      </c>
      <c r="B1556" s="4">
        <v>43602</v>
      </c>
      <c r="C1556" s="5">
        <v>14</v>
      </c>
      <c r="D1556" s="5" t="s">
        <v>32</v>
      </c>
      <c r="E1556" s="5" t="s">
        <v>39</v>
      </c>
      <c r="F1556" s="5" t="s">
        <v>16</v>
      </c>
      <c r="G1556" s="5" t="s">
        <v>13</v>
      </c>
      <c r="H1556" s="5">
        <v>28900</v>
      </c>
      <c r="I1556" s="5">
        <v>6</v>
      </c>
      <c r="J1556" s="9">
        <v>173400</v>
      </c>
    </row>
    <row r="1557" spans="1:10" x14ac:dyDescent="0.3">
      <c r="A1557" s="3" t="s">
        <v>1622</v>
      </c>
      <c r="B1557" s="4">
        <v>43602</v>
      </c>
      <c r="C1557" s="5">
        <v>17</v>
      </c>
      <c r="D1557" s="5" t="s">
        <v>35</v>
      </c>
      <c r="E1557" s="5" t="s">
        <v>42</v>
      </c>
      <c r="F1557" s="5" t="s">
        <v>17</v>
      </c>
      <c r="G1557" s="5" t="s">
        <v>11</v>
      </c>
      <c r="H1557" s="5">
        <v>19900</v>
      </c>
      <c r="I1557" s="5">
        <v>2</v>
      </c>
      <c r="J1557" s="9">
        <v>39800</v>
      </c>
    </row>
    <row r="1558" spans="1:10" x14ac:dyDescent="0.3">
      <c r="A1558" s="3" t="s">
        <v>1623</v>
      </c>
      <c r="B1558" s="4">
        <v>43602</v>
      </c>
      <c r="C1558" s="5">
        <v>1</v>
      </c>
      <c r="D1558" s="5" t="s">
        <v>19</v>
      </c>
      <c r="E1558" s="5" t="s">
        <v>46</v>
      </c>
      <c r="F1558" s="5" t="s">
        <v>18</v>
      </c>
      <c r="G1558" s="5" t="s">
        <v>12</v>
      </c>
      <c r="H1558" s="5">
        <v>6900</v>
      </c>
      <c r="I1558" s="5">
        <v>7</v>
      </c>
      <c r="J1558" s="9">
        <v>48300</v>
      </c>
    </row>
    <row r="1559" spans="1:10" x14ac:dyDescent="0.3">
      <c r="A1559" s="3" t="s">
        <v>1624</v>
      </c>
      <c r="B1559" s="4">
        <v>43603</v>
      </c>
      <c r="C1559" s="5">
        <v>2</v>
      </c>
      <c r="D1559" s="5" t="s">
        <v>20</v>
      </c>
      <c r="E1559" s="5" t="s">
        <v>46</v>
      </c>
      <c r="F1559" s="5" t="s">
        <v>18</v>
      </c>
      <c r="G1559" s="5" t="s">
        <v>10</v>
      </c>
      <c r="H1559" s="5">
        <v>39900</v>
      </c>
      <c r="I1559" s="5">
        <v>4</v>
      </c>
      <c r="J1559" s="9">
        <v>159600</v>
      </c>
    </row>
    <row r="1560" spans="1:10" x14ac:dyDescent="0.3">
      <c r="A1560" s="3" t="s">
        <v>1625</v>
      </c>
      <c r="B1560" s="4">
        <v>43604</v>
      </c>
      <c r="C1560" s="5">
        <v>10</v>
      </c>
      <c r="D1560" s="5" t="s">
        <v>28</v>
      </c>
      <c r="E1560" s="5" t="s">
        <v>41</v>
      </c>
      <c r="F1560" s="5" t="s">
        <v>15</v>
      </c>
      <c r="G1560" s="5" t="s">
        <v>10</v>
      </c>
      <c r="H1560" s="5">
        <v>39900</v>
      </c>
      <c r="I1560" s="5">
        <v>1</v>
      </c>
      <c r="J1560" s="9">
        <v>39900</v>
      </c>
    </row>
    <row r="1561" spans="1:10" x14ac:dyDescent="0.3">
      <c r="A1561" s="3" t="s">
        <v>1626</v>
      </c>
      <c r="B1561" s="4">
        <v>43604</v>
      </c>
      <c r="C1561" s="5">
        <v>20</v>
      </c>
      <c r="D1561" s="5" t="s">
        <v>38</v>
      </c>
      <c r="E1561" s="5" t="s">
        <v>42</v>
      </c>
      <c r="F1561" s="5" t="s">
        <v>17</v>
      </c>
      <c r="G1561" s="5" t="s">
        <v>11</v>
      </c>
      <c r="H1561" s="5">
        <v>19900</v>
      </c>
      <c r="I1561" s="5">
        <v>2</v>
      </c>
      <c r="J1561" s="9">
        <v>39800</v>
      </c>
    </row>
    <row r="1562" spans="1:10" x14ac:dyDescent="0.3">
      <c r="A1562" s="3" t="s">
        <v>1627</v>
      </c>
      <c r="B1562" s="4">
        <v>43604</v>
      </c>
      <c r="C1562" s="5">
        <v>1</v>
      </c>
      <c r="D1562" s="5" t="s">
        <v>19</v>
      </c>
      <c r="E1562" s="5" t="s">
        <v>40</v>
      </c>
      <c r="F1562" s="5" t="s">
        <v>18</v>
      </c>
      <c r="G1562" s="5" t="s">
        <v>13</v>
      </c>
      <c r="H1562" s="5">
        <v>28900</v>
      </c>
      <c r="I1562" s="5">
        <v>1</v>
      </c>
      <c r="J1562" s="9">
        <v>28900</v>
      </c>
    </row>
    <row r="1563" spans="1:10" x14ac:dyDescent="0.3">
      <c r="A1563" s="3" t="s">
        <v>1628</v>
      </c>
      <c r="B1563" s="4">
        <v>43605</v>
      </c>
      <c r="C1563" s="5">
        <v>1</v>
      </c>
      <c r="D1563" s="5" t="s">
        <v>19</v>
      </c>
      <c r="E1563" s="5" t="s">
        <v>40</v>
      </c>
      <c r="F1563" s="5" t="s">
        <v>18</v>
      </c>
      <c r="G1563" s="5" t="s">
        <v>14</v>
      </c>
      <c r="H1563" s="5">
        <v>15900</v>
      </c>
      <c r="I1563" s="5">
        <v>4</v>
      </c>
      <c r="J1563" s="9">
        <v>63600</v>
      </c>
    </row>
    <row r="1564" spans="1:10" x14ac:dyDescent="0.3">
      <c r="A1564" s="3" t="s">
        <v>1629</v>
      </c>
      <c r="B1564" s="4">
        <v>43605</v>
      </c>
      <c r="C1564" s="5">
        <v>19</v>
      </c>
      <c r="D1564" s="5" t="s">
        <v>37</v>
      </c>
      <c r="E1564" s="5" t="s">
        <v>43</v>
      </c>
      <c r="F1564" s="5" t="s">
        <v>17</v>
      </c>
      <c r="G1564" s="5" t="s">
        <v>10</v>
      </c>
      <c r="H1564" s="5">
        <v>39900</v>
      </c>
      <c r="I1564" s="5">
        <v>8</v>
      </c>
      <c r="J1564" s="9">
        <v>319200</v>
      </c>
    </row>
    <row r="1565" spans="1:10" x14ac:dyDescent="0.3">
      <c r="A1565" s="3" t="s">
        <v>1630</v>
      </c>
      <c r="B1565" s="4">
        <v>43605</v>
      </c>
      <c r="C1565" s="5">
        <v>2</v>
      </c>
      <c r="D1565" s="5" t="s">
        <v>20</v>
      </c>
      <c r="E1565" s="5" t="s">
        <v>40</v>
      </c>
      <c r="F1565" s="5" t="s">
        <v>18</v>
      </c>
      <c r="G1565" s="5" t="s">
        <v>11</v>
      </c>
      <c r="H1565" s="5">
        <v>19900</v>
      </c>
      <c r="I1565" s="5">
        <v>9</v>
      </c>
      <c r="J1565" s="9">
        <v>179100</v>
      </c>
    </row>
    <row r="1566" spans="1:10" x14ac:dyDescent="0.3">
      <c r="A1566" s="3" t="s">
        <v>1631</v>
      </c>
      <c r="B1566" s="4">
        <v>43605</v>
      </c>
      <c r="C1566" s="5">
        <v>7</v>
      </c>
      <c r="D1566" s="5" t="s">
        <v>25</v>
      </c>
      <c r="E1566" s="5" t="s">
        <v>41</v>
      </c>
      <c r="F1566" s="5" t="s">
        <v>15</v>
      </c>
      <c r="G1566" s="5" t="s">
        <v>13</v>
      </c>
      <c r="H1566" s="5">
        <v>28900</v>
      </c>
      <c r="I1566" s="5">
        <v>8</v>
      </c>
      <c r="J1566" s="9">
        <v>231200</v>
      </c>
    </row>
    <row r="1567" spans="1:10" x14ac:dyDescent="0.3">
      <c r="A1567" s="3" t="s">
        <v>1632</v>
      </c>
      <c r="B1567" s="4">
        <v>43606</v>
      </c>
      <c r="C1567" s="5">
        <v>5</v>
      </c>
      <c r="D1567" s="5" t="s">
        <v>23</v>
      </c>
      <c r="E1567" s="5" t="s">
        <v>40</v>
      </c>
      <c r="F1567" s="5" t="s">
        <v>18</v>
      </c>
      <c r="G1567" s="5" t="s">
        <v>13</v>
      </c>
      <c r="H1567" s="5">
        <v>28900</v>
      </c>
      <c r="I1567" s="5">
        <v>2</v>
      </c>
      <c r="J1567" s="9">
        <v>57800</v>
      </c>
    </row>
    <row r="1568" spans="1:10" x14ac:dyDescent="0.3">
      <c r="A1568" s="3" t="s">
        <v>1633</v>
      </c>
      <c r="B1568" s="4">
        <v>43606</v>
      </c>
      <c r="C1568" s="5">
        <v>17</v>
      </c>
      <c r="D1568" s="5" t="s">
        <v>35</v>
      </c>
      <c r="E1568" s="5" t="s">
        <v>43</v>
      </c>
      <c r="F1568" s="5" t="s">
        <v>17</v>
      </c>
      <c r="G1568" s="5" t="s">
        <v>12</v>
      </c>
      <c r="H1568" s="5">
        <v>6900</v>
      </c>
      <c r="I1568" s="5">
        <v>2</v>
      </c>
      <c r="J1568" s="9">
        <v>13800</v>
      </c>
    </row>
    <row r="1569" spans="1:10" x14ac:dyDescent="0.3">
      <c r="A1569" s="3" t="s">
        <v>1634</v>
      </c>
      <c r="B1569" s="4">
        <v>43607</v>
      </c>
      <c r="C1569" s="5">
        <v>10</v>
      </c>
      <c r="D1569" s="5" t="s">
        <v>28</v>
      </c>
      <c r="E1569" s="5" t="s">
        <v>41</v>
      </c>
      <c r="F1569" s="5" t="s">
        <v>15</v>
      </c>
      <c r="G1569" s="5" t="s">
        <v>13</v>
      </c>
      <c r="H1569" s="5">
        <v>28900</v>
      </c>
      <c r="I1569" s="5">
        <v>7</v>
      </c>
      <c r="J1569" s="9">
        <v>202300</v>
      </c>
    </row>
    <row r="1570" spans="1:10" x14ac:dyDescent="0.3">
      <c r="A1570" s="3" t="s">
        <v>1635</v>
      </c>
      <c r="B1570" s="4">
        <v>43607</v>
      </c>
      <c r="C1570" s="5">
        <v>8</v>
      </c>
      <c r="D1570" s="5" t="s">
        <v>26</v>
      </c>
      <c r="E1570" s="5" t="s">
        <v>44</v>
      </c>
      <c r="F1570" s="5" t="s">
        <v>15</v>
      </c>
      <c r="G1570" s="5" t="s">
        <v>12</v>
      </c>
      <c r="H1570" s="5">
        <v>6900</v>
      </c>
      <c r="I1570" s="5">
        <v>2</v>
      </c>
      <c r="J1570" s="9">
        <v>13800</v>
      </c>
    </row>
    <row r="1571" spans="1:10" x14ac:dyDescent="0.3">
      <c r="A1571" s="3" t="s">
        <v>1636</v>
      </c>
      <c r="B1571" s="4">
        <v>43607</v>
      </c>
      <c r="C1571" s="5">
        <v>14</v>
      </c>
      <c r="D1571" s="5" t="s">
        <v>32</v>
      </c>
      <c r="E1571" s="5" t="s">
        <v>39</v>
      </c>
      <c r="F1571" s="5" t="s">
        <v>16</v>
      </c>
      <c r="G1571" s="5" t="s">
        <v>12</v>
      </c>
      <c r="H1571" s="5">
        <v>6900</v>
      </c>
      <c r="I1571" s="5">
        <v>9</v>
      </c>
      <c r="J1571" s="9">
        <v>62100</v>
      </c>
    </row>
    <row r="1572" spans="1:10" x14ac:dyDescent="0.3">
      <c r="A1572" s="3" t="s">
        <v>1637</v>
      </c>
      <c r="B1572" s="4">
        <v>43608</v>
      </c>
      <c r="C1572" s="5">
        <v>15</v>
      </c>
      <c r="D1572" s="5" t="s">
        <v>33</v>
      </c>
      <c r="E1572" s="5" t="s">
        <v>45</v>
      </c>
      <c r="F1572" s="5" t="s">
        <v>16</v>
      </c>
      <c r="G1572" s="5" t="s">
        <v>14</v>
      </c>
      <c r="H1572" s="5">
        <v>15900</v>
      </c>
      <c r="I1572" s="5">
        <v>2</v>
      </c>
      <c r="J1572" s="9">
        <v>31800</v>
      </c>
    </row>
    <row r="1573" spans="1:10" x14ac:dyDescent="0.3">
      <c r="A1573" s="3" t="s">
        <v>1638</v>
      </c>
      <c r="B1573" s="4">
        <v>43609</v>
      </c>
      <c r="C1573" s="5">
        <v>14</v>
      </c>
      <c r="D1573" s="5" t="s">
        <v>32</v>
      </c>
      <c r="E1573" s="5" t="s">
        <v>45</v>
      </c>
      <c r="F1573" s="5" t="s">
        <v>16</v>
      </c>
      <c r="G1573" s="5" t="s">
        <v>10</v>
      </c>
      <c r="H1573" s="5">
        <v>39900</v>
      </c>
      <c r="I1573" s="5">
        <v>4</v>
      </c>
      <c r="J1573" s="9">
        <v>159600</v>
      </c>
    </row>
    <row r="1574" spans="1:10" x14ac:dyDescent="0.3">
      <c r="A1574" s="3" t="s">
        <v>1639</v>
      </c>
      <c r="B1574" s="4">
        <v>43610</v>
      </c>
      <c r="C1574" s="5">
        <v>5</v>
      </c>
      <c r="D1574" s="5" t="s">
        <v>23</v>
      </c>
      <c r="E1574" s="5" t="s">
        <v>40</v>
      </c>
      <c r="F1574" s="5" t="s">
        <v>18</v>
      </c>
      <c r="G1574" s="5" t="s">
        <v>14</v>
      </c>
      <c r="H1574" s="5">
        <v>15900</v>
      </c>
      <c r="I1574" s="5">
        <v>3</v>
      </c>
      <c r="J1574" s="9">
        <v>47700</v>
      </c>
    </row>
    <row r="1575" spans="1:10" x14ac:dyDescent="0.3">
      <c r="A1575" s="3" t="s">
        <v>1640</v>
      </c>
      <c r="B1575" s="4">
        <v>43610</v>
      </c>
      <c r="C1575" s="5">
        <v>17</v>
      </c>
      <c r="D1575" s="5" t="s">
        <v>35</v>
      </c>
      <c r="E1575" s="5" t="s">
        <v>42</v>
      </c>
      <c r="F1575" s="5" t="s">
        <v>17</v>
      </c>
      <c r="G1575" s="5" t="s">
        <v>13</v>
      </c>
      <c r="H1575" s="5">
        <v>28900</v>
      </c>
      <c r="I1575" s="5">
        <v>3</v>
      </c>
      <c r="J1575" s="9">
        <v>86700</v>
      </c>
    </row>
    <row r="1576" spans="1:10" x14ac:dyDescent="0.3">
      <c r="A1576" s="3" t="s">
        <v>1641</v>
      </c>
      <c r="B1576" s="4">
        <v>43610</v>
      </c>
      <c r="C1576" s="5">
        <v>5</v>
      </c>
      <c r="D1576" s="5" t="s">
        <v>23</v>
      </c>
      <c r="E1576" s="5" t="s">
        <v>46</v>
      </c>
      <c r="F1576" s="5" t="s">
        <v>18</v>
      </c>
      <c r="G1576" s="5" t="s">
        <v>14</v>
      </c>
      <c r="H1576" s="5">
        <v>15900</v>
      </c>
      <c r="I1576" s="5">
        <v>2</v>
      </c>
      <c r="J1576" s="9">
        <v>31800</v>
      </c>
    </row>
    <row r="1577" spans="1:10" x14ac:dyDescent="0.3">
      <c r="A1577" s="3" t="s">
        <v>1642</v>
      </c>
      <c r="B1577" s="4">
        <v>43610</v>
      </c>
      <c r="C1577" s="5">
        <v>12</v>
      </c>
      <c r="D1577" s="5" t="s">
        <v>30</v>
      </c>
      <c r="E1577" s="5" t="s">
        <v>45</v>
      </c>
      <c r="F1577" s="5" t="s">
        <v>16</v>
      </c>
      <c r="G1577" s="5" t="s">
        <v>10</v>
      </c>
      <c r="H1577" s="5">
        <v>39900</v>
      </c>
      <c r="I1577" s="5">
        <v>2</v>
      </c>
      <c r="J1577" s="9">
        <v>79800</v>
      </c>
    </row>
    <row r="1578" spans="1:10" x14ac:dyDescent="0.3">
      <c r="A1578" s="3" t="s">
        <v>1643</v>
      </c>
      <c r="B1578" s="4">
        <v>43610</v>
      </c>
      <c r="C1578" s="5">
        <v>13</v>
      </c>
      <c r="D1578" s="5" t="s">
        <v>31</v>
      </c>
      <c r="E1578" s="5" t="s">
        <v>45</v>
      </c>
      <c r="F1578" s="5" t="s">
        <v>16</v>
      </c>
      <c r="G1578" s="5" t="s">
        <v>11</v>
      </c>
      <c r="H1578" s="5">
        <v>19900</v>
      </c>
      <c r="I1578" s="5">
        <v>0</v>
      </c>
      <c r="J1578" s="9">
        <v>0</v>
      </c>
    </row>
    <row r="1579" spans="1:10" x14ac:dyDescent="0.3">
      <c r="A1579" s="3" t="s">
        <v>1644</v>
      </c>
      <c r="B1579" s="4">
        <v>43610</v>
      </c>
      <c r="C1579" s="5">
        <v>7</v>
      </c>
      <c r="D1579" s="5" t="s">
        <v>25</v>
      </c>
      <c r="E1579" s="5" t="s">
        <v>44</v>
      </c>
      <c r="F1579" s="5" t="s">
        <v>15</v>
      </c>
      <c r="G1579" s="5" t="s">
        <v>12</v>
      </c>
      <c r="H1579" s="5">
        <v>6900</v>
      </c>
      <c r="I1579" s="5">
        <v>3</v>
      </c>
      <c r="J1579" s="9">
        <v>20700</v>
      </c>
    </row>
    <row r="1580" spans="1:10" x14ac:dyDescent="0.3">
      <c r="A1580" s="3" t="s">
        <v>1645</v>
      </c>
      <c r="B1580" s="4">
        <v>43610</v>
      </c>
      <c r="C1580" s="5">
        <v>1</v>
      </c>
      <c r="D1580" s="5" t="s">
        <v>19</v>
      </c>
      <c r="E1580" s="5" t="s">
        <v>46</v>
      </c>
      <c r="F1580" s="5" t="s">
        <v>18</v>
      </c>
      <c r="G1580" s="5" t="s">
        <v>11</v>
      </c>
      <c r="H1580" s="5">
        <v>19900</v>
      </c>
      <c r="I1580" s="5">
        <v>1</v>
      </c>
      <c r="J1580" s="9">
        <v>19900</v>
      </c>
    </row>
    <row r="1581" spans="1:10" x14ac:dyDescent="0.3">
      <c r="A1581" s="3" t="s">
        <v>1646</v>
      </c>
      <c r="B1581" s="4">
        <v>43610</v>
      </c>
      <c r="C1581" s="5">
        <v>11</v>
      </c>
      <c r="D1581" s="5" t="s">
        <v>29</v>
      </c>
      <c r="E1581" s="5" t="s">
        <v>45</v>
      </c>
      <c r="F1581" s="5" t="s">
        <v>16</v>
      </c>
      <c r="G1581" s="5" t="s">
        <v>11</v>
      </c>
      <c r="H1581" s="5">
        <v>19900</v>
      </c>
      <c r="I1581" s="5">
        <v>6</v>
      </c>
      <c r="J1581" s="9">
        <v>119400</v>
      </c>
    </row>
    <row r="1582" spans="1:10" x14ac:dyDescent="0.3">
      <c r="A1582" s="3" t="s">
        <v>1647</v>
      </c>
      <c r="B1582" s="4">
        <v>43610</v>
      </c>
      <c r="C1582" s="5">
        <v>9</v>
      </c>
      <c r="D1582" s="5" t="s">
        <v>27</v>
      </c>
      <c r="E1582" s="5" t="s">
        <v>41</v>
      </c>
      <c r="F1582" s="5" t="s">
        <v>15</v>
      </c>
      <c r="G1582" s="5" t="s">
        <v>12</v>
      </c>
      <c r="H1582" s="5">
        <v>6900</v>
      </c>
      <c r="I1582" s="5">
        <v>0</v>
      </c>
      <c r="J1582" s="9">
        <v>0</v>
      </c>
    </row>
    <row r="1583" spans="1:10" x14ac:dyDescent="0.3">
      <c r="A1583" s="3" t="s">
        <v>1648</v>
      </c>
      <c r="B1583" s="4">
        <v>43610</v>
      </c>
      <c r="C1583" s="5">
        <v>16</v>
      </c>
      <c r="D1583" s="5" t="s">
        <v>34</v>
      </c>
      <c r="E1583" s="5" t="s">
        <v>42</v>
      </c>
      <c r="F1583" s="5" t="s">
        <v>17</v>
      </c>
      <c r="G1583" s="5" t="s">
        <v>13</v>
      </c>
      <c r="H1583" s="5">
        <v>28900</v>
      </c>
      <c r="I1583" s="5">
        <v>1</v>
      </c>
      <c r="J1583" s="9">
        <v>28900</v>
      </c>
    </row>
    <row r="1584" spans="1:10" x14ac:dyDescent="0.3">
      <c r="A1584" s="3" t="s">
        <v>1649</v>
      </c>
      <c r="B1584" s="4">
        <v>43610</v>
      </c>
      <c r="C1584" s="5">
        <v>1</v>
      </c>
      <c r="D1584" s="5" t="s">
        <v>19</v>
      </c>
      <c r="E1584" s="5" t="s">
        <v>46</v>
      </c>
      <c r="F1584" s="5" t="s">
        <v>18</v>
      </c>
      <c r="G1584" s="5" t="s">
        <v>13</v>
      </c>
      <c r="H1584" s="5">
        <v>28900</v>
      </c>
      <c r="I1584" s="5">
        <v>9</v>
      </c>
      <c r="J1584" s="9">
        <v>260100</v>
      </c>
    </row>
    <row r="1585" spans="1:10" x14ac:dyDescent="0.3">
      <c r="A1585" s="3" t="s">
        <v>1650</v>
      </c>
      <c r="B1585" s="4">
        <v>43610</v>
      </c>
      <c r="C1585" s="5">
        <v>5</v>
      </c>
      <c r="D1585" s="5" t="s">
        <v>23</v>
      </c>
      <c r="E1585" s="5" t="s">
        <v>46</v>
      </c>
      <c r="F1585" s="5" t="s">
        <v>18</v>
      </c>
      <c r="G1585" s="5" t="s">
        <v>11</v>
      </c>
      <c r="H1585" s="5">
        <v>19900</v>
      </c>
      <c r="I1585" s="5">
        <v>8</v>
      </c>
      <c r="J1585" s="9">
        <v>159200</v>
      </c>
    </row>
    <row r="1586" spans="1:10" x14ac:dyDescent="0.3">
      <c r="A1586" s="3" t="s">
        <v>1651</v>
      </c>
      <c r="B1586" s="4">
        <v>43611</v>
      </c>
      <c r="C1586" s="5">
        <v>10</v>
      </c>
      <c r="D1586" s="5" t="s">
        <v>28</v>
      </c>
      <c r="E1586" s="5" t="s">
        <v>41</v>
      </c>
      <c r="F1586" s="5" t="s">
        <v>15</v>
      </c>
      <c r="G1586" s="5" t="s">
        <v>14</v>
      </c>
      <c r="H1586" s="5">
        <v>15900</v>
      </c>
      <c r="I1586" s="5">
        <v>6</v>
      </c>
      <c r="J1586" s="9">
        <v>95400</v>
      </c>
    </row>
    <row r="1587" spans="1:10" x14ac:dyDescent="0.3">
      <c r="A1587" s="3" t="s">
        <v>1652</v>
      </c>
      <c r="B1587" s="4">
        <v>43611</v>
      </c>
      <c r="C1587" s="5">
        <v>4</v>
      </c>
      <c r="D1587" s="5" t="s">
        <v>22</v>
      </c>
      <c r="E1587" s="5" t="s">
        <v>40</v>
      </c>
      <c r="F1587" s="5" t="s">
        <v>18</v>
      </c>
      <c r="G1587" s="5" t="s">
        <v>13</v>
      </c>
      <c r="H1587" s="5">
        <v>28900</v>
      </c>
      <c r="I1587" s="5">
        <v>2</v>
      </c>
      <c r="J1587" s="9">
        <v>57800</v>
      </c>
    </row>
    <row r="1588" spans="1:10" x14ac:dyDescent="0.3">
      <c r="A1588" s="3" t="s">
        <v>1653</v>
      </c>
      <c r="B1588" s="4">
        <v>43611</v>
      </c>
      <c r="C1588" s="5">
        <v>11</v>
      </c>
      <c r="D1588" s="5" t="s">
        <v>29</v>
      </c>
      <c r="E1588" s="5" t="s">
        <v>45</v>
      </c>
      <c r="F1588" s="5" t="s">
        <v>16</v>
      </c>
      <c r="G1588" s="5" t="s">
        <v>11</v>
      </c>
      <c r="H1588" s="5">
        <v>19900</v>
      </c>
      <c r="I1588" s="5">
        <v>1</v>
      </c>
      <c r="J1588" s="9">
        <v>19900</v>
      </c>
    </row>
    <row r="1589" spans="1:10" x14ac:dyDescent="0.3">
      <c r="A1589" s="3" t="s">
        <v>1654</v>
      </c>
      <c r="B1589" s="4">
        <v>43611</v>
      </c>
      <c r="C1589" s="5">
        <v>17</v>
      </c>
      <c r="D1589" s="5" t="s">
        <v>35</v>
      </c>
      <c r="E1589" s="5" t="s">
        <v>43</v>
      </c>
      <c r="F1589" s="5" t="s">
        <v>17</v>
      </c>
      <c r="G1589" s="5" t="s">
        <v>14</v>
      </c>
      <c r="H1589" s="5">
        <v>15900</v>
      </c>
      <c r="I1589" s="5">
        <v>9</v>
      </c>
      <c r="J1589" s="9">
        <v>143100</v>
      </c>
    </row>
    <row r="1590" spans="1:10" x14ac:dyDescent="0.3">
      <c r="A1590" s="3" t="s">
        <v>1655</v>
      </c>
      <c r="B1590" s="4">
        <v>43611</v>
      </c>
      <c r="C1590" s="5">
        <v>7</v>
      </c>
      <c r="D1590" s="5" t="s">
        <v>25</v>
      </c>
      <c r="E1590" s="5" t="s">
        <v>44</v>
      </c>
      <c r="F1590" s="5" t="s">
        <v>15</v>
      </c>
      <c r="G1590" s="5" t="s">
        <v>12</v>
      </c>
      <c r="H1590" s="5">
        <v>6900</v>
      </c>
      <c r="I1590" s="5">
        <v>3</v>
      </c>
      <c r="J1590" s="9">
        <v>20700</v>
      </c>
    </row>
    <row r="1591" spans="1:10" x14ac:dyDescent="0.3">
      <c r="A1591" s="3" t="s">
        <v>1656</v>
      </c>
      <c r="B1591" s="4">
        <v>43611</v>
      </c>
      <c r="C1591" s="5">
        <v>17</v>
      </c>
      <c r="D1591" s="5" t="s">
        <v>35</v>
      </c>
      <c r="E1591" s="5" t="s">
        <v>43</v>
      </c>
      <c r="F1591" s="5" t="s">
        <v>17</v>
      </c>
      <c r="G1591" s="5" t="s">
        <v>14</v>
      </c>
      <c r="H1591" s="5">
        <v>15900</v>
      </c>
      <c r="I1591" s="5">
        <v>2</v>
      </c>
      <c r="J1591" s="9">
        <v>31800</v>
      </c>
    </row>
    <row r="1592" spans="1:10" x14ac:dyDescent="0.3">
      <c r="A1592" s="3" t="s">
        <v>1657</v>
      </c>
      <c r="B1592" s="4">
        <v>43611</v>
      </c>
      <c r="C1592" s="5">
        <v>16</v>
      </c>
      <c r="D1592" s="5" t="s">
        <v>34</v>
      </c>
      <c r="E1592" s="5" t="s">
        <v>43</v>
      </c>
      <c r="F1592" s="5" t="s">
        <v>17</v>
      </c>
      <c r="G1592" s="5" t="s">
        <v>12</v>
      </c>
      <c r="H1592" s="5">
        <v>6900</v>
      </c>
      <c r="I1592" s="5">
        <v>5</v>
      </c>
      <c r="J1592" s="9">
        <v>34500</v>
      </c>
    </row>
    <row r="1593" spans="1:10" x14ac:dyDescent="0.3">
      <c r="A1593" s="3" t="s">
        <v>1658</v>
      </c>
      <c r="B1593" s="4">
        <v>43611</v>
      </c>
      <c r="C1593" s="5">
        <v>16</v>
      </c>
      <c r="D1593" s="5" t="s">
        <v>34</v>
      </c>
      <c r="E1593" s="5" t="s">
        <v>42</v>
      </c>
      <c r="F1593" s="5" t="s">
        <v>17</v>
      </c>
      <c r="G1593" s="5" t="s">
        <v>14</v>
      </c>
      <c r="H1593" s="5">
        <v>15900</v>
      </c>
      <c r="I1593" s="5">
        <v>7</v>
      </c>
      <c r="J1593" s="9">
        <v>111300</v>
      </c>
    </row>
    <row r="1594" spans="1:10" x14ac:dyDescent="0.3">
      <c r="A1594" s="3" t="s">
        <v>1659</v>
      </c>
      <c r="B1594" s="4">
        <v>43611</v>
      </c>
      <c r="C1594" s="5">
        <v>16</v>
      </c>
      <c r="D1594" s="5" t="s">
        <v>34</v>
      </c>
      <c r="E1594" s="5" t="s">
        <v>43</v>
      </c>
      <c r="F1594" s="5" t="s">
        <v>17</v>
      </c>
      <c r="G1594" s="5" t="s">
        <v>13</v>
      </c>
      <c r="H1594" s="5">
        <v>28900</v>
      </c>
      <c r="I1594" s="5">
        <v>9</v>
      </c>
      <c r="J1594" s="9">
        <v>260100</v>
      </c>
    </row>
    <row r="1595" spans="1:10" x14ac:dyDescent="0.3">
      <c r="A1595" s="3" t="s">
        <v>1660</v>
      </c>
      <c r="B1595" s="4">
        <v>43612</v>
      </c>
      <c r="C1595" s="5">
        <v>11</v>
      </c>
      <c r="D1595" s="5" t="s">
        <v>29</v>
      </c>
      <c r="E1595" s="5" t="s">
        <v>45</v>
      </c>
      <c r="F1595" s="5" t="s">
        <v>16</v>
      </c>
      <c r="G1595" s="5" t="s">
        <v>10</v>
      </c>
      <c r="H1595" s="5">
        <v>39900</v>
      </c>
      <c r="I1595" s="5">
        <v>0</v>
      </c>
      <c r="J1595" s="9">
        <v>0</v>
      </c>
    </row>
    <row r="1596" spans="1:10" x14ac:dyDescent="0.3">
      <c r="A1596" s="3" t="s">
        <v>1661</v>
      </c>
      <c r="B1596" s="4">
        <v>43612</v>
      </c>
      <c r="C1596" s="5">
        <v>19</v>
      </c>
      <c r="D1596" s="5" t="s">
        <v>37</v>
      </c>
      <c r="E1596" s="5" t="s">
        <v>42</v>
      </c>
      <c r="F1596" s="5" t="s">
        <v>17</v>
      </c>
      <c r="G1596" s="5" t="s">
        <v>11</v>
      </c>
      <c r="H1596" s="5">
        <v>19900</v>
      </c>
      <c r="I1596" s="5">
        <v>0</v>
      </c>
      <c r="J1596" s="9">
        <v>0</v>
      </c>
    </row>
    <row r="1597" spans="1:10" x14ac:dyDescent="0.3">
      <c r="A1597" s="3" t="s">
        <v>1662</v>
      </c>
      <c r="B1597" s="4">
        <v>43613</v>
      </c>
      <c r="C1597" s="5">
        <v>5</v>
      </c>
      <c r="D1597" s="5" t="s">
        <v>23</v>
      </c>
      <c r="E1597" s="5" t="s">
        <v>40</v>
      </c>
      <c r="F1597" s="5" t="s">
        <v>18</v>
      </c>
      <c r="G1597" s="5" t="s">
        <v>14</v>
      </c>
      <c r="H1597" s="5">
        <v>15900</v>
      </c>
      <c r="I1597" s="5">
        <v>2</v>
      </c>
      <c r="J1597" s="9">
        <v>31800</v>
      </c>
    </row>
    <row r="1598" spans="1:10" x14ac:dyDescent="0.3">
      <c r="A1598" s="3" t="s">
        <v>1663</v>
      </c>
      <c r="B1598" s="4">
        <v>43613</v>
      </c>
      <c r="C1598" s="5">
        <v>16</v>
      </c>
      <c r="D1598" s="5" t="s">
        <v>34</v>
      </c>
      <c r="E1598" s="5" t="s">
        <v>42</v>
      </c>
      <c r="F1598" s="5" t="s">
        <v>17</v>
      </c>
      <c r="G1598" s="5" t="s">
        <v>11</v>
      </c>
      <c r="H1598" s="5">
        <v>19900</v>
      </c>
      <c r="I1598" s="5">
        <v>8</v>
      </c>
      <c r="J1598" s="9">
        <v>159200</v>
      </c>
    </row>
    <row r="1599" spans="1:10" x14ac:dyDescent="0.3">
      <c r="A1599" s="3" t="s">
        <v>1664</v>
      </c>
      <c r="B1599" s="4">
        <v>43613</v>
      </c>
      <c r="C1599" s="5">
        <v>19</v>
      </c>
      <c r="D1599" s="5" t="s">
        <v>37</v>
      </c>
      <c r="E1599" s="5" t="s">
        <v>43</v>
      </c>
      <c r="F1599" s="5" t="s">
        <v>17</v>
      </c>
      <c r="G1599" s="5" t="s">
        <v>14</v>
      </c>
      <c r="H1599" s="5">
        <v>15900</v>
      </c>
      <c r="I1599" s="5">
        <v>3</v>
      </c>
      <c r="J1599" s="9">
        <v>47700</v>
      </c>
    </row>
    <row r="1600" spans="1:10" x14ac:dyDescent="0.3">
      <c r="A1600" s="3" t="s">
        <v>1665</v>
      </c>
      <c r="B1600" s="4">
        <v>43613</v>
      </c>
      <c r="C1600" s="5">
        <v>5</v>
      </c>
      <c r="D1600" s="5" t="s">
        <v>23</v>
      </c>
      <c r="E1600" s="5" t="s">
        <v>46</v>
      </c>
      <c r="F1600" s="5" t="s">
        <v>18</v>
      </c>
      <c r="G1600" s="5" t="s">
        <v>14</v>
      </c>
      <c r="H1600" s="5">
        <v>15900</v>
      </c>
      <c r="I1600" s="5">
        <v>9</v>
      </c>
      <c r="J1600" s="9">
        <v>143100</v>
      </c>
    </row>
    <row r="1601" spans="1:10" x14ac:dyDescent="0.3">
      <c r="A1601" s="3" t="s">
        <v>1666</v>
      </c>
      <c r="B1601" s="4">
        <v>43613</v>
      </c>
      <c r="C1601" s="5">
        <v>9</v>
      </c>
      <c r="D1601" s="5" t="s">
        <v>27</v>
      </c>
      <c r="E1601" s="5" t="s">
        <v>44</v>
      </c>
      <c r="F1601" s="5" t="s">
        <v>15</v>
      </c>
      <c r="G1601" s="5" t="s">
        <v>11</v>
      </c>
      <c r="H1601" s="5">
        <v>19900</v>
      </c>
      <c r="I1601" s="5">
        <v>1</v>
      </c>
      <c r="J1601" s="9">
        <v>19900</v>
      </c>
    </row>
    <row r="1602" spans="1:10" x14ac:dyDescent="0.3">
      <c r="A1602" s="3" t="s">
        <v>1667</v>
      </c>
      <c r="B1602" s="4">
        <v>43614</v>
      </c>
      <c r="C1602" s="5">
        <v>17</v>
      </c>
      <c r="D1602" s="5" t="s">
        <v>35</v>
      </c>
      <c r="E1602" s="5" t="s">
        <v>42</v>
      </c>
      <c r="F1602" s="5" t="s">
        <v>17</v>
      </c>
      <c r="G1602" s="5" t="s">
        <v>10</v>
      </c>
      <c r="H1602" s="5">
        <v>39900</v>
      </c>
      <c r="I1602" s="5">
        <v>2</v>
      </c>
      <c r="J1602" s="9">
        <v>79800</v>
      </c>
    </row>
    <row r="1603" spans="1:10" x14ac:dyDescent="0.3">
      <c r="A1603" s="3" t="s">
        <v>1668</v>
      </c>
      <c r="B1603" s="4">
        <v>43614</v>
      </c>
      <c r="C1603" s="5">
        <v>4</v>
      </c>
      <c r="D1603" s="5" t="s">
        <v>22</v>
      </c>
      <c r="E1603" s="5" t="s">
        <v>46</v>
      </c>
      <c r="F1603" s="5" t="s">
        <v>18</v>
      </c>
      <c r="G1603" s="5" t="s">
        <v>11</v>
      </c>
      <c r="H1603" s="5">
        <v>19900</v>
      </c>
      <c r="I1603" s="5">
        <v>1</v>
      </c>
      <c r="J1603" s="9">
        <v>19900</v>
      </c>
    </row>
    <row r="1604" spans="1:10" x14ac:dyDescent="0.3">
      <c r="A1604" s="3" t="s">
        <v>1669</v>
      </c>
      <c r="B1604" s="4">
        <v>43614</v>
      </c>
      <c r="C1604" s="5">
        <v>18</v>
      </c>
      <c r="D1604" s="5" t="s">
        <v>36</v>
      </c>
      <c r="E1604" s="5" t="s">
        <v>42</v>
      </c>
      <c r="F1604" s="5" t="s">
        <v>17</v>
      </c>
      <c r="G1604" s="5" t="s">
        <v>11</v>
      </c>
      <c r="H1604" s="5">
        <v>19900</v>
      </c>
      <c r="I1604" s="5">
        <v>8</v>
      </c>
      <c r="J1604" s="9">
        <v>159200</v>
      </c>
    </row>
    <row r="1605" spans="1:10" x14ac:dyDescent="0.3">
      <c r="A1605" s="3" t="s">
        <v>1670</v>
      </c>
      <c r="B1605" s="4">
        <v>43614</v>
      </c>
      <c r="C1605" s="5">
        <v>13</v>
      </c>
      <c r="D1605" s="5" t="s">
        <v>31</v>
      </c>
      <c r="E1605" s="5" t="s">
        <v>45</v>
      </c>
      <c r="F1605" s="5" t="s">
        <v>16</v>
      </c>
      <c r="G1605" s="5" t="s">
        <v>11</v>
      </c>
      <c r="H1605" s="5">
        <v>19900</v>
      </c>
      <c r="I1605" s="5">
        <v>7</v>
      </c>
      <c r="J1605" s="9">
        <v>139300</v>
      </c>
    </row>
    <row r="1606" spans="1:10" x14ac:dyDescent="0.3">
      <c r="A1606" s="3" t="s">
        <v>1671</v>
      </c>
      <c r="B1606" s="4">
        <v>43614</v>
      </c>
      <c r="C1606" s="5">
        <v>6</v>
      </c>
      <c r="D1606" s="5" t="s">
        <v>24</v>
      </c>
      <c r="E1606" s="5" t="s">
        <v>44</v>
      </c>
      <c r="F1606" s="5" t="s">
        <v>15</v>
      </c>
      <c r="G1606" s="5" t="s">
        <v>14</v>
      </c>
      <c r="H1606" s="5">
        <v>15900</v>
      </c>
      <c r="I1606" s="5">
        <v>5</v>
      </c>
      <c r="J1606" s="9">
        <v>79500</v>
      </c>
    </row>
    <row r="1607" spans="1:10" x14ac:dyDescent="0.3">
      <c r="A1607" s="3" t="s">
        <v>1672</v>
      </c>
      <c r="B1607" s="4">
        <v>43614</v>
      </c>
      <c r="C1607" s="5">
        <v>16</v>
      </c>
      <c r="D1607" s="5" t="s">
        <v>34</v>
      </c>
      <c r="E1607" s="5" t="s">
        <v>42</v>
      </c>
      <c r="F1607" s="5" t="s">
        <v>17</v>
      </c>
      <c r="G1607" s="5" t="s">
        <v>12</v>
      </c>
      <c r="H1607" s="5">
        <v>6900</v>
      </c>
      <c r="I1607" s="5">
        <v>1</v>
      </c>
      <c r="J1607" s="9">
        <v>6900</v>
      </c>
    </row>
    <row r="1608" spans="1:10" x14ac:dyDescent="0.3">
      <c r="A1608" s="3" t="s">
        <v>1673</v>
      </c>
      <c r="B1608" s="4">
        <v>43615</v>
      </c>
      <c r="C1608" s="5">
        <v>5</v>
      </c>
      <c r="D1608" s="5" t="s">
        <v>23</v>
      </c>
      <c r="E1608" s="5" t="s">
        <v>40</v>
      </c>
      <c r="F1608" s="5" t="s">
        <v>18</v>
      </c>
      <c r="G1608" s="5" t="s">
        <v>13</v>
      </c>
      <c r="H1608" s="5">
        <v>28900</v>
      </c>
      <c r="I1608" s="5">
        <v>3</v>
      </c>
      <c r="J1608" s="9">
        <v>86700</v>
      </c>
    </row>
    <row r="1609" spans="1:10" x14ac:dyDescent="0.3">
      <c r="A1609" s="3" t="s">
        <v>1674</v>
      </c>
      <c r="B1609" s="4">
        <v>43615</v>
      </c>
      <c r="C1609" s="5">
        <v>17</v>
      </c>
      <c r="D1609" s="5" t="s">
        <v>35</v>
      </c>
      <c r="E1609" s="5" t="s">
        <v>43</v>
      </c>
      <c r="F1609" s="5" t="s">
        <v>17</v>
      </c>
      <c r="G1609" s="5" t="s">
        <v>14</v>
      </c>
      <c r="H1609" s="5">
        <v>15900</v>
      </c>
      <c r="I1609" s="5">
        <v>8</v>
      </c>
      <c r="J1609" s="9">
        <v>127200</v>
      </c>
    </row>
    <row r="1610" spans="1:10" x14ac:dyDescent="0.3">
      <c r="A1610" s="3" t="s">
        <v>1675</v>
      </c>
      <c r="B1610" s="4">
        <v>43615</v>
      </c>
      <c r="C1610" s="5">
        <v>3</v>
      </c>
      <c r="D1610" s="5" t="s">
        <v>21</v>
      </c>
      <c r="E1610" s="5" t="s">
        <v>40</v>
      </c>
      <c r="F1610" s="5" t="s">
        <v>18</v>
      </c>
      <c r="G1610" s="5" t="s">
        <v>14</v>
      </c>
      <c r="H1610" s="5">
        <v>15900</v>
      </c>
      <c r="I1610" s="5">
        <v>8</v>
      </c>
      <c r="J1610" s="9">
        <v>127200</v>
      </c>
    </row>
    <row r="1611" spans="1:10" x14ac:dyDescent="0.3">
      <c r="A1611" s="3" t="s">
        <v>1676</v>
      </c>
      <c r="B1611" s="4">
        <v>43616</v>
      </c>
      <c r="C1611" s="5">
        <v>18</v>
      </c>
      <c r="D1611" s="5" t="s">
        <v>36</v>
      </c>
      <c r="E1611" s="5" t="s">
        <v>43</v>
      </c>
      <c r="F1611" s="5" t="s">
        <v>17</v>
      </c>
      <c r="G1611" s="5" t="s">
        <v>12</v>
      </c>
      <c r="H1611" s="5">
        <v>6900</v>
      </c>
      <c r="I1611" s="5">
        <v>4</v>
      </c>
      <c r="J1611" s="9">
        <v>27600</v>
      </c>
    </row>
    <row r="1612" spans="1:10" x14ac:dyDescent="0.3">
      <c r="A1612" s="3" t="s">
        <v>1677</v>
      </c>
      <c r="B1612" s="4">
        <v>43617</v>
      </c>
      <c r="C1612" s="5">
        <v>2</v>
      </c>
      <c r="D1612" s="5" t="s">
        <v>20</v>
      </c>
      <c r="E1612" s="5" t="s">
        <v>46</v>
      </c>
      <c r="F1612" s="5" t="s">
        <v>18</v>
      </c>
      <c r="G1612" s="5" t="s">
        <v>14</v>
      </c>
      <c r="H1612" s="5">
        <v>15900</v>
      </c>
      <c r="I1612" s="5">
        <v>1</v>
      </c>
      <c r="J1612" s="9">
        <v>15900</v>
      </c>
    </row>
    <row r="1613" spans="1:10" x14ac:dyDescent="0.3">
      <c r="A1613" s="3" t="s">
        <v>1678</v>
      </c>
      <c r="B1613" s="4">
        <v>43617</v>
      </c>
      <c r="C1613" s="5">
        <v>10</v>
      </c>
      <c r="D1613" s="5" t="s">
        <v>28</v>
      </c>
      <c r="E1613" s="5" t="s">
        <v>44</v>
      </c>
      <c r="F1613" s="5" t="s">
        <v>15</v>
      </c>
      <c r="G1613" s="5" t="s">
        <v>14</v>
      </c>
      <c r="H1613" s="5">
        <v>15900</v>
      </c>
      <c r="I1613" s="5">
        <v>2</v>
      </c>
      <c r="J1613" s="9">
        <v>31800</v>
      </c>
    </row>
    <row r="1614" spans="1:10" x14ac:dyDescent="0.3">
      <c r="A1614" s="3" t="s">
        <v>1679</v>
      </c>
      <c r="B1614" s="4">
        <v>43617</v>
      </c>
      <c r="C1614" s="5">
        <v>17</v>
      </c>
      <c r="D1614" s="5" t="s">
        <v>35</v>
      </c>
      <c r="E1614" s="5" t="s">
        <v>43</v>
      </c>
      <c r="F1614" s="5" t="s">
        <v>17</v>
      </c>
      <c r="G1614" s="5" t="s">
        <v>13</v>
      </c>
      <c r="H1614" s="5">
        <v>28900</v>
      </c>
      <c r="I1614" s="5">
        <v>0</v>
      </c>
      <c r="J1614" s="9">
        <v>0</v>
      </c>
    </row>
    <row r="1615" spans="1:10" x14ac:dyDescent="0.3">
      <c r="A1615" s="3" t="s">
        <v>1680</v>
      </c>
      <c r="B1615" s="4">
        <v>43618</v>
      </c>
      <c r="C1615" s="5">
        <v>8</v>
      </c>
      <c r="D1615" s="5" t="s">
        <v>26</v>
      </c>
      <c r="E1615" s="5" t="s">
        <v>44</v>
      </c>
      <c r="F1615" s="5" t="s">
        <v>15</v>
      </c>
      <c r="G1615" s="5" t="s">
        <v>13</v>
      </c>
      <c r="H1615" s="5">
        <v>28900</v>
      </c>
      <c r="I1615" s="5">
        <v>4</v>
      </c>
      <c r="J1615" s="9">
        <v>115600</v>
      </c>
    </row>
    <row r="1616" spans="1:10" x14ac:dyDescent="0.3">
      <c r="A1616" s="3" t="s">
        <v>1681</v>
      </c>
      <c r="B1616" s="4">
        <v>43618</v>
      </c>
      <c r="C1616" s="5">
        <v>3</v>
      </c>
      <c r="D1616" s="5" t="s">
        <v>21</v>
      </c>
      <c r="E1616" s="5" t="s">
        <v>46</v>
      </c>
      <c r="F1616" s="5" t="s">
        <v>18</v>
      </c>
      <c r="G1616" s="5" t="s">
        <v>12</v>
      </c>
      <c r="H1616" s="5">
        <v>6900</v>
      </c>
      <c r="I1616" s="5">
        <v>6</v>
      </c>
      <c r="J1616" s="9">
        <v>41400</v>
      </c>
    </row>
    <row r="1617" spans="1:10" x14ac:dyDescent="0.3">
      <c r="A1617" s="3" t="s">
        <v>1682</v>
      </c>
      <c r="B1617" s="4">
        <v>43618</v>
      </c>
      <c r="C1617" s="5">
        <v>10</v>
      </c>
      <c r="D1617" s="5" t="s">
        <v>28</v>
      </c>
      <c r="E1617" s="5" t="s">
        <v>44</v>
      </c>
      <c r="F1617" s="5" t="s">
        <v>15</v>
      </c>
      <c r="G1617" s="5" t="s">
        <v>12</v>
      </c>
      <c r="H1617" s="5">
        <v>6900</v>
      </c>
      <c r="I1617" s="5">
        <v>4</v>
      </c>
      <c r="J1617" s="9">
        <v>27600</v>
      </c>
    </row>
    <row r="1618" spans="1:10" x14ac:dyDescent="0.3">
      <c r="A1618" s="3" t="s">
        <v>1683</v>
      </c>
      <c r="B1618" s="4">
        <v>43618</v>
      </c>
      <c r="C1618" s="5">
        <v>15</v>
      </c>
      <c r="D1618" s="5" t="s">
        <v>33</v>
      </c>
      <c r="E1618" s="5" t="s">
        <v>39</v>
      </c>
      <c r="F1618" s="5" t="s">
        <v>16</v>
      </c>
      <c r="G1618" s="5" t="s">
        <v>14</v>
      </c>
      <c r="H1618" s="5">
        <v>15900</v>
      </c>
      <c r="I1618" s="5">
        <v>1</v>
      </c>
      <c r="J1618" s="9">
        <v>15900</v>
      </c>
    </row>
    <row r="1619" spans="1:10" x14ac:dyDescent="0.3">
      <c r="A1619" s="3" t="s">
        <v>1684</v>
      </c>
      <c r="B1619" s="4">
        <v>43619</v>
      </c>
      <c r="C1619" s="5">
        <v>19</v>
      </c>
      <c r="D1619" s="5" t="s">
        <v>37</v>
      </c>
      <c r="E1619" s="5" t="s">
        <v>43</v>
      </c>
      <c r="F1619" s="5" t="s">
        <v>17</v>
      </c>
      <c r="G1619" s="5" t="s">
        <v>12</v>
      </c>
      <c r="H1619" s="5">
        <v>6900</v>
      </c>
      <c r="I1619" s="5">
        <v>1</v>
      </c>
      <c r="J1619" s="9">
        <v>6900</v>
      </c>
    </row>
    <row r="1620" spans="1:10" x14ac:dyDescent="0.3">
      <c r="A1620" s="3" t="s">
        <v>1685</v>
      </c>
      <c r="B1620" s="4">
        <v>43620</v>
      </c>
      <c r="C1620" s="5">
        <v>20</v>
      </c>
      <c r="D1620" s="5" t="s">
        <v>38</v>
      </c>
      <c r="E1620" s="5" t="s">
        <v>43</v>
      </c>
      <c r="F1620" s="5" t="s">
        <v>17</v>
      </c>
      <c r="G1620" s="5" t="s">
        <v>14</v>
      </c>
      <c r="H1620" s="5">
        <v>15900</v>
      </c>
      <c r="I1620" s="5">
        <v>4</v>
      </c>
      <c r="J1620" s="9">
        <v>63600</v>
      </c>
    </row>
    <row r="1621" spans="1:10" x14ac:dyDescent="0.3">
      <c r="A1621" s="3" t="s">
        <v>1686</v>
      </c>
      <c r="B1621" s="4">
        <v>43621</v>
      </c>
      <c r="C1621" s="5">
        <v>9</v>
      </c>
      <c r="D1621" s="5" t="s">
        <v>27</v>
      </c>
      <c r="E1621" s="5" t="s">
        <v>44</v>
      </c>
      <c r="F1621" s="5" t="s">
        <v>15</v>
      </c>
      <c r="G1621" s="5" t="s">
        <v>10</v>
      </c>
      <c r="H1621" s="5">
        <v>39900</v>
      </c>
      <c r="I1621" s="5">
        <v>0</v>
      </c>
      <c r="J1621" s="9">
        <v>0</v>
      </c>
    </row>
    <row r="1622" spans="1:10" x14ac:dyDescent="0.3">
      <c r="A1622" s="3" t="s">
        <v>1687</v>
      </c>
      <c r="B1622" s="4">
        <v>43621</v>
      </c>
      <c r="C1622" s="5">
        <v>4</v>
      </c>
      <c r="D1622" s="5" t="s">
        <v>22</v>
      </c>
      <c r="E1622" s="5" t="s">
        <v>46</v>
      </c>
      <c r="F1622" s="5" t="s">
        <v>18</v>
      </c>
      <c r="G1622" s="5" t="s">
        <v>14</v>
      </c>
      <c r="H1622" s="5">
        <v>15900</v>
      </c>
      <c r="I1622" s="5">
        <v>2</v>
      </c>
      <c r="J1622" s="9">
        <v>31800</v>
      </c>
    </row>
    <row r="1623" spans="1:10" x14ac:dyDescent="0.3">
      <c r="A1623" s="3" t="s">
        <v>1688</v>
      </c>
      <c r="B1623" s="4">
        <v>43621</v>
      </c>
      <c r="C1623" s="5">
        <v>11</v>
      </c>
      <c r="D1623" s="5" t="s">
        <v>29</v>
      </c>
      <c r="E1623" s="5" t="s">
        <v>39</v>
      </c>
      <c r="F1623" s="5" t="s">
        <v>16</v>
      </c>
      <c r="G1623" s="5" t="s">
        <v>13</v>
      </c>
      <c r="H1623" s="5">
        <v>28900</v>
      </c>
      <c r="I1623" s="5">
        <v>2</v>
      </c>
      <c r="J1623" s="9">
        <v>57800</v>
      </c>
    </row>
    <row r="1624" spans="1:10" x14ac:dyDescent="0.3">
      <c r="A1624" s="3" t="s">
        <v>1689</v>
      </c>
      <c r="B1624" s="4">
        <v>43621</v>
      </c>
      <c r="C1624" s="5">
        <v>2</v>
      </c>
      <c r="D1624" s="5" t="s">
        <v>20</v>
      </c>
      <c r="E1624" s="5" t="s">
        <v>40</v>
      </c>
      <c r="F1624" s="5" t="s">
        <v>18</v>
      </c>
      <c r="G1624" s="5" t="s">
        <v>14</v>
      </c>
      <c r="H1624" s="5">
        <v>15900</v>
      </c>
      <c r="I1624" s="5">
        <v>1</v>
      </c>
      <c r="J1624" s="9">
        <v>15900</v>
      </c>
    </row>
    <row r="1625" spans="1:10" x14ac:dyDescent="0.3">
      <c r="A1625" s="3" t="s">
        <v>1690</v>
      </c>
      <c r="B1625" s="4">
        <v>43622</v>
      </c>
      <c r="C1625" s="5">
        <v>6</v>
      </c>
      <c r="D1625" s="5" t="s">
        <v>24</v>
      </c>
      <c r="E1625" s="5" t="s">
        <v>44</v>
      </c>
      <c r="F1625" s="5" t="s">
        <v>15</v>
      </c>
      <c r="G1625" s="5" t="s">
        <v>13</v>
      </c>
      <c r="H1625" s="5">
        <v>28900</v>
      </c>
      <c r="I1625" s="5">
        <v>1</v>
      </c>
      <c r="J1625" s="9">
        <v>28900</v>
      </c>
    </row>
    <row r="1626" spans="1:10" x14ac:dyDescent="0.3">
      <c r="A1626" s="3" t="s">
        <v>1691</v>
      </c>
      <c r="B1626" s="4">
        <v>43622</v>
      </c>
      <c r="C1626" s="5">
        <v>14</v>
      </c>
      <c r="D1626" s="5" t="s">
        <v>32</v>
      </c>
      <c r="E1626" s="5" t="s">
        <v>45</v>
      </c>
      <c r="F1626" s="5" t="s">
        <v>16</v>
      </c>
      <c r="G1626" s="5" t="s">
        <v>11</v>
      </c>
      <c r="H1626" s="5">
        <v>19900</v>
      </c>
      <c r="I1626" s="5">
        <v>7</v>
      </c>
      <c r="J1626" s="9">
        <v>139300</v>
      </c>
    </row>
    <row r="1627" spans="1:10" x14ac:dyDescent="0.3">
      <c r="A1627" s="3" t="s">
        <v>1692</v>
      </c>
      <c r="B1627" s="4">
        <v>43622</v>
      </c>
      <c r="C1627" s="5">
        <v>15</v>
      </c>
      <c r="D1627" s="5" t="s">
        <v>33</v>
      </c>
      <c r="E1627" s="5" t="s">
        <v>39</v>
      </c>
      <c r="F1627" s="5" t="s">
        <v>16</v>
      </c>
      <c r="G1627" s="5" t="s">
        <v>11</v>
      </c>
      <c r="H1627" s="5">
        <v>19900</v>
      </c>
      <c r="I1627" s="5">
        <v>6</v>
      </c>
      <c r="J1627" s="9">
        <v>119400</v>
      </c>
    </row>
    <row r="1628" spans="1:10" x14ac:dyDescent="0.3">
      <c r="A1628" s="3" t="s">
        <v>1693</v>
      </c>
      <c r="B1628" s="4">
        <v>43622</v>
      </c>
      <c r="C1628" s="5">
        <v>5</v>
      </c>
      <c r="D1628" s="5" t="s">
        <v>23</v>
      </c>
      <c r="E1628" s="5" t="s">
        <v>46</v>
      </c>
      <c r="F1628" s="5" t="s">
        <v>18</v>
      </c>
      <c r="G1628" s="5" t="s">
        <v>10</v>
      </c>
      <c r="H1628" s="5">
        <v>39900</v>
      </c>
      <c r="I1628" s="5">
        <v>6</v>
      </c>
      <c r="J1628" s="9">
        <v>239400</v>
      </c>
    </row>
    <row r="1629" spans="1:10" x14ac:dyDescent="0.3">
      <c r="A1629" s="3" t="s">
        <v>1694</v>
      </c>
      <c r="B1629" s="4">
        <v>43622</v>
      </c>
      <c r="C1629" s="5">
        <v>17</v>
      </c>
      <c r="D1629" s="5" t="s">
        <v>35</v>
      </c>
      <c r="E1629" s="5" t="s">
        <v>43</v>
      </c>
      <c r="F1629" s="5" t="s">
        <v>17</v>
      </c>
      <c r="G1629" s="5" t="s">
        <v>14</v>
      </c>
      <c r="H1629" s="5">
        <v>15900</v>
      </c>
      <c r="I1629" s="5">
        <v>7</v>
      </c>
      <c r="J1629" s="9">
        <v>111300</v>
      </c>
    </row>
    <row r="1630" spans="1:10" x14ac:dyDescent="0.3">
      <c r="A1630" s="3" t="s">
        <v>1695</v>
      </c>
      <c r="B1630" s="4">
        <v>43622</v>
      </c>
      <c r="C1630" s="5">
        <v>9</v>
      </c>
      <c r="D1630" s="5" t="s">
        <v>27</v>
      </c>
      <c r="E1630" s="5" t="s">
        <v>44</v>
      </c>
      <c r="F1630" s="5" t="s">
        <v>15</v>
      </c>
      <c r="G1630" s="5" t="s">
        <v>10</v>
      </c>
      <c r="H1630" s="5">
        <v>39900</v>
      </c>
      <c r="I1630" s="5">
        <v>0</v>
      </c>
      <c r="J1630" s="9">
        <v>0</v>
      </c>
    </row>
    <row r="1631" spans="1:10" x14ac:dyDescent="0.3">
      <c r="A1631" s="3" t="s">
        <v>1696</v>
      </c>
      <c r="B1631" s="4">
        <v>43622</v>
      </c>
      <c r="C1631" s="5">
        <v>4</v>
      </c>
      <c r="D1631" s="5" t="s">
        <v>22</v>
      </c>
      <c r="E1631" s="5" t="s">
        <v>40</v>
      </c>
      <c r="F1631" s="5" t="s">
        <v>18</v>
      </c>
      <c r="G1631" s="5" t="s">
        <v>14</v>
      </c>
      <c r="H1631" s="5">
        <v>15900</v>
      </c>
      <c r="I1631" s="5">
        <v>4</v>
      </c>
      <c r="J1631" s="9">
        <v>63600</v>
      </c>
    </row>
    <row r="1632" spans="1:10" x14ac:dyDescent="0.3">
      <c r="A1632" s="3" t="s">
        <v>1697</v>
      </c>
      <c r="B1632" s="4">
        <v>43622</v>
      </c>
      <c r="C1632" s="5">
        <v>17</v>
      </c>
      <c r="D1632" s="5" t="s">
        <v>35</v>
      </c>
      <c r="E1632" s="5" t="s">
        <v>43</v>
      </c>
      <c r="F1632" s="5" t="s">
        <v>17</v>
      </c>
      <c r="G1632" s="5" t="s">
        <v>12</v>
      </c>
      <c r="H1632" s="5">
        <v>6900</v>
      </c>
      <c r="I1632" s="5">
        <v>7</v>
      </c>
      <c r="J1632" s="9">
        <v>48300</v>
      </c>
    </row>
    <row r="1633" spans="1:10" x14ac:dyDescent="0.3">
      <c r="A1633" s="3" t="s">
        <v>1698</v>
      </c>
      <c r="B1633" s="4">
        <v>43622</v>
      </c>
      <c r="C1633" s="5">
        <v>1</v>
      </c>
      <c r="D1633" s="5" t="s">
        <v>19</v>
      </c>
      <c r="E1633" s="5" t="s">
        <v>46</v>
      </c>
      <c r="F1633" s="5" t="s">
        <v>18</v>
      </c>
      <c r="G1633" s="5" t="s">
        <v>10</v>
      </c>
      <c r="H1633" s="5">
        <v>39900</v>
      </c>
      <c r="I1633" s="5">
        <v>0</v>
      </c>
      <c r="J1633" s="9">
        <v>0</v>
      </c>
    </row>
    <row r="1634" spans="1:10" x14ac:dyDescent="0.3">
      <c r="A1634" s="3" t="s">
        <v>1699</v>
      </c>
      <c r="B1634" s="4">
        <v>43622</v>
      </c>
      <c r="C1634" s="5">
        <v>15</v>
      </c>
      <c r="D1634" s="5" t="s">
        <v>33</v>
      </c>
      <c r="E1634" s="5" t="s">
        <v>45</v>
      </c>
      <c r="F1634" s="5" t="s">
        <v>16</v>
      </c>
      <c r="G1634" s="5" t="s">
        <v>14</v>
      </c>
      <c r="H1634" s="5">
        <v>15900</v>
      </c>
      <c r="I1634" s="5">
        <v>5</v>
      </c>
      <c r="J1634" s="9">
        <v>79500</v>
      </c>
    </row>
    <row r="1635" spans="1:10" x14ac:dyDescent="0.3">
      <c r="A1635" s="3" t="s">
        <v>1700</v>
      </c>
      <c r="B1635" s="4">
        <v>43622</v>
      </c>
      <c r="C1635" s="5">
        <v>2</v>
      </c>
      <c r="D1635" s="5" t="s">
        <v>20</v>
      </c>
      <c r="E1635" s="5" t="s">
        <v>40</v>
      </c>
      <c r="F1635" s="5" t="s">
        <v>18</v>
      </c>
      <c r="G1635" s="5" t="s">
        <v>14</v>
      </c>
      <c r="H1635" s="5">
        <v>15900</v>
      </c>
      <c r="I1635" s="5">
        <v>8</v>
      </c>
      <c r="J1635" s="9">
        <v>127200</v>
      </c>
    </row>
    <row r="1636" spans="1:10" x14ac:dyDescent="0.3">
      <c r="A1636" s="3" t="s">
        <v>1701</v>
      </c>
      <c r="B1636" s="4">
        <v>43622</v>
      </c>
      <c r="C1636" s="5">
        <v>3</v>
      </c>
      <c r="D1636" s="5" t="s">
        <v>21</v>
      </c>
      <c r="E1636" s="5" t="s">
        <v>40</v>
      </c>
      <c r="F1636" s="5" t="s">
        <v>18</v>
      </c>
      <c r="G1636" s="5" t="s">
        <v>13</v>
      </c>
      <c r="H1636" s="5">
        <v>28900</v>
      </c>
      <c r="I1636" s="5">
        <v>9</v>
      </c>
      <c r="J1636" s="9">
        <v>260100</v>
      </c>
    </row>
    <row r="1637" spans="1:10" x14ac:dyDescent="0.3">
      <c r="A1637" s="3" t="s">
        <v>1702</v>
      </c>
      <c r="B1637" s="4">
        <v>43623</v>
      </c>
      <c r="C1637" s="5">
        <v>2</v>
      </c>
      <c r="D1637" s="5" t="s">
        <v>20</v>
      </c>
      <c r="E1637" s="5" t="s">
        <v>46</v>
      </c>
      <c r="F1637" s="5" t="s">
        <v>18</v>
      </c>
      <c r="G1637" s="5" t="s">
        <v>12</v>
      </c>
      <c r="H1637" s="5">
        <v>6900</v>
      </c>
      <c r="I1637" s="5">
        <v>3</v>
      </c>
      <c r="J1637" s="9">
        <v>20700</v>
      </c>
    </row>
    <row r="1638" spans="1:10" x14ac:dyDescent="0.3">
      <c r="A1638" s="3" t="s">
        <v>1703</v>
      </c>
      <c r="B1638" s="4">
        <v>43624</v>
      </c>
      <c r="C1638" s="5">
        <v>10</v>
      </c>
      <c r="D1638" s="5" t="s">
        <v>28</v>
      </c>
      <c r="E1638" s="5" t="s">
        <v>44</v>
      </c>
      <c r="F1638" s="5" t="s">
        <v>15</v>
      </c>
      <c r="G1638" s="5" t="s">
        <v>10</v>
      </c>
      <c r="H1638" s="5">
        <v>39900</v>
      </c>
      <c r="I1638" s="5">
        <v>5</v>
      </c>
      <c r="J1638" s="9">
        <v>199500</v>
      </c>
    </row>
    <row r="1639" spans="1:10" x14ac:dyDescent="0.3">
      <c r="A1639" s="3" t="s">
        <v>1704</v>
      </c>
      <c r="B1639" s="4">
        <v>43624</v>
      </c>
      <c r="C1639" s="5">
        <v>4</v>
      </c>
      <c r="D1639" s="5" t="s">
        <v>22</v>
      </c>
      <c r="E1639" s="5" t="s">
        <v>46</v>
      </c>
      <c r="F1639" s="5" t="s">
        <v>18</v>
      </c>
      <c r="G1639" s="5" t="s">
        <v>11</v>
      </c>
      <c r="H1639" s="5">
        <v>19900</v>
      </c>
      <c r="I1639" s="5">
        <v>1</v>
      </c>
      <c r="J1639" s="9">
        <v>19900</v>
      </c>
    </row>
    <row r="1640" spans="1:10" x14ac:dyDescent="0.3">
      <c r="A1640" s="3" t="s">
        <v>1705</v>
      </c>
      <c r="B1640" s="4">
        <v>43624</v>
      </c>
      <c r="C1640" s="5">
        <v>20</v>
      </c>
      <c r="D1640" s="5" t="s">
        <v>38</v>
      </c>
      <c r="E1640" s="5" t="s">
        <v>42</v>
      </c>
      <c r="F1640" s="5" t="s">
        <v>17</v>
      </c>
      <c r="G1640" s="5" t="s">
        <v>10</v>
      </c>
      <c r="H1640" s="5">
        <v>39900</v>
      </c>
      <c r="I1640" s="5">
        <v>6</v>
      </c>
      <c r="J1640" s="9">
        <v>239400</v>
      </c>
    </row>
    <row r="1641" spans="1:10" x14ac:dyDescent="0.3">
      <c r="A1641" s="3" t="s">
        <v>1706</v>
      </c>
      <c r="B1641" s="4">
        <v>43624</v>
      </c>
      <c r="C1641" s="5">
        <v>19</v>
      </c>
      <c r="D1641" s="5" t="s">
        <v>37</v>
      </c>
      <c r="E1641" s="5" t="s">
        <v>42</v>
      </c>
      <c r="F1641" s="5" t="s">
        <v>17</v>
      </c>
      <c r="G1641" s="5" t="s">
        <v>12</v>
      </c>
      <c r="H1641" s="5">
        <v>6900</v>
      </c>
      <c r="I1641" s="5">
        <v>5</v>
      </c>
      <c r="J1641" s="9">
        <v>34500</v>
      </c>
    </row>
    <row r="1642" spans="1:10" x14ac:dyDescent="0.3">
      <c r="A1642" s="3" t="s">
        <v>1707</v>
      </c>
      <c r="B1642" s="4">
        <v>43624</v>
      </c>
      <c r="C1642" s="5">
        <v>13</v>
      </c>
      <c r="D1642" s="5" t="s">
        <v>31</v>
      </c>
      <c r="E1642" s="5" t="s">
        <v>39</v>
      </c>
      <c r="F1642" s="5" t="s">
        <v>16</v>
      </c>
      <c r="G1642" s="5" t="s">
        <v>14</v>
      </c>
      <c r="H1642" s="5">
        <v>15900</v>
      </c>
      <c r="I1642" s="5">
        <v>2</v>
      </c>
      <c r="J1642" s="9">
        <v>31800</v>
      </c>
    </row>
    <row r="1643" spans="1:10" x14ac:dyDescent="0.3">
      <c r="A1643" s="3" t="s">
        <v>1708</v>
      </c>
      <c r="B1643" s="4">
        <v>43624</v>
      </c>
      <c r="C1643" s="5">
        <v>17</v>
      </c>
      <c r="D1643" s="5" t="s">
        <v>35</v>
      </c>
      <c r="E1643" s="5" t="s">
        <v>42</v>
      </c>
      <c r="F1643" s="5" t="s">
        <v>17</v>
      </c>
      <c r="G1643" s="5" t="s">
        <v>10</v>
      </c>
      <c r="H1643" s="5">
        <v>39900</v>
      </c>
      <c r="I1643" s="5">
        <v>9</v>
      </c>
      <c r="J1643" s="9">
        <v>359100</v>
      </c>
    </row>
    <row r="1644" spans="1:10" x14ac:dyDescent="0.3">
      <c r="A1644" s="3" t="s">
        <v>1709</v>
      </c>
      <c r="B1644" s="4">
        <v>43624</v>
      </c>
      <c r="C1644" s="5">
        <v>7</v>
      </c>
      <c r="D1644" s="5" t="s">
        <v>25</v>
      </c>
      <c r="E1644" s="5" t="s">
        <v>44</v>
      </c>
      <c r="F1644" s="5" t="s">
        <v>15</v>
      </c>
      <c r="G1644" s="5" t="s">
        <v>11</v>
      </c>
      <c r="H1644" s="5">
        <v>19900</v>
      </c>
      <c r="I1644" s="5">
        <v>9</v>
      </c>
      <c r="J1644" s="9">
        <v>179100</v>
      </c>
    </row>
    <row r="1645" spans="1:10" x14ac:dyDescent="0.3">
      <c r="A1645" s="3" t="s">
        <v>1710</v>
      </c>
      <c r="B1645" s="4">
        <v>43625</v>
      </c>
      <c r="C1645" s="5">
        <v>4</v>
      </c>
      <c r="D1645" s="5" t="s">
        <v>22</v>
      </c>
      <c r="E1645" s="5" t="s">
        <v>40</v>
      </c>
      <c r="F1645" s="5" t="s">
        <v>18</v>
      </c>
      <c r="G1645" s="5" t="s">
        <v>10</v>
      </c>
      <c r="H1645" s="5">
        <v>39900</v>
      </c>
      <c r="I1645" s="5">
        <v>6</v>
      </c>
      <c r="J1645" s="9">
        <v>239400</v>
      </c>
    </row>
    <row r="1646" spans="1:10" x14ac:dyDescent="0.3">
      <c r="A1646" s="3" t="s">
        <v>1711</v>
      </c>
      <c r="B1646" s="4">
        <v>43625</v>
      </c>
      <c r="C1646" s="5">
        <v>11</v>
      </c>
      <c r="D1646" s="5" t="s">
        <v>29</v>
      </c>
      <c r="E1646" s="5" t="s">
        <v>39</v>
      </c>
      <c r="F1646" s="5" t="s">
        <v>16</v>
      </c>
      <c r="G1646" s="5" t="s">
        <v>10</v>
      </c>
      <c r="H1646" s="5">
        <v>39900</v>
      </c>
      <c r="I1646" s="5">
        <v>3</v>
      </c>
      <c r="J1646" s="9">
        <v>119700</v>
      </c>
    </row>
    <row r="1647" spans="1:10" x14ac:dyDescent="0.3">
      <c r="A1647" s="3" t="s">
        <v>1712</v>
      </c>
      <c r="B1647" s="4">
        <v>43626</v>
      </c>
      <c r="C1647" s="5">
        <v>11</v>
      </c>
      <c r="D1647" s="5" t="s">
        <v>29</v>
      </c>
      <c r="E1647" s="5" t="s">
        <v>39</v>
      </c>
      <c r="F1647" s="5" t="s">
        <v>16</v>
      </c>
      <c r="G1647" s="5" t="s">
        <v>11</v>
      </c>
      <c r="H1647" s="5">
        <v>19900</v>
      </c>
      <c r="I1647" s="5">
        <v>4</v>
      </c>
      <c r="J1647" s="9">
        <v>79600</v>
      </c>
    </row>
    <row r="1648" spans="1:10" x14ac:dyDescent="0.3">
      <c r="A1648" s="3" t="s">
        <v>1713</v>
      </c>
      <c r="B1648" s="4">
        <v>43626</v>
      </c>
      <c r="C1648" s="5">
        <v>13</v>
      </c>
      <c r="D1648" s="5" t="s">
        <v>31</v>
      </c>
      <c r="E1648" s="5" t="s">
        <v>45</v>
      </c>
      <c r="F1648" s="5" t="s">
        <v>16</v>
      </c>
      <c r="G1648" s="5" t="s">
        <v>14</v>
      </c>
      <c r="H1648" s="5">
        <v>15900</v>
      </c>
      <c r="I1648" s="5">
        <v>9</v>
      </c>
      <c r="J1648" s="9">
        <v>143100</v>
      </c>
    </row>
    <row r="1649" spans="1:10" x14ac:dyDescent="0.3">
      <c r="A1649" s="3" t="s">
        <v>1714</v>
      </c>
      <c r="B1649" s="4">
        <v>43626</v>
      </c>
      <c r="C1649" s="5">
        <v>1</v>
      </c>
      <c r="D1649" s="5" t="s">
        <v>19</v>
      </c>
      <c r="E1649" s="5" t="s">
        <v>46</v>
      </c>
      <c r="F1649" s="5" t="s">
        <v>18</v>
      </c>
      <c r="G1649" s="5" t="s">
        <v>10</v>
      </c>
      <c r="H1649" s="5">
        <v>39900</v>
      </c>
      <c r="I1649" s="5">
        <v>2</v>
      </c>
      <c r="J1649" s="9">
        <v>79800</v>
      </c>
    </row>
    <row r="1650" spans="1:10" x14ac:dyDescent="0.3">
      <c r="A1650" s="3" t="s">
        <v>1715</v>
      </c>
      <c r="B1650" s="4">
        <v>43627</v>
      </c>
      <c r="C1650" s="5">
        <v>15</v>
      </c>
      <c r="D1650" s="5" t="s">
        <v>33</v>
      </c>
      <c r="E1650" s="5" t="s">
        <v>39</v>
      </c>
      <c r="F1650" s="5" t="s">
        <v>16</v>
      </c>
      <c r="G1650" s="5" t="s">
        <v>14</v>
      </c>
      <c r="H1650" s="5">
        <v>15900</v>
      </c>
      <c r="I1650" s="5">
        <v>0</v>
      </c>
      <c r="J1650" s="9">
        <v>0</v>
      </c>
    </row>
    <row r="1651" spans="1:10" x14ac:dyDescent="0.3">
      <c r="A1651" s="3" t="s">
        <v>1716</v>
      </c>
      <c r="B1651" s="4">
        <v>43627</v>
      </c>
      <c r="C1651" s="5">
        <v>9</v>
      </c>
      <c r="D1651" s="5" t="s">
        <v>27</v>
      </c>
      <c r="E1651" s="5" t="s">
        <v>41</v>
      </c>
      <c r="F1651" s="5" t="s">
        <v>15</v>
      </c>
      <c r="G1651" s="5" t="s">
        <v>10</v>
      </c>
      <c r="H1651" s="5">
        <v>39900</v>
      </c>
      <c r="I1651" s="5">
        <v>3</v>
      </c>
      <c r="J1651" s="9">
        <v>119700</v>
      </c>
    </row>
    <row r="1652" spans="1:10" x14ac:dyDescent="0.3">
      <c r="A1652" s="3" t="s">
        <v>1717</v>
      </c>
      <c r="B1652" s="4">
        <v>43627</v>
      </c>
      <c r="C1652" s="5">
        <v>20</v>
      </c>
      <c r="D1652" s="5" t="s">
        <v>38</v>
      </c>
      <c r="E1652" s="5" t="s">
        <v>43</v>
      </c>
      <c r="F1652" s="5" t="s">
        <v>17</v>
      </c>
      <c r="G1652" s="5" t="s">
        <v>12</v>
      </c>
      <c r="H1652" s="5">
        <v>6900</v>
      </c>
      <c r="I1652" s="5">
        <v>0</v>
      </c>
      <c r="J1652" s="9">
        <v>0</v>
      </c>
    </row>
    <row r="1653" spans="1:10" x14ac:dyDescent="0.3">
      <c r="A1653" s="3" t="s">
        <v>1718</v>
      </c>
      <c r="B1653" s="4">
        <v>43627</v>
      </c>
      <c r="C1653" s="5">
        <v>9</v>
      </c>
      <c r="D1653" s="5" t="s">
        <v>27</v>
      </c>
      <c r="E1653" s="5" t="s">
        <v>44</v>
      </c>
      <c r="F1653" s="5" t="s">
        <v>15</v>
      </c>
      <c r="G1653" s="5" t="s">
        <v>11</v>
      </c>
      <c r="H1653" s="5">
        <v>19900</v>
      </c>
      <c r="I1653" s="5">
        <v>5</v>
      </c>
      <c r="J1653" s="9">
        <v>99500</v>
      </c>
    </row>
    <row r="1654" spans="1:10" x14ac:dyDescent="0.3">
      <c r="A1654" s="3" t="s">
        <v>1719</v>
      </c>
      <c r="B1654" s="4">
        <v>43628</v>
      </c>
      <c r="C1654" s="5">
        <v>15</v>
      </c>
      <c r="D1654" s="5" t="s">
        <v>33</v>
      </c>
      <c r="E1654" s="5" t="s">
        <v>39</v>
      </c>
      <c r="F1654" s="5" t="s">
        <v>16</v>
      </c>
      <c r="G1654" s="5" t="s">
        <v>14</v>
      </c>
      <c r="H1654" s="5">
        <v>15900</v>
      </c>
      <c r="I1654" s="5">
        <v>1</v>
      </c>
      <c r="J1654" s="9">
        <v>15900</v>
      </c>
    </row>
    <row r="1655" spans="1:10" x14ac:dyDescent="0.3">
      <c r="A1655" s="3" t="s">
        <v>1720</v>
      </c>
      <c r="B1655" s="4">
        <v>43629</v>
      </c>
      <c r="C1655" s="5">
        <v>3</v>
      </c>
      <c r="D1655" s="5" t="s">
        <v>21</v>
      </c>
      <c r="E1655" s="5" t="s">
        <v>40</v>
      </c>
      <c r="F1655" s="5" t="s">
        <v>18</v>
      </c>
      <c r="G1655" s="5" t="s">
        <v>10</v>
      </c>
      <c r="H1655" s="5">
        <v>39900</v>
      </c>
      <c r="I1655" s="5">
        <v>5</v>
      </c>
      <c r="J1655" s="9">
        <v>199500</v>
      </c>
    </row>
    <row r="1656" spans="1:10" x14ac:dyDescent="0.3">
      <c r="A1656" s="3" t="s">
        <v>1721</v>
      </c>
      <c r="B1656" s="4">
        <v>43630</v>
      </c>
      <c r="C1656" s="5">
        <v>17</v>
      </c>
      <c r="D1656" s="5" t="s">
        <v>35</v>
      </c>
      <c r="E1656" s="5" t="s">
        <v>43</v>
      </c>
      <c r="F1656" s="5" t="s">
        <v>17</v>
      </c>
      <c r="G1656" s="5" t="s">
        <v>11</v>
      </c>
      <c r="H1656" s="5">
        <v>19900</v>
      </c>
      <c r="I1656" s="5">
        <v>8</v>
      </c>
      <c r="J1656" s="9">
        <v>159200</v>
      </c>
    </row>
    <row r="1657" spans="1:10" x14ac:dyDescent="0.3">
      <c r="A1657" s="3" t="s">
        <v>1722</v>
      </c>
      <c r="B1657" s="4">
        <v>43630</v>
      </c>
      <c r="C1657" s="5">
        <v>16</v>
      </c>
      <c r="D1657" s="5" t="s">
        <v>34</v>
      </c>
      <c r="E1657" s="5" t="s">
        <v>43</v>
      </c>
      <c r="F1657" s="5" t="s">
        <v>17</v>
      </c>
      <c r="G1657" s="5" t="s">
        <v>13</v>
      </c>
      <c r="H1657" s="5">
        <v>28900</v>
      </c>
      <c r="I1657" s="5">
        <v>9</v>
      </c>
      <c r="J1657" s="9">
        <v>260100</v>
      </c>
    </row>
    <row r="1658" spans="1:10" x14ac:dyDescent="0.3">
      <c r="A1658" s="3" t="s">
        <v>1723</v>
      </c>
      <c r="B1658" s="4">
        <v>43630</v>
      </c>
      <c r="C1658" s="5">
        <v>10</v>
      </c>
      <c r="D1658" s="5" t="s">
        <v>28</v>
      </c>
      <c r="E1658" s="5" t="s">
        <v>44</v>
      </c>
      <c r="F1658" s="5" t="s">
        <v>15</v>
      </c>
      <c r="G1658" s="5" t="s">
        <v>10</v>
      </c>
      <c r="H1658" s="5">
        <v>39900</v>
      </c>
      <c r="I1658" s="5">
        <v>8</v>
      </c>
      <c r="J1658" s="9">
        <v>319200</v>
      </c>
    </row>
    <row r="1659" spans="1:10" x14ac:dyDescent="0.3">
      <c r="A1659" s="3" t="s">
        <v>1724</v>
      </c>
      <c r="B1659" s="4">
        <v>43630</v>
      </c>
      <c r="C1659" s="5">
        <v>3</v>
      </c>
      <c r="D1659" s="5" t="s">
        <v>21</v>
      </c>
      <c r="E1659" s="5" t="s">
        <v>40</v>
      </c>
      <c r="F1659" s="5" t="s">
        <v>18</v>
      </c>
      <c r="G1659" s="5" t="s">
        <v>10</v>
      </c>
      <c r="H1659" s="5">
        <v>39900</v>
      </c>
      <c r="I1659" s="5">
        <v>8</v>
      </c>
      <c r="J1659" s="9">
        <v>319200</v>
      </c>
    </row>
    <row r="1660" spans="1:10" x14ac:dyDescent="0.3">
      <c r="A1660" s="3" t="s">
        <v>1725</v>
      </c>
      <c r="B1660" s="4">
        <v>43630</v>
      </c>
      <c r="C1660" s="5">
        <v>13</v>
      </c>
      <c r="D1660" s="5" t="s">
        <v>31</v>
      </c>
      <c r="E1660" s="5" t="s">
        <v>45</v>
      </c>
      <c r="F1660" s="5" t="s">
        <v>16</v>
      </c>
      <c r="G1660" s="5" t="s">
        <v>12</v>
      </c>
      <c r="H1660" s="5">
        <v>6900</v>
      </c>
      <c r="I1660" s="5">
        <v>4</v>
      </c>
      <c r="J1660" s="9">
        <v>27600</v>
      </c>
    </row>
    <row r="1661" spans="1:10" x14ac:dyDescent="0.3">
      <c r="A1661" s="3" t="s">
        <v>1726</v>
      </c>
      <c r="B1661" s="4">
        <v>43631</v>
      </c>
      <c r="C1661" s="5">
        <v>13</v>
      </c>
      <c r="D1661" s="5" t="s">
        <v>31</v>
      </c>
      <c r="E1661" s="5" t="s">
        <v>39</v>
      </c>
      <c r="F1661" s="5" t="s">
        <v>16</v>
      </c>
      <c r="G1661" s="5" t="s">
        <v>13</v>
      </c>
      <c r="H1661" s="5">
        <v>28900</v>
      </c>
      <c r="I1661" s="5">
        <v>4</v>
      </c>
      <c r="J1661" s="9">
        <v>115600</v>
      </c>
    </row>
    <row r="1662" spans="1:10" x14ac:dyDescent="0.3">
      <c r="A1662" s="3" t="s">
        <v>1727</v>
      </c>
      <c r="B1662" s="4">
        <v>43631</v>
      </c>
      <c r="C1662" s="5">
        <v>9</v>
      </c>
      <c r="D1662" s="5" t="s">
        <v>27</v>
      </c>
      <c r="E1662" s="5" t="s">
        <v>41</v>
      </c>
      <c r="F1662" s="5" t="s">
        <v>15</v>
      </c>
      <c r="G1662" s="5" t="s">
        <v>12</v>
      </c>
      <c r="H1662" s="5">
        <v>6900</v>
      </c>
      <c r="I1662" s="5">
        <v>5</v>
      </c>
      <c r="J1662" s="9">
        <v>34500</v>
      </c>
    </row>
    <row r="1663" spans="1:10" x14ac:dyDescent="0.3">
      <c r="A1663" s="3" t="s">
        <v>1728</v>
      </c>
      <c r="B1663" s="4">
        <v>43631</v>
      </c>
      <c r="C1663" s="5">
        <v>20</v>
      </c>
      <c r="D1663" s="5" t="s">
        <v>38</v>
      </c>
      <c r="E1663" s="5" t="s">
        <v>43</v>
      </c>
      <c r="F1663" s="5" t="s">
        <v>17</v>
      </c>
      <c r="G1663" s="5" t="s">
        <v>12</v>
      </c>
      <c r="H1663" s="5">
        <v>6900</v>
      </c>
      <c r="I1663" s="5">
        <v>8</v>
      </c>
      <c r="J1663" s="9">
        <v>55200</v>
      </c>
    </row>
    <row r="1664" spans="1:10" x14ac:dyDescent="0.3">
      <c r="A1664" s="3" t="s">
        <v>1729</v>
      </c>
      <c r="B1664" s="4">
        <v>43631</v>
      </c>
      <c r="C1664" s="5">
        <v>2</v>
      </c>
      <c r="D1664" s="5" t="s">
        <v>20</v>
      </c>
      <c r="E1664" s="5" t="s">
        <v>40</v>
      </c>
      <c r="F1664" s="5" t="s">
        <v>18</v>
      </c>
      <c r="G1664" s="5" t="s">
        <v>13</v>
      </c>
      <c r="H1664" s="5">
        <v>28900</v>
      </c>
      <c r="I1664" s="5">
        <v>5</v>
      </c>
      <c r="J1664" s="9">
        <v>144500</v>
      </c>
    </row>
    <row r="1665" spans="1:10" x14ac:dyDescent="0.3">
      <c r="A1665" s="3" t="s">
        <v>1730</v>
      </c>
      <c r="B1665" s="4">
        <v>43631</v>
      </c>
      <c r="C1665" s="5">
        <v>13</v>
      </c>
      <c r="D1665" s="5" t="s">
        <v>31</v>
      </c>
      <c r="E1665" s="5" t="s">
        <v>45</v>
      </c>
      <c r="F1665" s="5" t="s">
        <v>16</v>
      </c>
      <c r="G1665" s="5" t="s">
        <v>10</v>
      </c>
      <c r="H1665" s="5">
        <v>39900</v>
      </c>
      <c r="I1665" s="5">
        <v>7</v>
      </c>
      <c r="J1665" s="9">
        <v>279300</v>
      </c>
    </row>
    <row r="1666" spans="1:10" x14ac:dyDescent="0.3">
      <c r="A1666" s="3" t="s">
        <v>1731</v>
      </c>
      <c r="B1666" s="4">
        <v>43631</v>
      </c>
      <c r="C1666" s="5">
        <v>17</v>
      </c>
      <c r="D1666" s="5" t="s">
        <v>35</v>
      </c>
      <c r="E1666" s="5" t="s">
        <v>43</v>
      </c>
      <c r="F1666" s="5" t="s">
        <v>17</v>
      </c>
      <c r="G1666" s="5" t="s">
        <v>11</v>
      </c>
      <c r="H1666" s="5">
        <v>19900</v>
      </c>
      <c r="I1666" s="5">
        <v>3</v>
      </c>
      <c r="J1666" s="9">
        <v>59700</v>
      </c>
    </row>
    <row r="1667" spans="1:10" x14ac:dyDescent="0.3">
      <c r="A1667" s="3" t="s">
        <v>1732</v>
      </c>
      <c r="B1667" s="4">
        <v>43632</v>
      </c>
      <c r="C1667" s="5">
        <v>20</v>
      </c>
      <c r="D1667" s="5" t="s">
        <v>38</v>
      </c>
      <c r="E1667" s="5" t="s">
        <v>43</v>
      </c>
      <c r="F1667" s="5" t="s">
        <v>17</v>
      </c>
      <c r="G1667" s="5" t="s">
        <v>11</v>
      </c>
      <c r="H1667" s="5">
        <v>19900</v>
      </c>
      <c r="I1667" s="5">
        <v>7</v>
      </c>
      <c r="J1667" s="9">
        <v>139300</v>
      </c>
    </row>
    <row r="1668" spans="1:10" x14ac:dyDescent="0.3">
      <c r="A1668" s="3" t="s">
        <v>1733</v>
      </c>
      <c r="B1668" s="4">
        <v>43632</v>
      </c>
      <c r="C1668" s="5">
        <v>8</v>
      </c>
      <c r="D1668" s="5" t="s">
        <v>26</v>
      </c>
      <c r="E1668" s="5" t="s">
        <v>44</v>
      </c>
      <c r="F1668" s="5" t="s">
        <v>15</v>
      </c>
      <c r="G1668" s="5" t="s">
        <v>10</v>
      </c>
      <c r="H1668" s="5">
        <v>39900</v>
      </c>
      <c r="I1668" s="5">
        <v>2</v>
      </c>
      <c r="J1668" s="9">
        <v>79800</v>
      </c>
    </row>
    <row r="1669" spans="1:10" x14ac:dyDescent="0.3">
      <c r="A1669" s="3" t="s">
        <v>1734</v>
      </c>
      <c r="B1669" s="4">
        <v>43632</v>
      </c>
      <c r="C1669" s="5">
        <v>16</v>
      </c>
      <c r="D1669" s="5" t="s">
        <v>34</v>
      </c>
      <c r="E1669" s="5" t="s">
        <v>42</v>
      </c>
      <c r="F1669" s="5" t="s">
        <v>17</v>
      </c>
      <c r="G1669" s="5" t="s">
        <v>14</v>
      </c>
      <c r="H1669" s="5">
        <v>15900</v>
      </c>
      <c r="I1669" s="5">
        <v>3</v>
      </c>
      <c r="J1669" s="9">
        <v>47700</v>
      </c>
    </row>
    <row r="1670" spans="1:10" x14ac:dyDescent="0.3">
      <c r="A1670" s="3" t="s">
        <v>1735</v>
      </c>
      <c r="B1670" s="4">
        <v>43632</v>
      </c>
      <c r="C1670" s="5">
        <v>18</v>
      </c>
      <c r="D1670" s="5" t="s">
        <v>36</v>
      </c>
      <c r="E1670" s="5" t="s">
        <v>43</v>
      </c>
      <c r="F1670" s="5" t="s">
        <v>17</v>
      </c>
      <c r="G1670" s="5" t="s">
        <v>12</v>
      </c>
      <c r="H1670" s="5">
        <v>6900</v>
      </c>
      <c r="I1670" s="5">
        <v>8</v>
      </c>
      <c r="J1670" s="9">
        <v>55200</v>
      </c>
    </row>
    <row r="1671" spans="1:10" x14ac:dyDescent="0.3">
      <c r="A1671" s="3" t="s">
        <v>1736</v>
      </c>
      <c r="B1671" s="4">
        <v>43633</v>
      </c>
      <c r="C1671" s="5">
        <v>1</v>
      </c>
      <c r="D1671" s="5" t="s">
        <v>19</v>
      </c>
      <c r="E1671" s="5" t="s">
        <v>40</v>
      </c>
      <c r="F1671" s="5" t="s">
        <v>18</v>
      </c>
      <c r="G1671" s="5" t="s">
        <v>13</v>
      </c>
      <c r="H1671" s="5">
        <v>28900</v>
      </c>
      <c r="I1671" s="5">
        <v>5</v>
      </c>
      <c r="J1671" s="9">
        <v>144500</v>
      </c>
    </row>
    <row r="1672" spans="1:10" x14ac:dyDescent="0.3">
      <c r="A1672" s="3" t="s">
        <v>1737</v>
      </c>
      <c r="B1672" s="4">
        <v>43633</v>
      </c>
      <c r="C1672" s="5">
        <v>17</v>
      </c>
      <c r="D1672" s="5" t="s">
        <v>35</v>
      </c>
      <c r="E1672" s="5" t="s">
        <v>43</v>
      </c>
      <c r="F1672" s="5" t="s">
        <v>17</v>
      </c>
      <c r="G1672" s="5" t="s">
        <v>13</v>
      </c>
      <c r="H1672" s="5">
        <v>28900</v>
      </c>
      <c r="I1672" s="5">
        <v>1</v>
      </c>
      <c r="J1672" s="9">
        <v>28900</v>
      </c>
    </row>
    <row r="1673" spans="1:10" x14ac:dyDescent="0.3">
      <c r="A1673" s="3" t="s">
        <v>1738</v>
      </c>
      <c r="B1673" s="4">
        <v>43633</v>
      </c>
      <c r="C1673" s="5">
        <v>4</v>
      </c>
      <c r="D1673" s="5" t="s">
        <v>22</v>
      </c>
      <c r="E1673" s="5" t="s">
        <v>46</v>
      </c>
      <c r="F1673" s="5" t="s">
        <v>18</v>
      </c>
      <c r="G1673" s="5" t="s">
        <v>12</v>
      </c>
      <c r="H1673" s="5">
        <v>6900</v>
      </c>
      <c r="I1673" s="5">
        <v>8</v>
      </c>
      <c r="J1673" s="9">
        <v>55200</v>
      </c>
    </row>
    <row r="1674" spans="1:10" x14ac:dyDescent="0.3">
      <c r="A1674" s="3" t="s">
        <v>1739</v>
      </c>
      <c r="B1674" s="4">
        <v>43633</v>
      </c>
      <c r="C1674" s="5">
        <v>18</v>
      </c>
      <c r="D1674" s="5" t="s">
        <v>36</v>
      </c>
      <c r="E1674" s="5" t="s">
        <v>42</v>
      </c>
      <c r="F1674" s="5" t="s">
        <v>17</v>
      </c>
      <c r="G1674" s="5" t="s">
        <v>14</v>
      </c>
      <c r="H1674" s="5">
        <v>15900</v>
      </c>
      <c r="I1674" s="5">
        <v>6</v>
      </c>
      <c r="J1674" s="9">
        <v>95400</v>
      </c>
    </row>
    <row r="1675" spans="1:10" x14ac:dyDescent="0.3">
      <c r="A1675" s="3" t="s">
        <v>1740</v>
      </c>
      <c r="B1675" s="4">
        <v>43634</v>
      </c>
      <c r="C1675" s="5">
        <v>17</v>
      </c>
      <c r="D1675" s="5" t="s">
        <v>35</v>
      </c>
      <c r="E1675" s="5" t="s">
        <v>43</v>
      </c>
      <c r="F1675" s="5" t="s">
        <v>17</v>
      </c>
      <c r="G1675" s="5" t="s">
        <v>10</v>
      </c>
      <c r="H1675" s="5">
        <v>39900</v>
      </c>
      <c r="I1675" s="5">
        <v>3</v>
      </c>
      <c r="J1675" s="9">
        <v>119700</v>
      </c>
    </row>
    <row r="1676" spans="1:10" x14ac:dyDescent="0.3">
      <c r="A1676" s="3" t="s">
        <v>1741</v>
      </c>
      <c r="B1676" s="4">
        <v>43635</v>
      </c>
      <c r="C1676" s="5">
        <v>13</v>
      </c>
      <c r="D1676" s="5" t="s">
        <v>31</v>
      </c>
      <c r="E1676" s="5" t="s">
        <v>39</v>
      </c>
      <c r="F1676" s="5" t="s">
        <v>16</v>
      </c>
      <c r="G1676" s="5" t="s">
        <v>11</v>
      </c>
      <c r="H1676" s="5">
        <v>19900</v>
      </c>
      <c r="I1676" s="5">
        <v>0</v>
      </c>
      <c r="J1676" s="9">
        <v>0</v>
      </c>
    </row>
    <row r="1677" spans="1:10" x14ac:dyDescent="0.3">
      <c r="A1677" s="3" t="s">
        <v>1742</v>
      </c>
      <c r="B1677" s="4">
        <v>43635</v>
      </c>
      <c r="C1677" s="5">
        <v>11</v>
      </c>
      <c r="D1677" s="5" t="s">
        <v>29</v>
      </c>
      <c r="E1677" s="5" t="s">
        <v>39</v>
      </c>
      <c r="F1677" s="5" t="s">
        <v>16</v>
      </c>
      <c r="G1677" s="5" t="s">
        <v>11</v>
      </c>
      <c r="H1677" s="5">
        <v>19900</v>
      </c>
      <c r="I1677" s="5">
        <v>7</v>
      </c>
      <c r="J1677" s="9">
        <v>139300</v>
      </c>
    </row>
    <row r="1678" spans="1:10" x14ac:dyDescent="0.3">
      <c r="A1678" s="3" t="s">
        <v>1743</v>
      </c>
      <c r="B1678" s="4">
        <v>43635</v>
      </c>
      <c r="C1678" s="5">
        <v>14</v>
      </c>
      <c r="D1678" s="5" t="s">
        <v>32</v>
      </c>
      <c r="E1678" s="5" t="s">
        <v>45</v>
      </c>
      <c r="F1678" s="5" t="s">
        <v>16</v>
      </c>
      <c r="G1678" s="5" t="s">
        <v>14</v>
      </c>
      <c r="H1678" s="5">
        <v>15900</v>
      </c>
      <c r="I1678" s="5">
        <v>5</v>
      </c>
      <c r="J1678" s="9">
        <v>79500</v>
      </c>
    </row>
    <row r="1679" spans="1:10" x14ac:dyDescent="0.3">
      <c r="A1679" s="3" t="s">
        <v>1744</v>
      </c>
      <c r="B1679" s="4">
        <v>43636</v>
      </c>
      <c r="C1679" s="5">
        <v>6</v>
      </c>
      <c r="D1679" s="5" t="s">
        <v>24</v>
      </c>
      <c r="E1679" s="5" t="s">
        <v>41</v>
      </c>
      <c r="F1679" s="5" t="s">
        <v>15</v>
      </c>
      <c r="G1679" s="5" t="s">
        <v>14</v>
      </c>
      <c r="H1679" s="5">
        <v>15900</v>
      </c>
      <c r="I1679" s="5">
        <v>2</v>
      </c>
      <c r="J1679" s="9">
        <v>31800</v>
      </c>
    </row>
    <row r="1680" spans="1:10" x14ac:dyDescent="0.3">
      <c r="A1680" s="3" t="s">
        <v>1745</v>
      </c>
      <c r="B1680" s="4">
        <v>43637</v>
      </c>
      <c r="C1680" s="5">
        <v>20</v>
      </c>
      <c r="D1680" s="5" t="s">
        <v>38</v>
      </c>
      <c r="E1680" s="5" t="s">
        <v>42</v>
      </c>
      <c r="F1680" s="5" t="s">
        <v>17</v>
      </c>
      <c r="G1680" s="5" t="s">
        <v>11</v>
      </c>
      <c r="H1680" s="5">
        <v>19900</v>
      </c>
      <c r="I1680" s="5">
        <v>7</v>
      </c>
      <c r="J1680" s="9">
        <v>139300</v>
      </c>
    </row>
    <row r="1681" spans="1:10" x14ac:dyDescent="0.3">
      <c r="A1681" s="3" t="s">
        <v>1746</v>
      </c>
      <c r="B1681" s="4">
        <v>43638</v>
      </c>
      <c r="C1681" s="5">
        <v>4</v>
      </c>
      <c r="D1681" s="5" t="s">
        <v>22</v>
      </c>
      <c r="E1681" s="5" t="s">
        <v>40</v>
      </c>
      <c r="F1681" s="5" t="s">
        <v>18</v>
      </c>
      <c r="G1681" s="5" t="s">
        <v>14</v>
      </c>
      <c r="H1681" s="5">
        <v>15900</v>
      </c>
      <c r="I1681" s="5">
        <v>5</v>
      </c>
      <c r="J1681" s="9">
        <v>79500</v>
      </c>
    </row>
    <row r="1682" spans="1:10" x14ac:dyDescent="0.3">
      <c r="A1682" s="3" t="s">
        <v>1747</v>
      </c>
      <c r="B1682" s="4">
        <v>43638</v>
      </c>
      <c r="C1682" s="5">
        <v>6</v>
      </c>
      <c r="D1682" s="5" t="s">
        <v>24</v>
      </c>
      <c r="E1682" s="5" t="s">
        <v>44</v>
      </c>
      <c r="F1682" s="5" t="s">
        <v>15</v>
      </c>
      <c r="G1682" s="5" t="s">
        <v>12</v>
      </c>
      <c r="H1682" s="5">
        <v>6900</v>
      </c>
      <c r="I1682" s="5">
        <v>5</v>
      </c>
      <c r="J1682" s="9">
        <v>34500</v>
      </c>
    </row>
    <row r="1683" spans="1:10" x14ac:dyDescent="0.3">
      <c r="A1683" s="3" t="s">
        <v>1748</v>
      </c>
      <c r="B1683" s="4">
        <v>43638</v>
      </c>
      <c r="C1683" s="5">
        <v>3</v>
      </c>
      <c r="D1683" s="5" t="s">
        <v>21</v>
      </c>
      <c r="E1683" s="5" t="s">
        <v>46</v>
      </c>
      <c r="F1683" s="5" t="s">
        <v>18</v>
      </c>
      <c r="G1683" s="5" t="s">
        <v>11</v>
      </c>
      <c r="H1683" s="5">
        <v>19900</v>
      </c>
      <c r="I1683" s="5">
        <v>5</v>
      </c>
      <c r="J1683" s="9">
        <v>99500</v>
      </c>
    </row>
    <row r="1684" spans="1:10" x14ac:dyDescent="0.3">
      <c r="A1684" s="3" t="s">
        <v>1749</v>
      </c>
      <c r="B1684" s="4">
        <v>43638</v>
      </c>
      <c r="C1684" s="5">
        <v>9</v>
      </c>
      <c r="D1684" s="5" t="s">
        <v>27</v>
      </c>
      <c r="E1684" s="5" t="s">
        <v>44</v>
      </c>
      <c r="F1684" s="5" t="s">
        <v>15</v>
      </c>
      <c r="G1684" s="5" t="s">
        <v>14</v>
      </c>
      <c r="H1684" s="5">
        <v>15900</v>
      </c>
      <c r="I1684" s="5">
        <v>4</v>
      </c>
      <c r="J1684" s="9">
        <v>63600</v>
      </c>
    </row>
    <row r="1685" spans="1:10" x14ac:dyDescent="0.3">
      <c r="A1685" s="3" t="s">
        <v>1750</v>
      </c>
      <c r="B1685" s="4">
        <v>43638</v>
      </c>
      <c r="C1685" s="5">
        <v>12</v>
      </c>
      <c r="D1685" s="5" t="s">
        <v>30</v>
      </c>
      <c r="E1685" s="5" t="s">
        <v>45</v>
      </c>
      <c r="F1685" s="5" t="s">
        <v>16</v>
      </c>
      <c r="G1685" s="5" t="s">
        <v>14</v>
      </c>
      <c r="H1685" s="5">
        <v>15900</v>
      </c>
      <c r="I1685" s="5">
        <v>2</v>
      </c>
      <c r="J1685" s="9">
        <v>31800</v>
      </c>
    </row>
    <row r="1686" spans="1:10" x14ac:dyDescent="0.3">
      <c r="A1686" s="3" t="s">
        <v>1751</v>
      </c>
      <c r="B1686" s="4">
        <v>43638</v>
      </c>
      <c r="C1686" s="5">
        <v>3</v>
      </c>
      <c r="D1686" s="5" t="s">
        <v>21</v>
      </c>
      <c r="E1686" s="5" t="s">
        <v>40</v>
      </c>
      <c r="F1686" s="5" t="s">
        <v>18</v>
      </c>
      <c r="G1686" s="5" t="s">
        <v>14</v>
      </c>
      <c r="H1686" s="5">
        <v>15900</v>
      </c>
      <c r="I1686" s="5">
        <v>8</v>
      </c>
      <c r="J1686" s="9">
        <v>127200</v>
      </c>
    </row>
    <row r="1687" spans="1:10" x14ac:dyDescent="0.3">
      <c r="A1687" s="3" t="s">
        <v>1752</v>
      </c>
      <c r="B1687" s="4">
        <v>43639</v>
      </c>
      <c r="C1687" s="5">
        <v>15</v>
      </c>
      <c r="D1687" s="5" t="s">
        <v>33</v>
      </c>
      <c r="E1687" s="5" t="s">
        <v>39</v>
      </c>
      <c r="F1687" s="5" t="s">
        <v>16</v>
      </c>
      <c r="G1687" s="5" t="s">
        <v>14</v>
      </c>
      <c r="H1687" s="5">
        <v>15900</v>
      </c>
      <c r="I1687" s="5">
        <v>4</v>
      </c>
      <c r="J1687" s="9">
        <v>63600</v>
      </c>
    </row>
    <row r="1688" spans="1:10" x14ac:dyDescent="0.3">
      <c r="A1688" s="3" t="s">
        <v>1753</v>
      </c>
      <c r="B1688" s="4">
        <v>43639</v>
      </c>
      <c r="C1688" s="5">
        <v>9</v>
      </c>
      <c r="D1688" s="5" t="s">
        <v>27</v>
      </c>
      <c r="E1688" s="5" t="s">
        <v>41</v>
      </c>
      <c r="F1688" s="5" t="s">
        <v>15</v>
      </c>
      <c r="G1688" s="5" t="s">
        <v>14</v>
      </c>
      <c r="H1688" s="5">
        <v>15900</v>
      </c>
      <c r="I1688" s="5">
        <v>8</v>
      </c>
      <c r="J1688" s="9">
        <v>127200</v>
      </c>
    </row>
    <row r="1689" spans="1:10" x14ac:dyDescent="0.3">
      <c r="A1689" s="3" t="s">
        <v>1754</v>
      </c>
      <c r="B1689" s="4">
        <v>43640</v>
      </c>
      <c r="C1689" s="5">
        <v>13</v>
      </c>
      <c r="D1689" s="5" t="s">
        <v>31</v>
      </c>
      <c r="E1689" s="5" t="s">
        <v>39</v>
      </c>
      <c r="F1689" s="5" t="s">
        <v>16</v>
      </c>
      <c r="G1689" s="5" t="s">
        <v>10</v>
      </c>
      <c r="H1689" s="5">
        <v>39900</v>
      </c>
      <c r="I1689" s="5">
        <v>5</v>
      </c>
      <c r="J1689" s="9">
        <v>199500</v>
      </c>
    </row>
    <row r="1690" spans="1:10" x14ac:dyDescent="0.3">
      <c r="A1690" s="3" t="s">
        <v>1755</v>
      </c>
      <c r="B1690" s="4">
        <v>43641</v>
      </c>
      <c r="C1690" s="5">
        <v>16</v>
      </c>
      <c r="D1690" s="5" t="s">
        <v>34</v>
      </c>
      <c r="E1690" s="5" t="s">
        <v>43</v>
      </c>
      <c r="F1690" s="5" t="s">
        <v>17</v>
      </c>
      <c r="G1690" s="5" t="s">
        <v>10</v>
      </c>
      <c r="H1690" s="5">
        <v>39900</v>
      </c>
      <c r="I1690" s="5">
        <v>6</v>
      </c>
      <c r="J1690" s="9">
        <v>239400</v>
      </c>
    </row>
    <row r="1691" spans="1:10" x14ac:dyDescent="0.3">
      <c r="A1691" s="3" t="s">
        <v>1756</v>
      </c>
      <c r="B1691" s="4">
        <v>43642</v>
      </c>
      <c r="C1691" s="5">
        <v>7</v>
      </c>
      <c r="D1691" s="5" t="s">
        <v>25</v>
      </c>
      <c r="E1691" s="5" t="s">
        <v>44</v>
      </c>
      <c r="F1691" s="5" t="s">
        <v>15</v>
      </c>
      <c r="G1691" s="5" t="s">
        <v>10</v>
      </c>
      <c r="H1691" s="5">
        <v>39900</v>
      </c>
      <c r="I1691" s="5">
        <v>4</v>
      </c>
      <c r="J1691" s="9">
        <v>159600</v>
      </c>
    </row>
    <row r="1692" spans="1:10" x14ac:dyDescent="0.3">
      <c r="A1692" s="3" t="s">
        <v>1757</v>
      </c>
      <c r="B1692" s="4">
        <v>43642</v>
      </c>
      <c r="C1692" s="5">
        <v>2</v>
      </c>
      <c r="D1692" s="5" t="s">
        <v>20</v>
      </c>
      <c r="E1692" s="5" t="s">
        <v>46</v>
      </c>
      <c r="F1692" s="5" t="s">
        <v>18</v>
      </c>
      <c r="G1692" s="5" t="s">
        <v>13</v>
      </c>
      <c r="H1692" s="5">
        <v>28900</v>
      </c>
      <c r="I1692" s="5">
        <v>7</v>
      </c>
      <c r="J1692" s="9">
        <v>202300</v>
      </c>
    </row>
    <row r="1693" spans="1:10" x14ac:dyDescent="0.3">
      <c r="A1693" s="3" t="s">
        <v>1758</v>
      </c>
      <c r="B1693" s="4">
        <v>43643</v>
      </c>
      <c r="C1693" s="5">
        <v>9</v>
      </c>
      <c r="D1693" s="5" t="s">
        <v>27</v>
      </c>
      <c r="E1693" s="5" t="s">
        <v>41</v>
      </c>
      <c r="F1693" s="5" t="s">
        <v>15</v>
      </c>
      <c r="G1693" s="5" t="s">
        <v>12</v>
      </c>
      <c r="H1693" s="5">
        <v>6900</v>
      </c>
      <c r="I1693" s="5">
        <v>3</v>
      </c>
      <c r="J1693" s="9">
        <v>20700</v>
      </c>
    </row>
    <row r="1694" spans="1:10" x14ac:dyDescent="0.3">
      <c r="A1694" s="3" t="s">
        <v>1759</v>
      </c>
      <c r="B1694" s="4">
        <v>43644</v>
      </c>
      <c r="C1694" s="5">
        <v>20</v>
      </c>
      <c r="D1694" s="5" t="s">
        <v>38</v>
      </c>
      <c r="E1694" s="5" t="s">
        <v>43</v>
      </c>
      <c r="F1694" s="5" t="s">
        <v>17</v>
      </c>
      <c r="G1694" s="5" t="s">
        <v>13</v>
      </c>
      <c r="H1694" s="5">
        <v>28900</v>
      </c>
      <c r="I1694" s="5">
        <v>8</v>
      </c>
      <c r="J1694" s="9">
        <v>231200</v>
      </c>
    </row>
    <row r="1695" spans="1:10" x14ac:dyDescent="0.3">
      <c r="A1695" s="3" t="s">
        <v>1760</v>
      </c>
      <c r="B1695" s="4">
        <v>43645</v>
      </c>
      <c r="C1695" s="5">
        <v>9</v>
      </c>
      <c r="D1695" s="5" t="s">
        <v>27</v>
      </c>
      <c r="E1695" s="5" t="s">
        <v>41</v>
      </c>
      <c r="F1695" s="5" t="s">
        <v>15</v>
      </c>
      <c r="G1695" s="5" t="s">
        <v>10</v>
      </c>
      <c r="H1695" s="5">
        <v>39900</v>
      </c>
      <c r="I1695" s="5">
        <v>5</v>
      </c>
      <c r="J1695" s="9">
        <v>199500</v>
      </c>
    </row>
    <row r="1696" spans="1:10" x14ac:dyDescent="0.3">
      <c r="A1696" s="3" t="s">
        <v>1761</v>
      </c>
      <c r="B1696" s="4">
        <v>43645</v>
      </c>
      <c r="C1696" s="5">
        <v>8</v>
      </c>
      <c r="D1696" s="5" t="s">
        <v>26</v>
      </c>
      <c r="E1696" s="5" t="s">
        <v>44</v>
      </c>
      <c r="F1696" s="5" t="s">
        <v>15</v>
      </c>
      <c r="G1696" s="5" t="s">
        <v>11</v>
      </c>
      <c r="H1696" s="5">
        <v>19900</v>
      </c>
      <c r="I1696" s="5">
        <v>3</v>
      </c>
      <c r="J1696" s="9">
        <v>59700</v>
      </c>
    </row>
    <row r="1697" spans="1:10" x14ac:dyDescent="0.3">
      <c r="A1697" s="3" t="s">
        <v>1762</v>
      </c>
      <c r="B1697" s="4">
        <v>43646</v>
      </c>
      <c r="C1697" s="5">
        <v>9</v>
      </c>
      <c r="D1697" s="5" t="s">
        <v>27</v>
      </c>
      <c r="E1697" s="5" t="s">
        <v>41</v>
      </c>
      <c r="F1697" s="5" t="s">
        <v>15</v>
      </c>
      <c r="G1697" s="5" t="s">
        <v>14</v>
      </c>
      <c r="H1697" s="5">
        <v>15900</v>
      </c>
      <c r="I1697" s="5">
        <v>7</v>
      </c>
      <c r="J1697" s="9">
        <v>111300</v>
      </c>
    </row>
    <row r="1698" spans="1:10" x14ac:dyDescent="0.3">
      <c r="A1698" s="3" t="s">
        <v>1763</v>
      </c>
      <c r="B1698" s="4">
        <v>43647</v>
      </c>
      <c r="C1698" s="5">
        <v>14</v>
      </c>
      <c r="D1698" s="5" t="s">
        <v>32</v>
      </c>
      <c r="E1698" s="5" t="s">
        <v>39</v>
      </c>
      <c r="F1698" s="5" t="s">
        <v>16</v>
      </c>
      <c r="G1698" s="5" t="s">
        <v>12</v>
      </c>
      <c r="H1698" s="5">
        <v>6900</v>
      </c>
      <c r="I1698" s="5">
        <v>8</v>
      </c>
      <c r="J1698" s="9">
        <v>55200</v>
      </c>
    </row>
    <row r="1699" spans="1:10" x14ac:dyDescent="0.3">
      <c r="A1699" s="3" t="s">
        <v>1764</v>
      </c>
      <c r="B1699" s="4">
        <v>43648</v>
      </c>
      <c r="C1699" s="5">
        <v>8</v>
      </c>
      <c r="D1699" s="5" t="s">
        <v>26</v>
      </c>
      <c r="E1699" s="5" t="s">
        <v>44</v>
      </c>
      <c r="F1699" s="5" t="s">
        <v>15</v>
      </c>
      <c r="G1699" s="5" t="s">
        <v>11</v>
      </c>
      <c r="H1699" s="5">
        <v>19900</v>
      </c>
      <c r="I1699" s="5">
        <v>3</v>
      </c>
      <c r="J1699" s="9">
        <v>59700</v>
      </c>
    </row>
    <row r="1700" spans="1:10" x14ac:dyDescent="0.3">
      <c r="A1700" s="3" t="s">
        <v>1765</v>
      </c>
      <c r="B1700" s="4">
        <v>43648</v>
      </c>
      <c r="C1700" s="5">
        <v>11</v>
      </c>
      <c r="D1700" s="5" t="s">
        <v>29</v>
      </c>
      <c r="E1700" s="5" t="s">
        <v>39</v>
      </c>
      <c r="F1700" s="5" t="s">
        <v>16</v>
      </c>
      <c r="G1700" s="5" t="s">
        <v>14</v>
      </c>
      <c r="H1700" s="5">
        <v>15900</v>
      </c>
      <c r="I1700" s="5">
        <v>0</v>
      </c>
      <c r="J1700" s="9">
        <v>0</v>
      </c>
    </row>
    <row r="1701" spans="1:10" x14ac:dyDescent="0.3">
      <c r="A1701" s="3" t="s">
        <v>1766</v>
      </c>
      <c r="B1701" s="4">
        <v>43649</v>
      </c>
      <c r="C1701" s="5">
        <v>12</v>
      </c>
      <c r="D1701" s="5" t="s">
        <v>30</v>
      </c>
      <c r="E1701" s="5" t="s">
        <v>39</v>
      </c>
      <c r="F1701" s="5" t="s">
        <v>16</v>
      </c>
      <c r="G1701" s="5" t="s">
        <v>13</v>
      </c>
      <c r="H1701" s="5">
        <v>28900</v>
      </c>
      <c r="I1701" s="5">
        <v>5</v>
      </c>
      <c r="J1701" s="9">
        <v>144500</v>
      </c>
    </row>
    <row r="1702" spans="1:10" x14ac:dyDescent="0.3">
      <c r="A1702" s="3" t="s">
        <v>1767</v>
      </c>
      <c r="B1702" s="4">
        <v>43650</v>
      </c>
      <c r="C1702" s="5">
        <v>16</v>
      </c>
      <c r="D1702" s="5" t="s">
        <v>34</v>
      </c>
      <c r="E1702" s="5" t="s">
        <v>43</v>
      </c>
      <c r="F1702" s="5" t="s">
        <v>17</v>
      </c>
      <c r="G1702" s="5" t="s">
        <v>10</v>
      </c>
      <c r="H1702" s="5">
        <v>39900</v>
      </c>
      <c r="I1702" s="5">
        <v>4</v>
      </c>
      <c r="J1702" s="9">
        <v>159600</v>
      </c>
    </row>
    <row r="1703" spans="1:10" x14ac:dyDescent="0.3">
      <c r="A1703" s="3" t="s">
        <v>1768</v>
      </c>
      <c r="B1703" s="4">
        <v>43651</v>
      </c>
      <c r="C1703" s="5">
        <v>8</v>
      </c>
      <c r="D1703" s="5" t="s">
        <v>26</v>
      </c>
      <c r="E1703" s="5" t="s">
        <v>41</v>
      </c>
      <c r="F1703" s="5" t="s">
        <v>15</v>
      </c>
      <c r="G1703" s="5" t="s">
        <v>11</v>
      </c>
      <c r="H1703" s="5">
        <v>19900</v>
      </c>
      <c r="I1703" s="5">
        <v>5</v>
      </c>
      <c r="J1703" s="9">
        <v>99500</v>
      </c>
    </row>
    <row r="1704" spans="1:10" x14ac:dyDescent="0.3">
      <c r="A1704" s="3" t="s">
        <v>1769</v>
      </c>
      <c r="B1704" s="4">
        <v>43651</v>
      </c>
      <c r="C1704" s="5">
        <v>5</v>
      </c>
      <c r="D1704" s="5" t="s">
        <v>23</v>
      </c>
      <c r="E1704" s="5" t="s">
        <v>40</v>
      </c>
      <c r="F1704" s="5" t="s">
        <v>18</v>
      </c>
      <c r="G1704" s="5" t="s">
        <v>10</v>
      </c>
      <c r="H1704" s="5">
        <v>39900</v>
      </c>
      <c r="I1704" s="5">
        <v>7</v>
      </c>
      <c r="J1704" s="9">
        <v>279300</v>
      </c>
    </row>
    <row r="1705" spans="1:10" x14ac:dyDescent="0.3">
      <c r="A1705" s="3" t="s">
        <v>1770</v>
      </c>
      <c r="B1705" s="4">
        <v>43652</v>
      </c>
      <c r="C1705" s="5">
        <v>18</v>
      </c>
      <c r="D1705" s="5" t="s">
        <v>36</v>
      </c>
      <c r="E1705" s="5" t="s">
        <v>43</v>
      </c>
      <c r="F1705" s="5" t="s">
        <v>17</v>
      </c>
      <c r="G1705" s="5" t="s">
        <v>14</v>
      </c>
      <c r="H1705" s="5">
        <v>15900</v>
      </c>
      <c r="I1705" s="5">
        <v>0</v>
      </c>
      <c r="J1705" s="9">
        <v>0</v>
      </c>
    </row>
    <row r="1706" spans="1:10" x14ac:dyDescent="0.3">
      <c r="A1706" s="3" t="s">
        <v>1771</v>
      </c>
      <c r="B1706" s="4">
        <v>43653</v>
      </c>
      <c r="C1706" s="5">
        <v>9</v>
      </c>
      <c r="D1706" s="5" t="s">
        <v>27</v>
      </c>
      <c r="E1706" s="5" t="s">
        <v>41</v>
      </c>
      <c r="F1706" s="5" t="s">
        <v>15</v>
      </c>
      <c r="G1706" s="5" t="s">
        <v>11</v>
      </c>
      <c r="H1706" s="5">
        <v>19900</v>
      </c>
      <c r="I1706" s="5">
        <v>2</v>
      </c>
      <c r="J1706" s="9">
        <v>39800</v>
      </c>
    </row>
    <row r="1707" spans="1:10" x14ac:dyDescent="0.3">
      <c r="A1707" s="3" t="s">
        <v>1772</v>
      </c>
      <c r="B1707" s="4">
        <v>43654</v>
      </c>
      <c r="C1707" s="5">
        <v>7</v>
      </c>
      <c r="D1707" s="5" t="s">
        <v>25</v>
      </c>
      <c r="E1707" s="5" t="s">
        <v>44</v>
      </c>
      <c r="F1707" s="5" t="s">
        <v>15</v>
      </c>
      <c r="G1707" s="5" t="s">
        <v>12</v>
      </c>
      <c r="H1707" s="5">
        <v>6900</v>
      </c>
      <c r="I1707" s="5">
        <v>3</v>
      </c>
      <c r="J1707" s="9">
        <v>20700</v>
      </c>
    </row>
    <row r="1708" spans="1:10" x14ac:dyDescent="0.3">
      <c r="A1708" s="3" t="s">
        <v>1773</v>
      </c>
      <c r="B1708" s="4">
        <v>43655</v>
      </c>
      <c r="C1708" s="5">
        <v>19</v>
      </c>
      <c r="D1708" s="5" t="s">
        <v>37</v>
      </c>
      <c r="E1708" s="5" t="s">
        <v>43</v>
      </c>
      <c r="F1708" s="5" t="s">
        <v>17</v>
      </c>
      <c r="G1708" s="5" t="s">
        <v>14</v>
      </c>
      <c r="H1708" s="5">
        <v>15900</v>
      </c>
      <c r="I1708" s="5">
        <v>0</v>
      </c>
      <c r="J1708" s="9">
        <v>0</v>
      </c>
    </row>
    <row r="1709" spans="1:10" x14ac:dyDescent="0.3">
      <c r="A1709" s="3" t="s">
        <v>1774</v>
      </c>
      <c r="B1709" s="4">
        <v>43656</v>
      </c>
      <c r="C1709" s="5">
        <v>5</v>
      </c>
      <c r="D1709" s="5" t="s">
        <v>23</v>
      </c>
      <c r="E1709" s="5" t="s">
        <v>40</v>
      </c>
      <c r="F1709" s="5" t="s">
        <v>18</v>
      </c>
      <c r="G1709" s="5" t="s">
        <v>11</v>
      </c>
      <c r="H1709" s="5">
        <v>19900</v>
      </c>
      <c r="I1709" s="5">
        <v>3</v>
      </c>
      <c r="J1709" s="9">
        <v>59700</v>
      </c>
    </row>
    <row r="1710" spans="1:10" x14ac:dyDescent="0.3">
      <c r="A1710" s="3" t="s">
        <v>1775</v>
      </c>
      <c r="B1710" s="4">
        <v>43656</v>
      </c>
      <c r="C1710" s="5">
        <v>8</v>
      </c>
      <c r="D1710" s="5" t="s">
        <v>26</v>
      </c>
      <c r="E1710" s="5" t="s">
        <v>44</v>
      </c>
      <c r="F1710" s="5" t="s">
        <v>15</v>
      </c>
      <c r="G1710" s="5" t="s">
        <v>11</v>
      </c>
      <c r="H1710" s="5">
        <v>19900</v>
      </c>
      <c r="I1710" s="5">
        <v>6</v>
      </c>
      <c r="J1710" s="9">
        <v>119400</v>
      </c>
    </row>
    <row r="1711" spans="1:10" x14ac:dyDescent="0.3">
      <c r="A1711" s="3" t="s">
        <v>1776</v>
      </c>
      <c r="B1711" s="4">
        <v>43656</v>
      </c>
      <c r="C1711" s="5">
        <v>14</v>
      </c>
      <c r="D1711" s="5" t="s">
        <v>32</v>
      </c>
      <c r="E1711" s="5" t="s">
        <v>39</v>
      </c>
      <c r="F1711" s="5" t="s">
        <v>16</v>
      </c>
      <c r="G1711" s="5" t="s">
        <v>10</v>
      </c>
      <c r="H1711" s="5">
        <v>39900</v>
      </c>
      <c r="I1711" s="5">
        <v>0</v>
      </c>
      <c r="J1711" s="9">
        <v>0</v>
      </c>
    </row>
    <row r="1712" spans="1:10" x14ac:dyDescent="0.3">
      <c r="A1712" s="3" t="s">
        <v>1777</v>
      </c>
      <c r="B1712" s="4">
        <v>43656</v>
      </c>
      <c r="C1712" s="5">
        <v>13</v>
      </c>
      <c r="D1712" s="5" t="s">
        <v>31</v>
      </c>
      <c r="E1712" s="5" t="s">
        <v>45</v>
      </c>
      <c r="F1712" s="5" t="s">
        <v>16</v>
      </c>
      <c r="G1712" s="5" t="s">
        <v>12</v>
      </c>
      <c r="H1712" s="5">
        <v>6900</v>
      </c>
      <c r="I1712" s="5">
        <v>2</v>
      </c>
      <c r="J1712" s="9">
        <v>13800</v>
      </c>
    </row>
    <row r="1713" spans="1:10" x14ac:dyDescent="0.3">
      <c r="A1713" s="3" t="s">
        <v>1778</v>
      </c>
      <c r="B1713" s="4">
        <v>43657</v>
      </c>
      <c r="C1713" s="5">
        <v>5</v>
      </c>
      <c r="D1713" s="5" t="s">
        <v>23</v>
      </c>
      <c r="E1713" s="5" t="s">
        <v>40</v>
      </c>
      <c r="F1713" s="5" t="s">
        <v>18</v>
      </c>
      <c r="G1713" s="5" t="s">
        <v>14</v>
      </c>
      <c r="H1713" s="5">
        <v>15900</v>
      </c>
      <c r="I1713" s="5">
        <v>7</v>
      </c>
      <c r="J1713" s="9">
        <v>111300</v>
      </c>
    </row>
    <row r="1714" spans="1:10" x14ac:dyDescent="0.3">
      <c r="A1714" s="3" t="s">
        <v>1779</v>
      </c>
      <c r="B1714" s="4">
        <v>43657</v>
      </c>
      <c r="C1714" s="5">
        <v>19</v>
      </c>
      <c r="D1714" s="5" t="s">
        <v>37</v>
      </c>
      <c r="E1714" s="5" t="s">
        <v>42</v>
      </c>
      <c r="F1714" s="5" t="s">
        <v>17</v>
      </c>
      <c r="G1714" s="5" t="s">
        <v>10</v>
      </c>
      <c r="H1714" s="5">
        <v>39900</v>
      </c>
      <c r="I1714" s="5">
        <v>9</v>
      </c>
      <c r="J1714" s="9">
        <v>359100</v>
      </c>
    </row>
    <row r="1715" spans="1:10" x14ac:dyDescent="0.3">
      <c r="A1715" s="3" t="s">
        <v>1780</v>
      </c>
      <c r="B1715" s="4">
        <v>43658</v>
      </c>
      <c r="C1715" s="5">
        <v>13</v>
      </c>
      <c r="D1715" s="5" t="s">
        <v>31</v>
      </c>
      <c r="E1715" s="5" t="s">
        <v>39</v>
      </c>
      <c r="F1715" s="5" t="s">
        <v>16</v>
      </c>
      <c r="G1715" s="5" t="s">
        <v>11</v>
      </c>
      <c r="H1715" s="5">
        <v>19900</v>
      </c>
      <c r="I1715" s="5">
        <v>3</v>
      </c>
      <c r="J1715" s="9">
        <v>59700</v>
      </c>
    </row>
    <row r="1716" spans="1:10" x14ac:dyDescent="0.3">
      <c r="A1716" s="3" t="s">
        <v>1781</v>
      </c>
      <c r="B1716" s="4">
        <v>43658</v>
      </c>
      <c r="C1716" s="5">
        <v>5</v>
      </c>
      <c r="D1716" s="5" t="s">
        <v>23</v>
      </c>
      <c r="E1716" s="5" t="s">
        <v>46</v>
      </c>
      <c r="F1716" s="5" t="s">
        <v>18</v>
      </c>
      <c r="G1716" s="5" t="s">
        <v>12</v>
      </c>
      <c r="H1716" s="5">
        <v>6900</v>
      </c>
      <c r="I1716" s="5">
        <v>3</v>
      </c>
      <c r="J1716" s="9">
        <v>20700</v>
      </c>
    </row>
    <row r="1717" spans="1:10" x14ac:dyDescent="0.3">
      <c r="A1717" s="3" t="s">
        <v>1782</v>
      </c>
      <c r="B1717" s="4">
        <v>43658</v>
      </c>
      <c r="C1717" s="5">
        <v>14</v>
      </c>
      <c r="D1717" s="5" t="s">
        <v>32</v>
      </c>
      <c r="E1717" s="5" t="s">
        <v>39</v>
      </c>
      <c r="F1717" s="5" t="s">
        <v>16</v>
      </c>
      <c r="G1717" s="5" t="s">
        <v>10</v>
      </c>
      <c r="H1717" s="5">
        <v>39900</v>
      </c>
      <c r="I1717" s="5">
        <v>1</v>
      </c>
      <c r="J1717" s="9">
        <v>39900</v>
      </c>
    </row>
    <row r="1718" spans="1:10" x14ac:dyDescent="0.3">
      <c r="A1718" s="3" t="s">
        <v>1783</v>
      </c>
      <c r="B1718" s="4">
        <v>43658</v>
      </c>
      <c r="C1718" s="5">
        <v>11</v>
      </c>
      <c r="D1718" s="5" t="s">
        <v>29</v>
      </c>
      <c r="E1718" s="5" t="s">
        <v>39</v>
      </c>
      <c r="F1718" s="5" t="s">
        <v>16</v>
      </c>
      <c r="G1718" s="5" t="s">
        <v>12</v>
      </c>
      <c r="H1718" s="5">
        <v>6900</v>
      </c>
      <c r="I1718" s="5">
        <v>1</v>
      </c>
      <c r="J1718" s="9">
        <v>6900</v>
      </c>
    </row>
    <row r="1719" spans="1:10" x14ac:dyDescent="0.3">
      <c r="A1719" s="3" t="s">
        <v>1784</v>
      </c>
      <c r="B1719" s="4">
        <v>43658</v>
      </c>
      <c r="C1719" s="5">
        <v>7</v>
      </c>
      <c r="D1719" s="5" t="s">
        <v>25</v>
      </c>
      <c r="E1719" s="5" t="s">
        <v>41</v>
      </c>
      <c r="F1719" s="5" t="s">
        <v>15</v>
      </c>
      <c r="G1719" s="5" t="s">
        <v>14</v>
      </c>
      <c r="H1719" s="5">
        <v>15900</v>
      </c>
      <c r="I1719" s="5">
        <v>8</v>
      </c>
      <c r="J1719" s="9">
        <v>127200</v>
      </c>
    </row>
    <row r="1720" spans="1:10" x14ac:dyDescent="0.3">
      <c r="A1720" s="3" t="s">
        <v>1785</v>
      </c>
      <c r="B1720" s="4">
        <v>43658</v>
      </c>
      <c r="C1720" s="5">
        <v>5</v>
      </c>
      <c r="D1720" s="5" t="s">
        <v>23</v>
      </c>
      <c r="E1720" s="5" t="s">
        <v>46</v>
      </c>
      <c r="F1720" s="5" t="s">
        <v>18</v>
      </c>
      <c r="G1720" s="5" t="s">
        <v>13</v>
      </c>
      <c r="H1720" s="5">
        <v>28900</v>
      </c>
      <c r="I1720" s="5">
        <v>0</v>
      </c>
      <c r="J1720" s="9">
        <v>0</v>
      </c>
    </row>
    <row r="1721" spans="1:10" x14ac:dyDescent="0.3">
      <c r="A1721" s="3" t="s">
        <v>1786</v>
      </c>
      <c r="B1721" s="4">
        <v>43658</v>
      </c>
      <c r="C1721" s="5">
        <v>1</v>
      </c>
      <c r="D1721" s="5" t="s">
        <v>19</v>
      </c>
      <c r="E1721" s="5" t="s">
        <v>46</v>
      </c>
      <c r="F1721" s="5" t="s">
        <v>18</v>
      </c>
      <c r="G1721" s="5" t="s">
        <v>13</v>
      </c>
      <c r="H1721" s="5">
        <v>28900</v>
      </c>
      <c r="I1721" s="5">
        <v>3</v>
      </c>
      <c r="J1721" s="9">
        <v>86700</v>
      </c>
    </row>
    <row r="1722" spans="1:10" x14ac:dyDescent="0.3">
      <c r="A1722" s="3" t="s">
        <v>1787</v>
      </c>
      <c r="B1722" s="4">
        <v>43659</v>
      </c>
      <c r="C1722" s="5">
        <v>6</v>
      </c>
      <c r="D1722" s="5" t="s">
        <v>24</v>
      </c>
      <c r="E1722" s="5" t="s">
        <v>44</v>
      </c>
      <c r="F1722" s="5" t="s">
        <v>15</v>
      </c>
      <c r="G1722" s="5" t="s">
        <v>11</v>
      </c>
      <c r="H1722" s="5">
        <v>19900</v>
      </c>
      <c r="I1722" s="5">
        <v>1</v>
      </c>
      <c r="J1722" s="9">
        <v>19900</v>
      </c>
    </row>
    <row r="1723" spans="1:10" x14ac:dyDescent="0.3">
      <c r="A1723" s="3" t="s">
        <v>1788</v>
      </c>
      <c r="B1723" s="4">
        <v>43660</v>
      </c>
      <c r="C1723" s="5">
        <v>16</v>
      </c>
      <c r="D1723" s="5" t="s">
        <v>34</v>
      </c>
      <c r="E1723" s="5" t="s">
        <v>43</v>
      </c>
      <c r="F1723" s="5" t="s">
        <v>17</v>
      </c>
      <c r="G1723" s="5" t="s">
        <v>11</v>
      </c>
      <c r="H1723" s="5">
        <v>19900</v>
      </c>
      <c r="I1723" s="5">
        <v>8</v>
      </c>
      <c r="J1723" s="9">
        <v>159200</v>
      </c>
    </row>
    <row r="1724" spans="1:10" x14ac:dyDescent="0.3">
      <c r="A1724" s="3" t="s">
        <v>1789</v>
      </c>
      <c r="B1724" s="4">
        <v>43660</v>
      </c>
      <c r="C1724" s="5">
        <v>10</v>
      </c>
      <c r="D1724" s="5" t="s">
        <v>28</v>
      </c>
      <c r="E1724" s="5" t="s">
        <v>44</v>
      </c>
      <c r="F1724" s="5" t="s">
        <v>15</v>
      </c>
      <c r="G1724" s="5" t="s">
        <v>11</v>
      </c>
      <c r="H1724" s="5">
        <v>19900</v>
      </c>
      <c r="I1724" s="5">
        <v>2</v>
      </c>
      <c r="J1724" s="9">
        <v>39800</v>
      </c>
    </row>
    <row r="1725" spans="1:10" x14ac:dyDescent="0.3">
      <c r="A1725" s="3" t="s">
        <v>1790</v>
      </c>
      <c r="B1725" s="4">
        <v>43660</v>
      </c>
      <c r="C1725" s="5">
        <v>20</v>
      </c>
      <c r="D1725" s="5" t="s">
        <v>38</v>
      </c>
      <c r="E1725" s="5" t="s">
        <v>42</v>
      </c>
      <c r="F1725" s="5" t="s">
        <v>17</v>
      </c>
      <c r="G1725" s="5" t="s">
        <v>14</v>
      </c>
      <c r="H1725" s="5">
        <v>15900</v>
      </c>
      <c r="I1725" s="5">
        <v>1</v>
      </c>
      <c r="J1725" s="9">
        <v>15900</v>
      </c>
    </row>
    <row r="1726" spans="1:10" x14ac:dyDescent="0.3">
      <c r="A1726" s="3" t="s">
        <v>1791</v>
      </c>
      <c r="B1726" s="4">
        <v>43660</v>
      </c>
      <c r="C1726" s="5">
        <v>4</v>
      </c>
      <c r="D1726" s="5" t="s">
        <v>22</v>
      </c>
      <c r="E1726" s="5" t="s">
        <v>40</v>
      </c>
      <c r="F1726" s="5" t="s">
        <v>18</v>
      </c>
      <c r="G1726" s="5" t="s">
        <v>13</v>
      </c>
      <c r="H1726" s="5">
        <v>28900</v>
      </c>
      <c r="I1726" s="5">
        <v>8</v>
      </c>
      <c r="J1726" s="9">
        <v>231200</v>
      </c>
    </row>
    <row r="1727" spans="1:10" x14ac:dyDescent="0.3">
      <c r="A1727" s="3" t="s">
        <v>1792</v>
      </c>
      <c r="B1727" s="4">
        <v>43660</v>
      </c>
      <c r="C1727" s="5">
        <v>10</v>
      </c>
      <c r="D1727" s="5" t="s">
        <v>28</v>
      </c>
      <c r="E1727" s="5" t="s">
        <v>44</v>
      </c>
      <c r="F1727" s="5" t="s">
        <v>15</v>
      </c>
      <c r="G1727" s="5" t="s">
        <v>10</v>
      </c>
      <c r="H1727" s="5">
        <v>39900</v>
      </c>
      <c r="I1727" s="5">
        <v>9</v>
      </c>
      <c r="J1727" s="9">
        <v>359100</v>
      </c>
    </row>
    <row r="1728" spans="1:10" x14ac:dyDescent="0.3">
      <c r="A1728" s="3" t="s">
        <v>1793</v>
      </c>
      <c r="B1728" s="4">
        <v>43660</v>
      </c>
      <c r="C1728" s="5">
        <v>4</v>
      </c>
      <c r="D1728" s="5" t="s">
        <v>22</v>
      </c>
      <c r="E1728" s="5" t="s">
        <v>40</v>
      </c>
      <c r="F1728" s="5" t="s">
        <v>18</v>
      </c>
      <c r="G1728" s="5" t="s">
        <v>11</v>
      </c>
      <c r="H1728" s="5">
        <v>19900</v>
      </c>
      <c r="I1728" s="5">
        <v>3</v>
      </c>
      <c r="J1728" s="9">
        <v>59700</v>
      </c>
    </row>
    <row r="1729" spans="1:10" x14ac:dyDescent="0.3">
      <c r="A1729" s="3" t="s">
        <v>1794</v>
      </c>
      <c r="B1729" s="4">
        <v>43661</v>
      </c>
      <c r="C1729" s="5">
        <v>16</v>
      </c>
      <c r="D1729" s="5" t="s">
        <v>34</v>
      </c>
      <c r="E1729" s="5" t="s">
        <v>42</v>
      </c>
      <c r="F1729" s="5" t="s">
        <v>17</v>
      </c>
      <c r="G1729" s="5" t="s">
        <v>14</v>
      </c>
      <c r="H1729" s="5">
        <v>15900</v>
      </c>
      <c r="I1729" s="5">
        <v>3</v>
      </c>
      <c r="J1729" s="9">
        <v>47700</v>
      </c>
    </row>
    <row r="1730" spans="1:10" x14ac:dyDescent="0.3">
      <c r="A1730" s="3" t="s">
        <v>1795</v>
      </c>
      <c r="B1730" s="4">
        <v>43661</v>
      </c>
      <c r="C1730" s="5">
        <v>2</v>
      </c>
      <c r="D1730" s="5" t="s">
        <v>20</v>
      </c>
      <c r="E1730" s="5" t="s">
        <v>40</v>
      </c>
      <c r="F1730" s="5" t="s">
        <v>18</v>
      </c>
      <c r="G1730" s="5" t="s">
        <v>14</v>
      </c>
      <c r="H1730" s="5">
        <v>15900</v>
      </c>
      <c r="I1730" s="5">
        <v>4</v>
      </c>
      <c r="J1730" s="9">
        <v>63600</v>
      </c>
    </row>
    <row r="1731" spans="1:10" x14ac:dyDescent="0.3">
      <c r="A1731" s="3" t="s">
        <v>1796</v>
      </c>
      <c r="B1731" s="4">
        <v>43661</v>
      </c>
      <c r="C1731" s="5">
        <v>18</v>
      </c>
      <c r="D1731" s="5" t="s">
        <v>36</v>
      </c>
      <c r="E1731" s="5" t="s">
        <v>43</v>
      </c>
      <c r="F1731" s="5" t="s">
        <v>17</v>
      </c>
      <c r="G1731" s="5" t="s">
        <v>10</v>
      </c>
      <c r="H1731" s="5">
        <v>39900</v>
      </c>
      <c r="I1731" s="5">
        <v>5</v>
      </c>
      <c r="J1731" s="9">
        <v>199500</v>
      </c>
    </row>
    <row r="1732" spans="1:10" x14ac:dyDescent="0.3">
      <c r="A1732" s="3" t="s">
        <v>1797</v>
      </c>
      <c r="B1732" s="4">
        <v>43662</v>
      </c>
      <c r="C1732" s="5">
        <v>9</v>
      </c>
      <c r="D1732" s="5" t="s">
        <v>27</v>
      </c>
      <c r="E1732" s="5" t="s">
        <v>44</v>
      </c>
      <c r="F1732" s="5" t="s">
        <v>15</v>
      </c>
      <c r="G1732" s="5" t="s">
        <v>10</v>
      </c>
      <c r="H1732" s="5">
        <v>39900</v>
      </c>
      <c r="I1732" s="5">
        <v>0</v>
      </c>
      <c r="J1732" s="9">
        <v>0</v>
      </c>
    </row>
    <row r="1733" spans="1:10" x14ac:dyDescent="0.3">
      <c r="A1733" s="3" t="s">
        <v>1798</v>
      </c>
      <c r="B1733" s="4">
        <v>43663</v>
      </c>
      <c r="C1733" s="5">
        <v>4</v>
      </c>
      <c r="D1733" s="5" t="s">
        <v>22</v>
      </c>
      <c r="E1733" s="5" t="s">
        <v>40</v>
      </c>
      <c r="F1733" s="5" t="s">
        <v>18</v>
      </c>
      <c r="G1733" s="5" t="s">
        <v>10</v>
      </c>
      <c r="H1733" s="5">
        <v>39900</v>
      </c>
      <c r="I1733" s="5">
        <v>8</v>
      </c>
      <c r="J1733" s="9">
        <v>319200</v>
      </c>
    </row>
    <row r="1734" spans="1:10" x14ac:dyDescent="0.3">
      <c r="A1734" s="3" t="s">
        <v>1799</v>
      </c>
      <c r="B1734" s="4">
        <v>43663</v>
      </c>
      <c r="C1734" s="5">
        <v>5</v>
      </c>
      <c r="D1734" s="5" t="s">
        <v>23</v>
      </c>
      <c r="E1734" s="5" t="s">
        <v>40</v>
      </c>
      <c r="F1734" s="5" t="s">
        <v>18</v>
      </c>
      <c r="G1734" s="5" t="s">
        <v>14</v>
      </c>
      <c r="H1734" s="5">
        <v>15900</v>
      </c>
      <c r="I1734" s="5">
        <v>9</v>
      </c>
      <c r="J1734" s="9">
        <v>143100</v>
      </c>
    </row>
    <row r="1735" spans="1:10" x14ac:dyDescent="0.3">
      <c r="A1735" s="3" t="s">
        <v>1800</v>
      </c>
      <c r="B1735" s="4">
        <v>43664</v>
      </c>
      <c r="C1735" s="5">
        <v>5</v>
      </c>
      <c r="D1735" s="5" t="s">
        <v>23</v>
      </c>
      <c r="E1735" s="5" t="s">
        <v>40</v>
      </c>
      <c r="F1735" s="5" t="s">
        <v>18</v>
      </c>
      <c r="G1735" s="5" t="s">
        <v>10</v>
      </c>
      <c r="H1735" s="5">
        <v>39900</v>
      </c>
      <c r="I1735" s="5">
        <v>2</v>
      </c>
      <c r="J1735" s="9">
        <v>79800</v>
      </c>
    </row>
    <row r="1736" spans="1:10" x14ac:dyDescent="0.3">
      <c r="A1736" s="3" t="s">
        <v>1801</v>
      </c>
      <c r="B1736" s="4">
        <v>43664</v>
      </c>
      <c r="C1736" s="5">
        <v>12</v>
      </c>
      <c r="D1736" s="5" t="s">
        <v>30</v>
      </c>
      <c r="E1736" s="5" t="s">
        <v>45</v>
      </c>
      <c r="F1736" s="5" t="s">
        <v>16</v>
      </c>
      <c r="G1736" s="5" t="s">
        <v>10</v>
      </c>
      <c r="H1736" s="5">
        <v>39900</v>
      </c>
      <c r="I1736" s="5">
        <v>7</v>
      </c>
      <c r="J1736" s="9">
        <v>279300</v>
      </c>
    </row>
    <row r="1737" spans="1:10" x14ac:dyDescent="0.3">
      <c r="A1737" s="3" t="s">
        <v>1802</v>
      </c>
      <c r="B1737" s="4">
        <v>43664</v>
      </c>
      <c r="C1737" s="5">
        <v>7</v>
      </c>
      <c r="D1737" s="5" t="s">
        <v>25</v>
      </c>
      <c r="E1737" s="5" t="s">
        <v>44</v>
      </c>
      <c r="F1737" s="5" t="s">
        <v>15</v>
      </c>
      <c r="G1737" s="5" t="s">
        <v>13</v>
      </c>
      <c r="H1737" s="5">
        <v>28900</v>
      </c>
      <c r="I1737" s="5">
        <v>7</v>
      </c>
      <c r="J1737" s="9">
        <v>202300</v>
      </c>
    </row>
    <row r="1738" spans="1:10" x14ac:dyDescent="0.3">
      <c r="A1738" s="3" t="s">
        <v>1803</v>
      </c>
      <c r="B1738" s="4">
        <v>43664</v>
      </c>
      <c r="C1738" s="5">
        <v>1</v>
      </c>
      <c r="D1738" s="5" t="s">
        <v>19</v>
      </c>
      <c r="E1738" s="5" t="s">
        <v>46</v>
      </c>
      <c r="F1738" s="5" t="s">
        <v>18</v>
      </c>
      <c r="G1738" s="5" t="s">
        <v>12</v>
      </c>
      <c r="H1738" s="5">
        <v>6900</v>
      </c>
      <c r="I1738" s="5">
        <v>3</v>
      </c>
      <c r="J1738" s="9">
        <v>20700</v>
      </c>
    </row>
    <row r="1739" spans="1:10" x14ac:dyDescent="0.3">
      <c r="A1739" s="3" t="s">
        <v>1804</v>
      </c>
      <c r="B1739" s="4">
        <v>43665</v>
      </c>
      <c r="C1739" s="5">
        <v>18</v>
      </c>
      <c r="D1739" s="5" t="s">
        <v>36</v>
      </c>
      <c r="E1739" s="5" t="s">
        <v>43</v>
      </c>
      <c r="F1739" s="5" t="s">
        <v>17</v>
      </c>
      <c r="G1739" s="5" t="s">
        <v>14</v>
      </c>
      <c r="H1739" s="5">
        <v>15900</v>
      </c>
      <c r="I1739" s="5">
        <v>6</v>
      </c>
      <c r="J1739" s="9">
        <v>95400</v>
      </c>
    </row>
    <row r="1740" spans="1:10" x14ac:dyDescent="0.3">
      <c r="A1740" s="3" t="s">
        <v>1805</v>
      </c>
      <c r="B1740" s="4">
        <v>43666</v>
      </c>
      <c r="C1740" s="5">
        <v>3</v>
      </c>
      <c r="D1740" s="5" t="s">
        <v>21</v>
      </c>
      <c r="E1740" s="5" t="s">
        <v>46</v>
      </c>
      <c r="F1740" s="5" t="s">
        <v>18</v>
      </c>
      <c r="G1740" s="5" t="s">
        <v>12</v>
      </c>
      <c r="H1740" s="5">
        <v>6900</v>
      </c>
      <c r="I1740" s="5">
        <v>3</v>
      </c>
      <c r="J1740" s="9">
        <v>20700</v>
      </c>
    </row>
    <row r="1741" spans="1:10" x14ac:dyDescent="0.3">
      <c r="A1741" s="3" t="s">
        <v>1806</v>
      </c>
      <c r="B1741" s="4">
        <v>43666</v>
      </c>
      <c r="C1741" s="5">
        <v>2</v>
      </c>
      <c r="D1741" s="5" t="s">
        <v>20</v>
      </c>
      <c r="E1741" s="5" t="s">
        <v>40</v>
      </c>
      <c r="F1741" s="5" t="s">
        <v>18</v>
      </c>
      <c r="G1741" s="5" t="s">
        <v>11</v>
      </c>
      <c r="H1741" s="5">
        <v>19900</v>
      </c>
      <c r="I1741" s="5">
        <v>4</v>
      </c>
      <c r="J1741" s="9">
        <v>79600</v>
      </c>
    </row>
    <row r="1742" spans="1:10" x14ac:dyDescent="0.3">
      <c r="A1742" s="3" t="s">
        <v>1807</v>
      </c>
      <c r="B1742" s="4">
        <v>43666</v>
      </c>
      <c r="C1742" s="5">
        <v>17</v>
      </c>
      <c r="D1742" s="5" t="s">
        <v>35</v>
      </c>
      <c r="E1742" s="5" t="s">
        <v>42</v>
      </c>
      <c r="F1742" s="5" t="s">
        <v>17</v>
      </c>
      <c r="G1742" s="5" t="s">
        <v>13</v>
      </c>
      <c r="H1742" s="5">
        <v>28900</v>
      </c>
      <c r="I1742" s="5">
        <v>2</v>
      </c>
      <c r="J1742" s="9">
        <v>57800</v>
      </c>
    </row>
    <row r="1743" spans="1:10" x14ac:dyDescent="0.3">
      <c r="A1743" s="3" t="s">
        <v>1808</v>
      </c>
      <c r="B1743" s="4">
        <v>43667</v>
      </c>
      <c r="C1743" s="5">
        <v>14</v>
      </c>
      <c r="D1743" s="5" t="s">
        <v>32</v>
      </c>
      <c r="E1743" s="5" t="s">
        <v>45</v>
      </c>
      <c r="F1743" s="5" t="s">
        <v>16</v>
      </c>
      <c r="G1743" s="5" t="s">
        <v>13</v>
      </c>
      <c r="H1743" s="5">
        <v>28900</v>
      </c>
      <c r="I1743" s="5">
        <v>9</v>
      </c>
      <c r="J1743" s="9">
        <v>260100</v>
      </c>
    </row>
    <row r="1744" spans="1:10" x14ac:dyDescent="0.3">
      <c r="A1744" s="3" t="s">
        <v>1809</v>
      </c>
      <c r="B1744" s="4">
        <v>43667</v>
      </c>
      <c r="C1744" s="5">
        <v>19</v>
      </c>
      <c r="D1744" s="5" t="s">
        <v>37</v>
      </c>
      <c r="E1744" s="5" t="s">
        <v>43</v>
      </c>
      <c r="F1744" s="5" t="s">
        <v>17</v>
      </c>
      <c r="G1744" s="5" t="s">
        <v>12</v>
      </c>
      <c r="H1744" s="5">
        <v>6900</v>
      </c>
      <c r="I1744" s="5">
        <v>2</v>
      </c>
      <c r="J1744" s="9">
        <v>13800</v>
      </c>
    </row>
    <row r="1745" spans="1:10" x14ac:dyDescent="0.3">
      <c r="A1745" s="3" t="s">
        <v>1810</v>
      </c>
      <c r="B1745" s="4">
        <v>43667</v>
      </c>
      <c r="C1745" s="5">
        <v>9</v>
      </c>
      <c r="D1745" s="5" t="s">
        <v>27</v>
      </c>
      <c r="E1745" s="5" t="s">
        <v>41</v>
      </c>
      <c r="F1745" s="5" t="s">
        <v>15</v>
      </c>
      <c r="G1745" s="5" t="s">
        <v>12</v>
      </c>
      <c r="H1745" s="5">
        <v>6900</v>
      </c>
      <c r="I1745" s="5">
        <v>4</v>
      </c>
      <c r="J1745" s="9">
        <v>27600</v>
      </c>
    </row>
    <row r="1746" spans="1:10" x14ac:dyDescent="0.3">
      <c r="A1746" s="3" t="s">
        <v>1811</v>
      </c>
      <c r="B1746" s="4">
        <v>43667</v>
      </c>
      <c r="C1746" s="5">
        <v>9</v>
      </c>
      <c r="D1746" s="5" t="s">
        <v>27</v>
      </c>
      <c r="E1746" s="5" t="s">
        <v>44</v>
      </c>
      <c r="F1746" s="5" t="s">
        <v>15</v>
      </c>
      <c r="G1746" s="5" t="s">
        <v>11</v>
      </c>
      <c r="H1746" s="5">
        <v>19900</v>
      </c>
      <c r="I1746" s="5">
        <v>5</v>
      </c>
      <c r="J1746" s="9">
        <v>99500</v>
      </c>
    </row>
    <row r="1747" spans="1:10" x14ac:dyDescent="0.3">
      <c r="A1747" s="3" t="s">
        <v>1812</v>
      </c>
      <c r="B1747" s="4">
        <v>43668</v>
      </c>
      <c r="C1747" s="5">
        <v>9</v>
      </c>
      <c r="D1747" s="5" t="s">
        <v>27</v>
      </c>
      <c r="E1747" s="5" t="s">
        <v>44</v>
      </c>
      <c r="F1747" s="5" t="s">
        <v>15</v>
      </c>
      <c r="G1747" s="5" t="s">
        <v>12</v>
      </c>
      <c r="H1747" s="5">
        <v>6900</v>
      </c>
      <c r="I1747" s="5">
        <v>4</v>
      </c>
      <c r="J1747" s="9">
        <v>27600</v>
      </c>
    </row>
    <row r="1748" spans="1:10" x14ac:dyDescent="0.3">
      <c r="A1748" s="3" t="s">
        <v>1813</v>
      </c>
      <c r="B1748" s="4">
        <v>43668</v>
      </c>
      <c r="C1748" s="5">
        <v>6</v>
      </c>
      <c r="D1748" s="5" t="s">
        <v>24</v>
      </c>
      <c r="E1748" s="5" t="s">
        <v>44</v>
      </c>
      <c r="F1748" s="5" t="s">
        <v>15</v>
      </c>
      <c r="G1748" s="5" t="s">
        <v>11</v>
      </c>
      <c r="H1748" s="5">
        <v>19900</v>
      </c>
      <c r="I1748" s="5">
        <v>0</v>
      </c>
      <c r="J1748" s="9">
        <v>0</v>
      </c>
    </row>
    <row r="1749" spans="1:10" x14ac:dyDescent="0.3">
      <c r="A1749" s="3" t="s">
        <v>1814</v>
      </c>
      <c r="B1749" s="4">
        <v>43668</v>
      </c>
      <c r="C1749" s="5">
        <v>11</v>
      </c>
      <c r="D1749" s="5" t="s">
        <v>29</v>
      </c>
      <c r="E1749" s="5" t="s">
        <v>45</v>
      </c>
      <c r="F1749" s="5" t="s">
        <v>16</v>
      </c>
      <c r="G1749" s="5" t="s">
        <v>12</v>
      </c>
      <c r="H1749" s="5">
        <v>6900</v>
      </c>
      <c r="I1749" s="5">
        <v>0</v>
      </c>
      <c r="J1749" s="9">
        <v>0</v>
      </c>
    </row>
    <row r="1750" spans="1:10" x14ac:dyDescent="0.3">
      <c r="A1750" s="3" t="s">
        <v>1815</v>
      </c>
      <c r="B1750" s="4">
        <v>43669</v>
      </c>
      <c r="C1750" s="5">
        <v>2</v>
      </c>
      <c r="D1750" s="5" t="s">
        <v>20</v>
      </c>
      <c r="E1750" s="5" t="s">
        <v>46</v>
      </c>
      <c r="F1750" s="5" t="s">
        <v>18</v>
      </c>
      <c r="G1750" s="5" t="s">
        <v>10</v>
      </c>
      <c r="H1750" s="5">
        <v>39900</v>
      </c>
      <c r="I1750" s="5">
        <v>9</v>
      </c>
      <c r="J1750" s="9">
        <v>359100</v>
      </c>
    </row>
    <row r="1751" spans="1:10" x14ac:dyDescent="0.3">
      <c r="A1751" s="3" t="s">
        <v>1816</v>
      </c>
      <c r="B1751" s="4">
        <v>43670</v>
      </c>
      <c r="C1751" s="5">
        <v>19</v>
      </c>
      <c r="D1751" s="5" t="s">
        <v>37</v>
      </c>
      <c r="E1751" s="5" t="s">
        <v>43</v>
      </c>
      <c r="F1751" s="5" t="s">
        <v>17</v>
      </c>
      <c r="G1751" s="5" t="s">
        <v>12</v>
      </c>
      <c r="H1751" s="5">
        <v>6900</v>
      </c>
      <c r="I1751" s="5">
        <v>1</v>
      </c>
      <c r="J1751" s="9">
        <v>6900</v>
      </c>
    </row>
    <row r="1752" spans="1:10" x14ac:dyDescent="0.3">
      <c r="A1752" s="3" t="s">
        <v>1817</v>
      </c>
      <c r="B1752" s="4">
        <v>43671</v>
      </c>
      <c r="C1752" s="5">
        <v>15</v>
      </c>
      <c r="D1752" s="5" t="s">
        <v>33</v>
      </c>
      <c r="E1752" s="5" t="s">
        <v>39</v>
      </c>
      <c r="F1752" s="5" t="s">
        <v>16</v>
      </c>
      <c r="G1752" s="5" t="s">
        <v>12</v>
      </c>
      <c r="H1752" s="5">
        <v>6900</v>
      </c>
      <c r="I1752" s="5">
        <v>4</v>
      </c>
      <c r="J1752" s="9">
        <v>27600</v>
      </c>
    </row>
    <row r="1753" spans="1:10" x14ac:dyDescent="0.3">
      <c r="A1753" s="3" t="s">
        <v>1818</v>
      </c>
      <c r="B1753" s="4">
        <v>43671</v>
      </c>
      <c r="C1753" s="5">
        <v>6</v>
      </c>
      <c r="D1753" s="5" t="s">
        <v>24</v>
      </c>
      <c r="E1753" s="5" t="s">
        <v>41</v>
      </c>
      <c r="F1753" s="5" t="s">
        <v>15</v>
      </c>
      <c r="G1753" s="5" t="s">
        <v>13</v>
      </c>
      <c r="H1753" s="5">
        <v>28900</v>
      </c>
      <c r="I1753" s="5">
        <v>7</v>
      </c>
      <c r="J1753" s="9">
        <v>202300</v>
      </c>
    </row>
    <row r="1754" spans="1:10" x14ac:dyDescent="0.3">
      <c r="A1754" s="3" t="s">
        <v>1819</v>
      </c>
      <c r="B1754" s="4">
        <v>43671</v>
      </c>
      <c r="C1754" s="5">
        <v>12</v>
      </c>
      <c r="D1754" s="5" t="s">
        <v>30</v>
      </c>
      <c r="E1754" s="5" t="s">
        <v>45</v>
      </c>
      <c r="F1754" s="5" t="s">
        <v>16</v>
      </c>
      <c r="G1754" s="5" t="s">
        <v>12</v>
      </c>
      <c r="H1754" s="5">
        <v>6900</v>
      </c>
      <c r="I1754" s="5">
        <v>8</v>
      </c>
      <c r="J1754" s="9">
        <v>55200</v>
      </c>
    </row>
    <row r="1755" spans="1:10" x14ac:dyDescent="0.3">
      <c r="A1755" s="3" t="s">
        <v>1820</v>
      </c>
      <c r="B1755" s="4">
        <v>43671</v>
      </c>
      <c r="C1755" s="5">
        <v>2</v>
      </c>
      <c r="D1755" s="5" t="s">
        <v>20</v>
      </c>
      <c r="E1755" s="5" t="s">
        <v>46</v>
      </c>
      <c r="F1755" s="5" t="s">
        <v>18</v>
      </c>
      <c r="G1755" s="5" t="s">
        <v>12</v>
      </c>
      <c r="H1755" s="5">
        <v>6900</v>
      </c>
      <c r="I1755" s="5">
        <v>9</v>
      </c>
      <c r="J1755" s="9">
        <v>62100</v>
      </c>
    </row>
    <row r="1756" spans="1:10" x14ac:dyDescent="0.3">
      <c r="A1756" s="3" t="s">
        <v>1821</v>
      </c>
      <c r="B1756" s="4">
        <v>43671</v>
      </c>
      <c r="C1756" s="5">
        <v>15</v>
      </c>
      <c r="D1756" s="5" t="s">
        <v>33</v>
      </c>
      <c r="E1756" s="5" t="s">
        <v>45</v>
      </c>
      <c r="F1756" s="5" t="s">
        <v>16</v>
      </c>
      <c r="G1756" s="5" t="s">
        <v>13</v>
      </c>
      <c r="H1756" s="5">
        <v>28900</v>
      </c>
      <c r="I1756" s="5">
        <v>4</v>
      </c>
      <c r="J1756" s="9">
        <v>115600</v>
      </c>
    </row>
    <row r="1757" spans="1:10" x14ac:dyDescent="0.3">
      <c r="A1757" s="3" t="s">
        <v>1822</v>
      </c>
      <c r="B1757" s="4">
        <v>43671</v>
      </c>
      <c r="C1757" s="5">
        <v>2</v>
      </c>
      <c r="D1757" s="5" t="s">
        <v>20</v>
      </c>
      <c r="E1757" s="5" t="s">
        <v>40</v>
      </c>
      <c r="F1757" s="5" t="s">
        <v>18</v>
      </c>
      <c r="G1757" s="5" t="s">
        <v>10</v>
      </c>
      <c r="H1757" s="5">
        <v>39900</v>
      </c>
      <c r="I1757" s="5">
        <v>9</v>
      </c>
      <c r="J1757" s="9">
        <v>359100</v>
      </c>
    </row>
    <row r="1758" spans="1:10" x14ac:dyDescent="0.3">
      <c r="A1758" s="3" t="s">
        <v>1823</v>
      </c>
      <c r="B1758" s="4">
        <v>43671</v>
      </c>
      <c r="C1758" s="5">
        <v>4</v>
      </c>
      <c r="D1758" s="5" t="s">
        <v>22</v>
      </c>
      <c r="E1758" s="5" t="s">
        <v>40</v>
      </c>
      <c r="F1758" s="5" t="s">
        <v>18</v>
      </c>
      <c r="G1758" s="5" t="s">
        <v>13</v>
      </c>
      <c r="H1758" s="5">
        <v>28900</v>
      </c>
      <c r="I1758" s="5">
        <v>2</v>
      </c>
      <c r="J1758" s="9">
        <v>57800</v>
      </c>
    </row>
    <row r="1759" spans="1:10" x14ac:dyDescent="0.3">
      <c r="A1759" s="3" t="s">
        <v>1824</v>
      </c>
      <c r="B1759" s="4">
        <v>43671</v>
      </c>
      <c r="C1759" s="5">
        <v>5</v>
      </c>
      <c r="D1759" s="5" t="s">
        <v>23</v>
      </c>
      <c r="E1759" s="5" t="s">
        <v>46</v>
      </c>
      <c r="F1759" s="5" t="s">
        <v>18</v>
      </c>
      <c r="G1759" s="5" t="s">
        <v>12</v>
      </c>
      <c r="H1759" s="5">
        <v>6900</v>
      </c>
      <c r="I1759" s="5">
        <v>9</v>
      </c>
      <c r="J1759" s="9">
        <v>62100</v>
      </c>
    </row>
    <row r="1760" spans="1:10" x14ac:dyDescent="0.3">
      <c r="A1760" s="3" t="s">
        <v>1825</v>
      </c>
      <c r="B1760" s="4">
        <v>43672</v>
      </c>
      <c r="C1760" s="5">
        <v>18</v>
      </c>
      <c r="D1760" s="5" t="s">
        <v>36</v>
      </c>
      <c r="E1760" s="5" t="s">
        <v>43</v>
      </c>
      <c r="F1760" s="5" t="s">
        <v>17</v>
      </c>
      <c r="G1760" s="5" t="s">
        <v>14</v>
      </c>
      <c r="H1760" s="5">
        <v>15900</v>
      </c>
      <c r="I1760" s="5">
        <v>5</v>
      </c>
      <c r="J1760" s="9">
        <v>79500</v>
      </c>
    </row>
    <row r="1761" spans="1:10" x14ac:dyDescent="0.3">
      <c r="A1761" s="3" t="s">
        <v>1826</v>
      </c>
      <c r="B1761" s="4">
        <v>43673</v>
      </c>
      <c r="C1761" s="5">
        <v>18</v>
      </c>
      <c r="D1761" s="5" t="s">
        <v>36</v>
      </c>
      <c r="E1761" s="5" t="s">
        <v>42</v>
      </c>
      <c r="F1761" s="5" t="s">
        <v>17</v>
      </c>
      <c r="G1761" s="5" t="s">
        <v>11</v>
      </c>
      <c r="H1761" s="5">
        <v>19900</v>
      </c>
      <c r="I1761" s="5">
        <v>0</v>
      </c>
      <c r="J1761" s="9">
        <v>0</v>
      </c>
    </row>
    <row r="1762" spans="1:10" x14ac:dyDescent="0.3">
      <c r="A1762" s="3" t="s">
        <v>1827</v>
      </c>
      <c r="B1762" s="4">
        <v>43674</v>
      </c>
      <c r="C1762" s="5">
        <v>11</v>
      </c>
      <c r="D1762" s="5" t="s">
        <v>29</v>
      </c>
      <c r="E1762" s="5" t="s">
        <v>39</v>
      </c>
      <c r="F1762" s="5" t="s">
        <v>16</v>
      </c>
      <c r="G1762" s="5" t="s">
        <v>11</v>
      </c>
      <c r="H1762" s="5">
        <v>19900</v>
      </c>
      <c r="I1762" s="5">
        <v>4</v>
      </c>
      <c r="J1762" s="9">
        <v>79600</v>
      </c>
    </row>
    <row r="1763" spans="1:10" x14ac:dyDescent="0.3">
      <c r="A1763" s="3" t="s">
        <v>1828</v>
      </c>
      <c r="B1763" s="4">
        <v>43674</v>
      </c>
      <c r="C1763" s="5">
        <v>19</v>
      </c>
      <c r="D1763" s="5" t="s">
        <v>37</v>
      </c>
      <c r="E1763" s="5" t="s">
        <v>42</v>
      </c>
      <c r="F1763" s="5" t="s">
        <v>17</v>
      </c>
      <c r="G1763" s="5" t="s">
        <v>12</v>
      </c>
      <c r="H1763" s="5">
        <v>6900</v>
      </c>
      <c r="I1763" s="5">
        <v>8</v>
      </c>
      <c r="J1763" s="9">
        <v>55200</v>
      </c>
    </row>
    <row r="1764" spans="1:10" x14ac:dyDescent="0.3">
      <c r="A1764" s="3" t="s">
        <v>1829</v>
      </c>
      <c r="B1764" s="4">
        <v>43675</v>
      </c>
      <c r="C1764" s="5">
        <v>2</v>
      </c>
      <c r="D1764" s="5" t="s">
        <v>20</v>
      </c>
      <c r="E1764" s="5" t="s">
        <v>40</v>
      </c>
      <c r="F1764" s="5" t="s">
        <v>18</v>
      </c>
      <c r="G1764" s="5" t="s">
        <v>11</v>
      </c>
      <c r="H1764" s="5">
        <v>19900</v>
      </c>
      <c r="I1764" s="5">
        <v>7</v>
      </c>
      <c r="J1764" s="9">
        <v>139300</v>
      </c>
    </row>
    <row r="1765" spans="1:10" x14ac:dyDescent="0.3">
      <c r="A1765" s="3" t="s">
        <v>1830</v>
      </c>
      <c r="B1765" s="4">
        <v>43675</v>
      </c>
      <c r="C1765" s="5">
        <v>9</v>
      </c>
      <c r="D1765" s="5" t="s">
        <v>27</v>
      </c>
      <c r="E1765" s="5" t="s">
        <v>41</v>
      </c>
      <c r="F1765" s="5" t="s">
        <v>15</v>
      </c>
      <c r="G1765" s="5" t="s">
        <v>12</v>
      </c>
      <c r="H1765" s="5">
        <v>6900</v>
      </c>
      <c r="I1765" s="5">
        <v>2</v>
      </c>
      <c r="J1765" s="9">
        <v>13800</v>
      </c>
    </row>
    <row r="1766" spans="1:10" x14ac:dyDescent="0.3">
      <c r="A1766" s="3" t="s">
        <v>1831</v>
      </c>
      <c r="B1766" s="4">
        <v>43676</v>
      </c>
      <c r="C1766" s="5">
        <v>9</v>
      </c>
      <c r="D1766" s="5" t="s">
        <v>27</v>
      </c>
      <c r="E1766" s="5" t="s">
        <v>44</v>
      </c>
      <c r="F1766" s="5" t="s">
        <v>15</v>
      </c>
      <c r="G1766" s="5" t="s">
        <v>11</v>
      </c>
      <c r="H1766" s="5">
        <v>19900</v>
      </c>
      <c r="I1766" s="5">
        <v>3</v>
      </c>
      <c r="J1766" s="9">
        <v>59700</v>
      </c>
    </row>
    <row r="1767" spans="1:10" x14ac:dyDescent="0.3">
      <c r="A1767" s="3" t="s">
        <v>1832</v>
      </c>
      <c r="B1767" s="4">
        <v>43677</v>
      </c>
      <c r="C1767" s="5">
        <v>13</v>
      </c>
      <c r="D1767" s="5" t="s">
        <v>31</v>
      </c>
      <c r="E1767" s="5" t="s">
        <v>39</v>
      </c>
      <c r="F1767" s="5" t="s">
        <v>16</v>
      </c>
      <c r="G1767" s="5" t="s">
        <v>10</v>
      </c>
      <c r="H1767" s="5">
        <v>39900</v>
      </c>
      <c r="I1767" s="5">
        <v>8</v>
      </c>
      <c r="J1767" s="9">
        <v>319200</v>
      </c>
    </row>
    <row r="1768" spans="1:10" x14ac:dyDescent="0.3">
      <c r="A1768" s="3" t="s">
        <v>1833</v>
      </c>
      <c r="B1768" s="4">
        <v>43677</v>
      </c>
      <c r="C1768" s="5">
        <v>6</v>
      </c>
      <c r="D1768" s="5" t="s">
        <v>24</v>
      </c>
      <c r="E1768" s="5" t="s">
        <v>41</v>
      </c>
      <c r="F1768" s="5" t="s">
        <v>15</v>
      </c>
      <c r="G1768" s="5" t="s">
        <v>10</v>
      </c>
      <c r="H1768" s="5">
        <v>39900</v>
      </c>
      <c r="I1768" s="5">
        <v>9</v>
      </c>
      <c r="J1768" s="9">
        <v>359100</v>
      </c>
    </row>
    <row r="1769" spans="1:10" x14ac:dyDescent="0.3">
      <c r="A1769" s="3" t="s">
        <v>1834</v>
      </c>
      <c r="B1769" s="4">
        <v>43678</v>
      </c>
      <c r="C1769" s="5">
        <v>15</v>
      </c>
      <c r="D1769" s="5" t="s">
        <v>33</v>
      </c>
      <c r="E1769" s="5" t="s">
        <v>45</v>
      </c>
      <c r="F1769" s="5" t="s">
        <v>16</v>
      </c>
      <c r="G1769" s="5" t="s">
        <v>14</v>
      </c>
      <c r="H1769" s="5">
        <v>15900</v>
      </c>
      <c r="I1769" s="5">
        <v>1</v>
      </c>
      <c r="J1769" s="9">
        <v>15900</v>
      </c>
    </row>
    <row r="1770" spans="1:10" x14ac:dyDescent="0.3">
      <c r="A1770" s="3" t="s">
        <v>1835</v>
      </c>
      <c r="B1770" s="4">
        <v>43679</v>
      </c>
      <c r="C1770" s="5">
        <v>6</v>
      </c>
      <c r="D1770" s="5" t="s">
        <v>24</v>
      </c>
      <c r="E1770" s="5" t="s">
        <v>44</v>
      </c>
      <c r="F1770" s="5" t="s">
        <v>15</v>
      </c>
      <c r="G1770" s="5" t="s">
        <v>10</v>
      </c>
      <c r="H1770" s="5">
        <v>39900</v>
      </c>
      <c r="I1770" s="5">
        <v>2</v>
      </c>
      <c r="J1770" s="9">
        <v>79800</v>
      </c>
    </row>
    <row r="1771" spans="1:10" x14ac:dyDescent="0.3">
      <c r="A1771" s="3" t="s">
        <v>1836</v>
      </c>
      <c r="B1771" s="4">
        <v>43680</v>
      </c>
      <c r="C1771" s="5">
        <v>1</v>
      </c>
      <c r="D1771" s="5" t="s">
        <v>19</v>
      </c>
      <c r="E1771" s="5" t="s">
        <v>46</v>
      </c>
      <c r="F1771" s="5" t="s">
        <v>18</v>
      </c>
      <c r="G1771" s="5" t="s">
        <v>14</v>
      </c>
      <c r="H1771" s="5">
        <v>15900</v>
      </c>
      <c r="I1771" s="5">
        <v>8</v>
      </c>
      <c r="J1771" s="9">
        <v>127200</v>
      </c>
    </row>
    <row r="1772" spans="1:10" x14ac:dyDescent="0.3">
      <c r="A1772" s="3" t="s">
        <v>1837</v>
      </c>
      <c r="B1772" s="4">
        <v>43680</v>
      </c>
      <c r="C1772" s="5">
        <v>4</v>
      </c>
      <c r="D1772" s="5" t="s">
        <v>22</v>
      </c>
      <c r="E1772" s="5" t="s">
        <v>40</v>
      </c>
      <c r="F1772" s="5" t="s">
        <v>18</v>
      </c>
      <c r="G1772" s="5" t="s">
        <v>11</v>
      </c>
      <c r="H1772" s="5">
        <v>19900</v>
      </c>
      <c r="I1772" s="5">
        <v>7</v>
      </c>
      <c r="J1772" s="9">
        <v>139300</v>
      </c>
    </row>
    <row r="1773" spans="1:10" x14ac:dyDescent="0.3">
      <c r="A1773" s="3" t="s">
        <v>1838</v>
      </c>
      <c r="B1773" s="4">
        <v>43681</v>
      </c>
      <c r="C1773" s="5">
        <v>18</v>
      </c>
      <c r="D1773" s="5" t="s">
        <v>36</v>
      </c>
      <c r="E1773" s="5" t="s">
        <v>43</v>
      </c>
      <c r="F1773" s="5" t="s">
        <v>17</v>
      </c>
      <c r="G1773" s="5" t="s">
        <v>11</v>
      </c>
      <c r="H1773" s="5">
        <v>19900</v>
      </c>
      <c r="I1773" s="5">
        <v>8</v>
      </c>
      <c r="J1773" s="9">
        <v>159200</v>
      </c>
    </row>
    <row r="1774" spans="1:10" x14ac:dyDescent="0.3">
      <c r="A1774" s="3" t="s">
        <v>1839</v>
      </c>
      <c r="B1774" s="4">
        <v>43681</v>
      </c>
      <c r="C1774" s="5">
        <v>5</v>
      </c>
      <c r="D1774" s="5" t="s">
        <v>23</v>
      </c>
      <c r="E1774" s="5" t="s">
        <v>40</v>
      </c>
      <c r="F1774" s="5" t="s">
        <v>18</v>
      </c>
      <c r="G1774" s="5" t="s">
        <v>11</v>
      </c>
      <c r="H1774" s="5">
        <v>19900</v>
      </c>
      <c r="I1774" s="5">
        <v>2</v>
      </c>
      <c r="J1774" s="9">
        <v>39800</v>
      </c>
    </row>
    <row r="1775" spans="1:10" x14ac:dyDescent="0.3">
      <c r="A1775" s="3" t="s">
        <v>1840</v>
      </c>
      <c r="B1775" s="4">
        <v>43681</v>
      </c>
      <c r="C1775" s="5">
        <v>8</v>
      </c>
      <c r="D1775" s="5" t="s">
        <v>26</v>
      </c>
      <c r="E1775" s="5" t="s">
        <v>44</v>
      </c>
      <c r="F1775" s="5" t="s">
        <v>15</v>
      </c>
      <c r="G1775" s="5" t="s">
        <v>11</v>
      </c>
      <c r="H1775" s="5">
        <v>19900</v>
      </c>
      <c r="I1775" s="5">
        <v>1</v>
      </c>
      <c r="J1775" s="9">
        <v>19900</v>
      </c>
    </row>
    <row r="1776" spans="1:10" x14ac:dyDescent="0.3">
      <c r="A1776" s="3" t="s">
        <v>1841</v>
      </c>
      <c r="B1776" s="4">
        <v>43681</v>
      </c>
      <c r="C1776" s="5">
        <v>7</v>
      </c>
      <c r="D1776" s="5" t="s">
        <v>25</v>
      </c>
      <c r="E1776" s="5" t="s">
        <v>44</v>
      </c>
      <c r="F1776" s="5" t="s">
        <v>15</v>
      </c>
      <c r="G1776" s="5" t="s">
        <v>12</v>
      </c>
      <c r="H1776" s="5">
        <v>6900</v>
      </c>
      <c r="I1776" s="5">
        <v>9</v>
      </c>
      <c r="J1776" s="9">
        <v>62100</v>
      </c>
    </row>
    <row r="1777" spans="1:10" x14ac:dyDescent="0.3">
      <c r="A1777" s="3" t="s">
        <v>1842</v>
      </c>
      <c r="B1777" s="4">
        <v>43682</v>
      </c>
      <c r="C1777" s="5">
        <v>2</v>
      </c>
      <c r="D1777" s="5" t="s">
        <v>20</v>
      </c>
      <c r="E1777" s="5" t="s">
        <v>40</v>
      </c>
      <c r="F1777" s="5" t="s">
        <v>18</v>
      </c>
      <c r="G1777" s="5" t="s">
        <v>13</v>
      </c>
      <c r="H1777" s="5">
        <v>28900</v>
      </c>
      <c r="I1777" s="5">
        <v>8</v>
      </c>
      <c r="J1777" s="9">
        <v>231200</v>
      </c>
    </row>
    <row r="1778" spans="1:10" x14ac:dyDescent="0.3">
      <c r="A1778" s="3" t="s">
        <v>1843</v>
      </c>
      <c r="B1778" s="4">
        <v>43683</v>
      </c>
      <c r="C1778" s="5">
        <v>7</v>
      </c>
      <c r="D1778" s="5" t="s">
        <v>25</v>
      </c>
      <c r="E1778" s="5" t="s">
        <v>41</v>
      </c>
      <c r="F1778" s="5" t="s">
        <v>15</v>
      </c>
      <c r="G1778" s="5" t="s">
        <v>10</v>
      </c>
      <c r="H1778" s="5">
        <v>39900</v>
      </c>
      <c r="I1778" s="5">
        <v>6</v>
      </c>
      <c r="J1778" s="9">
        <v>239400</v>
      </c>
    </row>
    <row r="1779" spans="1:10" x14ac:dyDescent="0.3">
      <c r="A1779" s="3" t="s">
        <v>1844</v>
      </c>
      <c r="B1779" s="4">
        <v>43684</v>
      </c>
      <c r="C1779" s="5">
        <v>2</v>
      </c>
      <c r="D1779" s="5" t="s">
        <v>20</v>
      </c>
      <c r="E1779" s="5" t="s">
        <v>40</v>
      </c>
      <c r="F1779" s="5" t="s">
        <v>18</v>
      </c>
      <c r="G1779" s="5" t="s">
        <v>14</v>
      </c>
      <c r="H1779" s="5">
        <v>15900</v>
      </c>
      <c r="I1779" s="5">
        <v>6</v>
      </c>
      <c r="J1779" s="9">
        <v>95400</v>
      </c>
    </row>
    <row r="1780" spans="1:10" x14ac:dyDescent="0.3">
      <c r="A1780" s="3" t="s">
        <v>1845</v>
      </c>
      <c r="B1780" s="4">
        <v>43684</v>
      </c>
      <c r="C1780" s="5">
        <v>10</v>
      </c>
      <c r="D1780" s="5" t="s">
        <v>28</v>
      </c>
      <c r="E1780" s="5" t="s">
        <v>41</v>
      </c>
      <c r="F1780" s="5" t="s">
        <v>15</v>
      </c>
      <c r="G1780" s="5" t="s">
        <v>14</v>
      </c>
      <c r="H1780" s="5">
        <v>15900</v>
      </c>
      <c r="I1780" s="5">
        <v>3</v>
      </c>
      <c r="J1780" s="9">
        <v>47700</v>
      </c>
    </row>
    <row r="1781" spans="1:10" x14ac:dyDescent="0.3">
      <c r="A1781" s="3" t="s">
        <v>1846</v>
      </c>
      <c r="B1781" s="4">
        <v>43684</v>
      </c>
      <c r="C1781" s="5">
        <v>18</v>
      </c>
      <c r="D1781" s="5" t="s">
        <v>36</v>
      </c>
      <c r="E1781" s="5" t="s">
        <v>43</v>
      </c>
      <c r="F1781" s="5" t="s">
        <v>17</v>
      </c>
      <c r="G1781" s="5" t="s">
        <v>13</v>
      </c>
      <c r="H1781" s="5">
        <v>28900</v>
      </c>
      <c r="I1781" s="5">
        <v>0</v>
      </c>
      <c r="J1781" s="9">
        <v>0</v>
      </c>
    </row>
    <row r="1782" spans="1:10" x14ac:dyDescent="0.3">
      <c r="A1782" s="3" t="s">
        <v>1847</v>
      </c>
      <c r="B1782" s="4">
        <v>43684</v>
      </c>
      <c r="C1782" s="5">
        <v>19</v>
      </c>
      <c r="D1782" s="5" t="s">
        <v>37</v>
      </c>
      <c r="E1782" s="5" t="s">
        <v>42</v>
      </c>
      <c r="F1782" s="5" t="s">
        <v>17</v>
      </c>
      <c r="G1782" s="5" t="s">
        <v>13</v>
      </c>
      <c r="H1782" s="5">
        <v>28900</v>
      </c>
      <c r="I1782" s="5">
        <v>8</v>
      </c>
      <c r="J1782" s="9">
        <v>231200</v>
      </c>
    </row>
    <row r="1783" spans="1:10" x14ac:dyDescent="0.3">
      <c r="A1783" s="3" t="s">
        <v>1848</v>
      </c>
      <c r="B1783" s="4">
        <v>43685</v>
      </c>
      <c r="C1783" s="5">
        <v>13</v>
      </c>
      <c r="D1783" s="5" t="s">
        <v>31</v>
      </c>
      <c r="E1783" s="5" t="s">
        <v>39</v>
      </c>
      <c r="F1783" s="5" t="s">
        <v>16</v>
      </c>
      <c r="G1783" s="5" t="s">
        <v>11</v>
      </c>
      <c r="H1783" s="5">
        <v>19900</v>
      </c>
      <c r="I1783" s="5">
        <v>3</v>
      </c>
      <c r="J1783" s="9">
        <v>59700</v>
      </c>
    </row>
    <row r="1784" spans="1:10" x14ac:dyDescent="0.3">
      <c r="A1784" s="3" t="s">
        <v>1849</v>
      </c>
      <c r="B1784" s="4">
        <v>43685</v>
      </c>
      <c r="C1784" s="5">
        <v>5</v>
      </c>
      <c r="D1784" s="5" t="s">
        <v>23</v>
      </c>
      <c r="E1784" s="5" t="s">
        <v>40</v>
      </c>
      <c r="F1784" s="5" t="s">
        <v>18</v>
      </c>
      <c r="G1784" s="5" t="s">
        <v>10</v>
      </c>
      <c r="H1784" s="5">
        <v>39900</v>
      </c>
      <c r="I1784" s="5">
        <v>1</v>
      </c>
      <c r="J1784" s="9">
        <v>39900</v>
      </c>
    </row>
    <row r="1785" spans="1:10" x14ac:dyDescent="0.3">
      <c r="A1785" s="3" t="s">
        <v>1850</v>
      </c>
      <c r="B1785" s="4">
        <v>43685</v>
      </c>
      <c r="C1785" s="5">
        <v>14</v>
      </c>
      <c r="D1785" s="5" t="s">
        <v>32</v>
      </c>
      <c r="E1785" s="5" t="s">
        <v>39</v>
      </c>
      <c r="F1785" s="5" t="s">
        <v>16</v>
      </c>
      <c r="G1785" s="5" t="s">
        <v>14</v>
      </c>
      <c r="H1785" s="5">
        <v>15900</v>
      </c>
      <c r="I1785" s="5">
        <v>1</v>
      </c>
      <c r="J1785" s="9">
        <v>15900</v>
      </c>
    </row>
    <row r="1786" spans="1:10" x14ac:dyDescent="0.3">
      <c r="A1786" s="3" t="s">
        <v>1851</v>
      </c>
      <c r="B1786" s="4">
        <v>43685</v>
      </c>
      <c r="C1786" s="5">
        <v>9</v>
      </c>
      <c r="D1786" s="5" t="s">
        <v>27</v>
      </c>
      <c r="E1786" s="5" t="s">
        <v>44</v>
      </c>
      <c r="F1786" s="5" t="s">
        <v>15</v>
      </c>
      <c r="G1786" s="5" t="s">
        <v>12</v>
      </c>
      <c r="H1786" s="5">
        <v>6900</v>
      </c>
      <c r="I1786" s="5">
        <v>0</v>
      </c>
      <c r="J1786" s="9">
        <v>0</v>
      </c>
    </row>
    <row r="1787" spans="1:10" x14ac:dyDescent="0.3">
      <c r="A1787" s="3" t="s">
        <v>1852</v>
      </c>
      <c r="B1787" s="4">
        <v>43685</v>
      </c>
      <c r="C1787" s="5">
        <v>15</v>
      </c>
      <c r="D1787" s="5" t="s">
        <v>33</v>
      </c>
      <c r="E1787" s="5" t="s">
        <v>39</v>
      </c>
      <c r="F1787" s="5" t="s">
        <v>16</v>
      </c>
      <c r="G1787" s="5" t="s">
        <v>10</v>
      </c>
      <c r="H1787" s="5">
        <v>39900</v>
      </c>
      <c r="I1787" s="5">
        <v>2</v>
      </c>
      <c r="J1787" s="9">
        <v>79800</v>
      </c>
    </row>
    <row r="1788" spans="1:10" x14ac:dyDescent="0.3">
      <c r="A1788" s="3" t="s">
        <v>1853</v>
      </c>
      <c r="B1788" s="4">
        <v>43686</v>
      </c>
      <c r="C1788" s="5">
        <v>15</v>
      </c>
      <c r="D1788" s="5" t="s">
        <v>33</v>
      </c>
      <c r="E1788" s="5" t="s">
        <v>45</v>
      </c>
      <c r="F1788" s="5" t="s">
        <v>16</v>
      </c>
      <c r="G1788" s="5" t="s">
        <v>13</v>
      </c>
      <c r="H1788" s="5">
        <v>28900</v>
      </c>
      <c r="I1788" s="5">
        <v>8</v>
      </c>
      <c r="J1788" s="9">
        <v>231200</v>
      </c>
    </row>
    <row r="1789" spans="1:10" x14ac:dyDescent="0.3">
      <c r="A1789" s="3" t="s">
        <v>1854</v>
      </c>
      <c r="B1789" s="4">
        <v>43686</v>
      </c>
      <c r="C1789" s="5">
        <v>11</v>
      </c>
      <c r="D1789" s="5" t="s">
        <v>29</v>
      </c>
      <c r="E1789" s="5" t="s">
        <v>45</v>
      </c>
      <c r="F1789" s="5" t="s">
        <v>16</v>
      </c>
      <c r="G1789" s="5" t="s">
        <v>10</v>
      </c>
      <c r="H1789" s="5">
        <v>39900</v>
      </c>
      <c r="I1789" s="5">
        <v>5</v>
      </c>
      <c r="J1789" s="9">
        <v>199500</v>
      </c>
    </row>
    <row r="1790" spans="1:10" x14ac:dyDescent="0.3">
      <c r="A1790" s="3" t="s">
        <v>1855</v>
      </c>
      <c r="B1790" s="4">
        <v>43687</v>
      </c>
      <c r="C1790" s="5">
        <v>4</v>
      </c>
      <c r="D1790" s="5" t="s">
        <v>22</v>
      </c>
      <c r="E1790" s="5" t="s">
        <v>46</v>
      </c>
      <c r="F1790" s="5" t="s">
        <v>18</v>
      </c>
      <c r="G1790" s="5" t="s">
        <v>11</v>
      </c>
      <c r="H1790" s="5">
        <v>19900</v>
      </c>
      <c r="I1790" s="5">
        <v>9</v>
      </c>
      <c r="J1790" s="9">
        <v>179100</v>
      </c>
    </row>
    <row r="1791" spans="1:10" x14ac:dyDescent="0.3">
      <c r="A1791" s="3" t="s">
        <v>1856</v>
      </c>
      <c r="B1791" s="4">
        <v>43687</v>
      </c>
      <c r="C1791" s="5">
        <v>14</v>
      </c>
      <c r="D1791" s="5" t="s">
        <v>32</v>
      </c>
      <c r="E1791" s="5" t="s">
        <v>45</v>
      </c>
      <c r="F1791" s="5" t="s">
        <v>16</v>
      </c>
      <c r="G1791" s="5" t="s">
        <v>14</v>
      </c>
      <c r="H1791" s="5">
        <v>15900</v>
      </c>
      <c r="I1791" s="5">
        <v>8</v>
      </c>
      <c r="J1791" s="9">
        <v>127200</v>
      </c>
    </row>
    <row r="1792" spans="1:10" x14ac:dyDescent="0.3">
      <c r="A1792" s="3" t="s">
        <v>1857</v>
      </c>
      <c r="B1792" s="4">
        <v>43688</v>
      </c>
      <c r="C1792" s="5">
        <v>17</v>
      </c>
      <c r="D1792" s="5" t="s">
        <v>35</v>
      </c>
      <c r="E1792" s="5" t="s">
        <v>42</v>
      </c>
      <c r="F1792" s="5" t="s">
        <v>17</v>
      </c>
      <c r="G1792" s="5" t="s">
        <v>10</v>
      </c>
      <c r="H1792" s="5">
        <v>39900</v>
      </c>
      <c r="I1792" s="5">
        <v>8</v>
      </c>
      <c r="J1792" s="9">
        <v>319200</v>
      </c>
    </row>
    <row r="1793" spans="1:10" x14ac:dyDescent="0.3">
      <c r="A1793" s="3" t="s">
        <v>1858</v>
      </c>
      <c r="B1793" s="4">
        <v>43688</v>
      </c>
      <c r="C1793" s="5">
        <v>3</v>
      </c>
      <c r="D1793" s="5" t="s">
        <v>21</v>
      </c>
      <c r="E1793" s="5" t="s">
        <v>40</v>
      </c>
      <c r="F1793" s="5" t="s">
        <v>18</v>
      </c>
      <c r="G1793" s="5" t="s">
        <v>10</v>
      </c>
      <c r="H1793" s="5">
        <v>39900</v>
      </c>
      <c r="I1793" s="5">
        <v>2</v>
      </c>
      <c r="J1793" s="9">
        <v>79800</v>
      </c>
    </row>
    <row r="1794" spans="1:10" x14ac:dyDescent="0.3">
      <c r="A1794" s="3" t="s">
        <v>1859</v>
      </c>
      <c r="B1794" s="4">
        <v>43688</v>
      </c>
      <c r="C1794" s="5">
        <v>17</v>
      </c>
      <c r="D1794" s="5" t="s">
        <v>35</v>
      </c>
      <c r="E1794" s="5" t="s">
        <v>43</v>
      </c>
      <c r="F1794" s="5" t="s">
        <v>17</v>
      </c>
      <c r="G1794" s="5" t="s">
        <v>12</v>
      </c>
      <c r="H1794" s="5">
        <v>6900</v>
      </c>
      <c r="I1794" s="5">
        <v>0</v>
      </c>
      <c r="J1794" s="9">
        <v>0</v>
      </c>
    </row>
    <row r="1795" spans="1:10" x14ac:dyDescent="0.3">
      <c r="A1795" s="3" t="s">
        <v>1860</v>
      </c>
      <c r="B1795" s="4">
        <v>43688</v>
      </c>
      <c r="C1795" s="5">
        <v>2</v>
      </c>
      <c r="D1795" s="5" t="s">
        <v>20</v>
      </c>
      <c r="E1795" s="5" t="s">
        <v>46</v>
      </c>
      <c r="F1795" s="5" t="s">
        <v>18</v>
      </c>
      <c r="G1795" s="5" t="s">
        <v>12</v>
      </c>
      <c r="H1795" s="5">
        <v>6900</v>
      </c>
      <c r="I1795" s="5">
        <v>9</v>
      </c>
      <c r="J1795" s="9">
        <v>62100</v>
      </c>
    </row>
    <row r="1796" spans="1:10" x14ac:dyDescent="0.3">
      <c r="A1796" s="3" t="s">
        <v>1861</v>
      </c>
      <c r="B1796" s="4">
        <v>43688</v>
      </c>
      <c r="C1796" s="5">
        <v>7</v>
      </c>
      <c r="D1796" s="5" t="s">
        <v>25</v>
      </c>
      <c r="E1796" s="5" t="s">
        <v>44</v>
      </c>
      <c r="F1796" s="5" t="s">
        <v>15</v>
      </c>
      <c r="G1796" s="5" t="s">
        <v>12</v>
      </c>
      <c r="H1796" s="5">
        <v>6900</v>
      </c>
      <c r="I1796" s="5">
        <v>5</v>
      </c>
      <c r="J1796" s="9">
        <v>34500</v>
      </c>
    </row>
    <row r="1797" spans="1:10" x14ac:dyDescent="0.3">
      <c r="A1797" s="3" t="s">
        <v>1862</v>
      </c>
      <c r="B1797" s="4">
        <v>43689</v>
      </c>
      <c r="C1797" s="5">
        <v>2</v>
      </c>
      <c r="D1797" s="5" t="s">
        <v>20</v>
      </c>
      <c r="E1797" s="5" t="s">
        <v>46</v>
      </c>
      <c r="F1797" s="5" t="s">
        <v>18</v>
      </c>
      <c r="G1797" s="5" t="s">
        <v>13</v>
      </c>
      <c r="H1797" s="5">
        <v>28900</v>
      </c>
      <c r="I1797" s="5">
        <v>5</v>
      </c>
      <c r="J1797" s="9">
        <v>144500</v>
      </c>
    </row>
    <row r="1798" spans="1:10" x14ac:dyDescent="0.3">
      <c r="A1798" s="3" t="s">
        <v>1863</v>
      </c>
      <c r="B1798" s="4">
        <v>43689</v>
      </c>
      <c r="C1798" s="5">
        <v>10</v>
      </c>
      <c r="D1798" s="5" t="s">
        <v>28</v>
      </c>
      <c r="E1798" s="5" t="s">
        <v>41</v>
      </c>
      <c r="F1798" s="5" t="s">
        <v>15</v>
      </c>
      <c r="G1798" s="5" t="s">
        <v>11</v>
      </c>
      <c r="H1798" s="5">
        <v>19900</v>
      </c>
      <c r="I1798" s="5">
        <v>2</v>
      </c>
      <c r="J1798" s="9">
        <v>39800</v>
      </c>
    </row>
    <row r="1799" spans="1:10" x14ac:dyDescent="0.3">
      <c r="A1799" s="3" t="s">
        <v>1864</v>
      </c>
      <c r="B1799" s="4">
        <v>43689</v>
      </c>
      <c r="C1799" s="5">
        <v>13</v>
      </c>
      <c r="D1799" s="5" t="s">
        <v>31</v>
      </c>
      <c r="E1799" s="5" t="s">
        <v>45</v>
      </c>
      <c r="F1799" s="5" t="s">
        <v>16</v>
      </c>
      <c r="G1799" s="5" t="s">
        <v>13</v>
      </c>
      <c r="H1799" s="5">
        <v>28900</v>
      </c>
      <c r="I1799" s="5">
        <v>4</v>
      </c>
      <c r="J1799" s="9">
        <v>115600</v>
      </c>
    </row>
    <row r="1800" spans="1:10" x14ac:dyDescent="0.3">
      <c r="A1800" s="3" t="s">
        <v>1865</v>
      </c>
      <c r="B1800" s="4">
        <v>43689</v>
      </c>
      <c r="C1800" s="5">
        <v>15</v>
      </c>
      <c r="D1800" s="5" t="s">
        <v>33</v>
      </c>
      <c r="E1800" s="5" t="s">
        <v>39</v>
      </c>
      <c r="F1800" s="5" t="s">
        <v>16</v>
      </c>
      <c r="G1800" s="5" t="s">
        <v>10</v>
      </c>
      <c r="H1800" s="5">
        <v>39900</v>
      </c>
      <c r="I1800" s="5">
        <v>4</v>
      </c>
      <c r="J1800" s="9">
        <v>159600</v>
      </c>
    </row>
    <row r="1801" spans="1:10" x14ac:dyDescent="0.3">
      <c r="A1801" s="3" t="s">
        <v>1866</v>
      </c>
      <c r="B1801" s="4">
        <v>43689</v>
      </c>
      <c r="C1801" s="5">
        <v>9</v>
      </c>
      <c r="D1801" s="5" t="s">
        <v>27</v>
      </c>
      <c r="E1801" s="5" t="s">
        <v>41</v>
      </c>
      <c r="F1801" s="5" t="s">
        <v>15</v>
      </c>
      <c r="G1801" s="5" t="s">
        <v>11</v>
      </c>
      <c r="H1801" s="5">
        <v>19900</v>
      </c>
      <c r="I1801" s="5">
        <v>8</v>
      </c>
      <c r="J1801" s="9">
        <v>159200</v>
      </c>
    </row>
    <row r="1802" spans="1:10" x14ac:dyDescent="0.3">
      <c r="A1802" s="3" t="s">
        <v>1867</v>
      </c>
      <c r="B1802" s="4">
        <v>43689</v>
      </c>
      <c r="C1802" s="5">
        <v>17</v>
      </c>
      <c r="D1802" s="5" t="s">
        <v>35</v>
      </c>
      <c r="E1802" s="5" t="s">
        <v>43</v>
      </c>
      <c r="F1802" s="5" t="s">
        <v>17</v>
      </c>
      <c r="G1802" s="5" t="s">
        <v>10</v>
      </c>
      <c r="H1802" s="5">
        <v>39900</v>
      </c>
      <c r="I1802" s="5">
        <v>1</v>
      </c>
      <c r="J1802" s="9">
        <v>39900</v>
      </c>
    </row>
    <row r="1803" spans="1:10" x14ac:dyDescent="0.3">
      <c r="A1803" s="3" t="s">
        <v>1868</v>
      </c>
      <c r="B1803" s="4">
        <v>43689</v>
      </c>
      <c r="C1803" s="5">
        <v>6</v>
      </c>
      <c r="D1803" s="5" t="s">
        <v>24</v>
      </c>
      <c r="E1803" s="5" t="s">
        <v>44</v>
      </c>
      <c r="F1803" s="5" t="s">
        <v>15</v>
      </c>
      <c r="G1803" s="5" t="s">
        <v>11</v>
      </c>
      <c r="H1803" s="5">
        <v>19900</v>
      </c>
      <c r="I1803" s="5">
        <v>6</v>
      </c>
      <c r="J1803" s="9">
        <v>119400</v>
      </c>
    </row>
    <row r="1804" spans="1:10" x14ac:dyDescent="0.3">
      <c r="A1804" s="3" t="s">
        <v>1869</v>
      </c>
      <c r="B1804" s="4">
        <v>43689</v>
      </c>
      <c r="C1804" s="5">
        <v>18</v>
      </c>
      <c r="D1804" s="5" t="s">
        <v>36</v>
      </c>
      <c r="E1804" s="5" t="s">
        <v>42</v>
      </c>
      <c r="F1804" s="5" t="s">
        <v>17</v>
      </c>
      <c r="G1804" s="5" t="s">
        <v>10</v>
      </c>
      <c r="H1804" s="5">
        <v>39900</v>
      </c>
      <c r="I1804" s="5">
        <v>5</v>
      </c>
      <c r="J1804" s="9">
        <v>199500</v>
      </c>
    </row>
    <row r="1805" spans="1:10" x14ac:dyDescent="0.3">
      <c r="A1805" s="3" t="s">
        <v>1870</v>
      </c>
      <c r="B1805" s="4">
        <v>43689</v>
      </c>
      <c r="C1805" s="5">
        <v>8</v>
      </c>
      <c r="D1805" s="5" t="s">
        <v>26</v>
      </c>
      <c r="E1805" s="5" t="s">
        <v>44</v>
      </c>
      <c r="F1805" s="5" t="s">
        <v>15</v>
      </c>
      <c r="G1805" s="5" t="s">
        <v>11</v>
      </c>
      <c r="H1805" s="5">
        <v>19900</v>
      </c>
      <c r="I1805" s="5">
        <v>6</v>
      </c>
      <c r="J1805" s="9">
        <v>119400</v>
      </c>
    </row>
    <row r="1806" spans="1:10" x14ac:dyDescent="0.3">
      <c r="A1806" s="3" t="s">
        <v>1871</v>
      </c>
      <c r="B1806" s="4">
        <v>43689</v>
      </c>
      <c r="C1806" s="5">
        <v>13</v>
      </c>
      <c r="D1806" s="5" t="s">
        <v>31</v>
      </c>
      <c r="E1806" s="5" t="s">
        <v>45</v>
      </c>
      <c r="F1806" s="5" t="s">
        <v>16</v>
      </c>
      <c r="G1806" s="5" t="s">
        <v>14</v>
      </c>
      <c r="H1806" s="5">
        <v>15900</v>
      </c>
      <c r="I1806" s="5">
        <v>3</v>
      </c>
      <c r="J1806" s="9">
        <v>47700</v>
      </c>
    </row>
    <row r="1807" spans="1:10" x14ac:dyDescent="0.3">
      <c r="A1807" s="3" t="s">
        <v>1872</v>
      </c>
      <c r="B1807" s="4">
        <v>43689</v>
      </c>
      <c r="C1807" s="5">
        <v>17</v>
      </c>
      <c r="D1807" s="5" t="s">
        <v>35</v>
      </c>
      <c r="E1807" s="5" t="s">
        <v>43</v>
      </c>
      <c r="F1807" s="5" t="s">
        <v>17</v>
      </c>
      <c r="G1807" s="5" t="s">
        <v>12</v>
      </c>
      <c r="H1807" s="5">
        <v>6900</v>
      </c>
      <c r="I1807" s="5">
        <v>7</v>
      </c>
      <c r="J1807" s="9">
        <v>48300</v>
      </c>
    </row>
    <row r="1808" spans="1:10" x14ac:dyDescent="0.3">
      <c r="A1808" s="3" t="s">
        <v>1873</v>
      </c>
      <c r="B1808" s="4">
        <v>43689</v>
      </c>
      <c r="C1808" s="5">
        <v>4</v>
      </c>
      <c r="D1808" s="5" t="s">
        <v>22</v>
      </c>
      <c r="E1808" s="5" t="s">
        <v>46</v>
      </c>
      <c r="F1808" s="5" t="s">
        <v>18</v>
      </c>
      <c r="G1808" s="5" t="s">
        <v>12</v>
      </c>
      <c r="H1808" s="5">
        <v>6900</v>
      </c>
      <c r="I1808" s="5">
        <v>3</v>
      </c>
      <c r="J1808" s="9">
        <v>20700</v>
      </c>
    </row>
    <row r="1809" spans="1:10" x14ac:dyDescent="0.3">
      <c r="A1809" s="3" t="s">
        <v>1874</v>
      </c>
      <c r="B1809" s="4">
        <v>43690</v>
      </c>
      <c r="C1809" s="5">
        <v>9</v>
      </c>
      <c r="D1809" s="5" t="s">
        <v>27</v>
      </c>
      <c r="E1809" s="5" t="s">
        <v>44</v>
      </c>
      <c r="F1809" s="5" t="s">
        <v>15</v>
      </c>
      <c r="G1809" s="5" t="s">
        <v>11</v>
      </c>
      <c r="H1809" s="5">
        <v>19900</v>
      </c>
      <c r="I1809" s="5">
        <v>3</v>
      </c>
      <c r="J1809" s="9">
        <v>59700</v>
      </c>
    </row>
    <row r="1810" spans="1:10" x14ac:dyDescent="0.3">
      <c r="A1810" s="3" t="s">
        <v>1875</v>
      </c>
      <c r="B1810" s="4">
        <v>43691</v>
      </c>
      <c r="C1810" s="5">
        <v>8</v>
      </c>
      <c r="D1810" s="5" t="s">
        <v>26</v>
      </c>
      <c r="E1810" s="5" t="s">
        <v>41</v>
      </c>
      <c r="F1810" s="5" t="s">
        <v>15</v>
      </c>
      <c r="G1810" s="5" t="s">
        <v>12</v>
      </c>
      <c r="H1810" s="5">
        <v>6900</v>
      </c>
      <c r="I1810" s="5">
        <v>5</v>
      </c>
      <c r="J1810" s="9">
        <v>34500</v>
      </c>
    </row>
    <row r="1811" spans="1:10" x14ac:dyDescent="0.3">
      <c r="A1811" s="3" t="s">
        <v>1876</v>
      </c>
      <c r="B1811" s="4">
        <v>43691</v>
      </c>
      <c r="C1811" s="5">
        <v>3</v>
      </c>
      <c r="D1811" s="5" t="s">
        <v>21</v>
      </c>
      <c r="E1811" s="5" t="s">
        <v>46</v>
      </c>
      <c r="F1811" s="5" t="s">
        <v>18</v>
      </c>
      <c r="G1811" s="5" t="s">
        <v>13</v>
      </c>
      <c r="H1811" s="5">
        <v>28900</v>
      </c>
      <c r="I1811" s="5">
        <v>3</v>
      </c>
      <c r="J1811" s="9">
        <v>86700</v>
      </c>
    </row>
    <row r="1812" spans="1:10" x14ac:dyDescent="0.3">
      <c r="A1812" s="3" t="s">
        <v>1877</v>
      </c>
      <c r="B1812" s="4">
        <v>43692</v>
      </c>
      <c r="C1812" s="5">
        <v>15</v>
      </c>
      <c r="D1812" s="5" t="s">
        <v>33</v>
      </c>
      <c r="E1812" s="5" t="s">
        <v>45</v>
      </c>
      <c r="F1812" s="5" t="s">
        <v>16</v>
      </c>
      <c r="G1812" s="5" t="s">
        <v>12</v>
      </c>
      <c r="H1812" s="5">
        <v>6900</v>
      </c>
      <c r="I1812" s="5">
        <v>4</v>
      </c>
      <c r="J1812" s="9">
        <v>27600</v>
      </c>
    </row>
    <row r="1813" spans="1:10" x14ac:dyDescent="0.3">
      <c r="A1813" s="3" t="s">
        <v>1878</v>
      </c>
      <c r="B1813" s="4">
        <v>43692</v>
      </c>
      <c r="C1813" s="5">
        <v>11</v>
      </c>
      <c r="D1813" s="5" t="s">
        <v>29</v>
      </c>
      <c r="E1813" s="5" t="s">
        <v>45</v>
      </c>
      <c r="F1813" s="5" t="s">
        <v>16</v>
      </c>
      <c r="G1813" s="5" t="s">
        <v>12</v>
      </c>
      <c r="H1813" s="5">
        <v>6900</v>
      </c>
      <c r="I1813" s="5">
        <v>8</v>
      </c>
      <c r="J1813" s="9">
        <v>55200</v>
      </c>
    </row>
    <row r="1814" spans="1:10" x14ac:dyDescent="0.3">
      <c r="A1814" s="3" t="s">
        <v>1879</v>
      </c>
      <c r="B1814" s="4">
        <v>43692</v>
      </c>
      <c r="C1814" s="5">
        <v>6</v>
      </c>
      <c r="D1814" s="5" t="s">
        <v>24</v>
      </c>
      <c r="E1814" s="5" t="s">
        <v>41</v>
      </c>
      <c r="F1814" s="5" t="s">
        <v>15</v>
      </c>
      <c r="G1814" s="5" t="s">
        <v>14</v>
      </c>
      <c r="H1814" s="5">
        <v>15900</v>
      </c>
      <c r="I1814" s="5">
        <v>6</v>
      </c>
      <c r="J1814" s="9">
        <v>95400</v>
      </c>
    </row>
    <row r="1815" spans="1:10" x14ac:dyDescent="0.3">
      <c r="A1815" s="3" t="s">
        <v>1880</v>
      </c>
      <c r="B1815" s="4">
        <v>43692</v>
      </c>
      <c r="C1815" s="5">
        <v>9</v>
      </c>
      <c r="D1815" s="5" t="s">
        <v>27</v>
      </c>
      <c r="E1815" s="5" t="s">
        <v>41</v>
      </c>
      <c r="F1815" s="5" t="s">
        <v>15</v>
      </c>
      <c r="G1815" s="5" t="s">
        <v>14</v>
      </c>
      <c r="H1815" s="5">
        <v>15900</v>
      </c>
      <c r="I1815" s="5">
        <v>6</v>
      </c>
      <c r="J1815" s="9">
        <v>95400</v>
      </c>
    </row>
    <row r="1816" spans="1:10" x14ac:dyDescent="0.3">
      <c r="A1816" s="3" t="s">
        <v>1881</v>
      </c>
      <c r="B1816" s="4">
        <v>43693</v>
      </c>
      <c r="C1816" s="5">
        <v>5</v>
      </c>
      <c r="D1816" s="5" t="s">
        <v>23</v>
      </c>
      <c r="E1816" s="5" t="s">
        <v>46</v>
      </c>
      <c r="F1816" s="5" t="s">
        <v>18</v>
      </c>
      <c r="G1816" s="5" t="s">
        <v>11</v>
      </c>
      <c r="H1816" s="5">
        <v>19900</v>
      </c>
      <c r="I1816" s="5">
        <v>2</v>
      </c>
      <c r="J1816" s="9">
        <v>39800</v>
      </c>
    </row>
    <row r="1817" spans="1:10" x14ac:dyDescent="0.3">
      <c r="A1817" s="3" t="s">
        <v>1882</v>
      </c>
      <c r="B1817" s="4">
        <v>43694</v>
      </c>
      <c r="C1817" s="5">
        <v>10</v>
      </c>
      <c r="D1817" s="5" t="s">
        <v>28</v>
      </c>
      <c r="E1817" s="5" t="s">
        <v>41</v>
      </c>
      <c r="F1817" s="5" t="s">
        <v>15</v>
      </c>
      <c r="G1817" s="5" t="s">
        <v>14</v>
      </c>
      <c r="H1817" s="5">
        <v>15900</v>
      </c>
      <c r="I1817" s="5">
        <v>9</v>
      </c>
      <c r="J1817" s="9">
        <v>143100</v>
      </c>
    </row>
    <row r="1818" spans="1:10" x14ac:dyDescent="0.3">
      <c r="A1818" s="3" t="s">
        <v>1883</v>
      </c>
      <c r="B1818" s="4">
        <v>43694</v>
      </c>
      <c r="C1818" s="5">
        <v>8</v>
      </c>
      <c r="D1818" s="5" t="s">
        <v>26</v>
      </c>
      <c r="E1818" s="5" t="s">
        <v>44</v>
      </c>
      <c r="F1818" s="5" t="s">
        <v>15</v>
      </c>
      <c r="G1818" s="5" t="s">
        <v>12</v>
      </c>
      <c r="H1818" s="5">
        <v>6900</v>
      </c>
      <c r="I1818" s="5">
        <v>8</v>
      </c>
      <c r="J1818" s="9">
        <v>55200</v>
      </c>
    </row>
    <row r="1819" spans="1:10" x14ac:dyDescent="0.3">
      <c r="A1819" s="3" t="s">
        <v>1884</v>
      </c>
      <c r="B1819" s="4">
        <v>43694</v>
      </c>
      <c r="C1819" s="5">
        <v>5</v>
      </c>
      <c r="D1819" s="5" t="s">
        <v>23</v>
      </c>
      <c r="E1819" s="5" t="s">
        <v>40</v>
      </c>
      <c r="F1819" s="5" t="s">
        <v>18</v>
      </c>
      <c r="G1819" s="5" t="s">
        <v>11</v>
      </c>
      <c r="H1819" s="5">
        <v>19900</v>
      </c>
      <c r="I1819" s="5">
        <v>4</v>
      </c>
      <c r="J1819" s="9">
        <v>79600</v>
      </c>
    </row>
    <row r="1820" spans="1:10" x14ac:dyDescent="0.3">
      <c r="A1820" s="3" t="s">
        <v>1885</v>
      </c>
      <c r="B1820" s="4">
        <v>43694</v>
      </c>
      <c r="C1820" s="5">
        <v>9</v>
      </c>
      <c r="D1820" s="5" t="s">
        <v>27</v>
      </c>
      <c r="E1820" s="5" t="s">
        <v>41</v>
      </c>
      <c r="F1820" s="5" t="s">
        <v>15</v>
      </c>
      <c r="G1820" s="5" t="s">
        <v>11</v>
      </c>
      <c r="H1820" s="5">
        <v>19900</v>
      </c>
      <c r="I1820" s="5">
        <v>9</v>
      </c>
      <c r="J1820" s="9">
        <v>179100</v>
      </c>
    </row>
    <row r="1821" spans="1:10" x14ac:dyDescent="0.3">
      <c r="A1821" s="3" t="s">
        <v>1886</v>
      </c>
      <c r="B1821" s="4">
        <v>43694</v>
      </c>
      <c r="C1821" s="5">
        <v>2</v>
      </c>
      <c r="D1821" s="5" t="s">
        <v>20</v>
      </c>
      <c r="E1821" s="5" t="s">
        <v>40</v>
      </c>
      <c r="F1821" s="5" t="s">
        <v>18</v>
      </c>
      <c r="G1821" s="5" t="s">
        <v>12</v>
      </c>
      <c r="H1821" s="5">
        <v>6900</v>
      </c>
      <c r="I1821" s="5">
        <v>9</v>
      </c>
      <c r="J1821" s="9">
        <v>62100</v>
      </c>
    </row>
    <row r="1822" spans="1:10" x14ac:dyDescent="0.3">
      <c r="A1822" s="3" t="s">
        <v>1887</v>
      </c>
      <c r="B1822" s="4">
        <v>43694</v>
      </c>
      <c r="C1822" s="5">
        <v>7</v>
      </c>
      <c r="D1822" s="5" t="s">
        <v>25</v>
      </c>
      <c r="E1822" s="5" t="s">
        <v>44</v>
      </c>
      <c r="F1822" s="5" t="s">
        <v>15</v>
      </c>
      <c r="G1822" s="5" t="s">
        <v>11</v>
      </c>
      <c r="H1822" s="5">
        <v>19900</v>
      </c>
      <c r="I1822" s="5">
        <v>6</v>
      </c>
      <c r="J1822" s="9">
        <v>119400</v>
      </c>
    </row>
    <row r="1823" spans="1:10" x14ac:dyDescent="0.3">
      <c r="A1823" s="3" t="s">
        <v>1888</v>
      </c>
      <c r="B1823" s="4">
        <v>43695</v>
      </c>
      <c r="C1823" s="5">
        <v>17</v>
      </c>
      <c r="D1823" s="5" t="s">
        <v>35</v>
      </c>
      <c r="E1823" s="5" t="s">
        <v>42</v>
      </c>
      <c r="F1823" s="5" t="s">
        <v>17</v>
      </c>
      <c r="G1823" s="5" t="s">
        <v>13</v>
      </c>
      <c r="H1823" s="5">
        <v>28900</v>
      </c>
      <c r="I1823" s="5">
        <v>7</v>
      </c>
      <c r="J1823" s="9">
        <v>202300</v>
      </c>
    </row>
    <row r="1824" spans="1:10" x14ac:dyDescent="0.3">
      <c r="A1824" s="3" t="s">
        <v>1889</v>
      </c>
      <c r="B1824" s="4">
        <v>43695</v>
      </c>
      <c r="C1824" s="5">
        <v>9</v>
      </c>
      <c r="D1824" s="5" t="s">
        <v>27</v>
      </c>
      <c r="E1824" s="5" t="s">
        <v>41</v>
      </c>
      <c r="F1824" s="5" t="s">
        <v>15</v>
      </c>
      <c r="G1824" s="5" t="s">
        <v>11</v>
      </c>
      <c r="H1824" s="5">
        <v>19900</v>
      </c>
      <c r="I1824" s="5">
        <v>3</v>
      </c>
      <c r="J1824" s="9">
        <v>59700</v>
      </c>
    </row>
    <row r="1825" spans="1:10" x14ac:dyDescent="0.3">
      <c r="A1825" s="3" t="s">
        <v>1890</v>
      </c>
      <c r="B1825" s="4">
        <v>43695</v>
      </c>
      <c r="C1825" s="5">
        <v>15</v>
      </c>
      <c r="D1825" s="5" t="s">
        <v>33</v>
      </c>
      <c r="E1825" s="5" t="s">
        <v>39</v>
      </c>
      <c r="F1825" s="5" t="s">
        <v>16</v>
      </c>
      <c r="G1825" s="5" t="s">
        <v>14</v>
      </c>
      <c r="H1825" s="5">
        <v>15900</v>
      </c>
      <c r="I1825" s="5">
        <v>3</v>
      </c>
      <c r="J1825" s="9">
        <v>47700</v>
      </c>
    </row>
    <row r="1826" spans="1:10" x14ac:dyDescent="0.3">
      <c r="A1826" s="3" t="s">
        <v>1891</v>
      </c>
      <c r="B1826" s="4">
        <v>43696</v>
      </c>
      <c r="C1826" s="5">
        <v>11</v>
      </c>
      <c r="D1826" s="5" t="s">
        <v>29</v>
      </c>
      <c r="E1826" s="5" t="s">
        <v>39</v>
      </c>
      <c r="F1826" s="5" t="s">
        <v>16</v>
      </c>
      <c r="G1826" s="5" t="s">
        <v>11</v>
      </c>
      <c r="H1826" s="5">
        <v>19900</v>
      </c>
      <c r="I1826" s="5">
        <v>5</v>
      </c>
      <c r="J1826" s="9">
        <v>99500</v>
      </c>
    </row>
    <row r="1827" spans="1:10" x14ac:dyDescent="0.3">
      <c r="A1827" s="3" t="s">
        <v>1892</v>
      </c>
      <c r="B1827" s="4">
        <v>43696</v>
      </c>
      <c r="C1827" s="5">
        <v>18</v>
      </c>
      <c r="D1827" s="5" t="s">
        <v>36</v>
      </c>
      <c r="E1827" s="5" t="s">
        <v>43</v>
      </c>
      <c r="F1827" s="5" t="s">
        <v>17</v>
      </c>
      <c r="G1827" s="5" t="s">
        <v>13</v>
      </c>
      <c r="H1827" s="5">
        <v>28900</v>
      </c>
      <c r="I1827" s="5">
        <v>4</v>
      </c>
      <c r="J1827" s="9">
        <v>115600</v>
      </c>
    </row>
    <row r="1828" spans="1:10" x14ac:dyDescent="0.3">
      <c r="A1828" s="3" t="s">
        <v>1893</v>
      </c>
      <c r="B1828" s="4">
        <v>43696</v>
      </c>
      <c r="C1828" s="5">
        <v>2</v>
      </c>
      <c r="D1828" s="5" t="s">
        <v>20</v>
      </c>
      <c r="E1828" s="5" t="s">
        <v>40</v>
      </c>
      <c r="F1828" s="5" t="s">
        <v>18</v>
      </c>
      <c r="G1828" s="5" t="s">
        <v>13</v>
      </c>
      <c r="H1828" s="5">
        <v>28900</v>
      </c>
      <c r="I1828" s="5">
        <v>2</v>
      </c>
      <c r="J1828" s="9">
        <v>57800</v>
      </c>
    </row>
    <row r="1829" spans="1:10" x14ac:dyDescent="0.3">
      <c r="A1829" s="3" t="s">
        <v>1894</v>
      </c>
      <c r="B1829" s="4">
        <v>43696</v>
      </c>
      <c r="C1829" s="5">
        <v>18</v>
      </c>
      <c r="D1829" s="5" t="s">
        <v>36</v>
      </c>
      <c r="E1829" s="5" t="s">
        <v>43</v>
      </c>
      <c r="F1829" s="5" t="s">
        <v>17</v>
      </c>
      <c r="G1829" s="5" t="s">
        <v>12</v>
      </c>
      <c r="H1829" s="5">
        <v>6900</v>
      </c>
      <c r="I1829" s="5">
        <v>6</v>
      </c>
      <c r="J1829" s="9">
        <v>41400</v>
      </c>
    </row>
    <row r="1830" spans="1:10" x14ac:dyDescent="0.3">
      <c r="A1830" s="3" t="s">
        <v>1895</v>
      </c>
      <c r="B1830" s="4">
        <v>43696</v>
      </c>
      <c r="C1830" s="5">
        <v>13</v>
      </c>
      <c r="D1830" s="5" t="s">
        <v>31</v>
      </c>
      <c r="E1830" s="5" t="s">
        <v>45</v>
      </c>
      <c r="F1830" s="5" t="s">
        <v>16</v>
      </c>
      <c r="G1830" s="5" t="s">
        <v>12</v>
      </c>
      <c r="H1830" s="5">
        <v>6900</v>
      </c>
      <c r="I1830" s="5">
        <v>4</v>
      </c>
      <c r="J1830" s="9">
        <v>27600</v>
      </c>
    </row>
    <row r="1831" spans="1:10" x14ac:dyDescent="0.3">
      <c r="A1831" s="3" t="s">
        <v>1896</v>
      </c>
      <c r="B1831" s="4">
        <v>43697</v>
      </c>
      <c r="C1831" s="5">
        <v>5</v>
      </c>
      <c r="D1831" s="5" t="s">
        <v>23</v>
      </c>
      <c r="E1831" s="5" t="s">
        <v>40</v>
      </c>
      <c r="F1831" s="5" t="s">
        <v>18</v>
      </c>
      <c r="G1831" s="5" t="s">
        <v>13</v>
      </c>
      <c r="H1831" s="5">
        <v>28900</v>
      </c>
      <c r="I1831" s="5">
        <v>2</v>
      </c>
      <c r="J1831" s="9">
        <v>57800</v>
      </c>
    </row>
    <row r="1832" spans="1:10" x14ac:dyDescent="0.3">
      <c r="A1832" s="3" t="s">
        <v>1897</v>
      </c>
      <c r="B1832" s="4">
        <v>43698</v>
      </c>
      <c r="C1832" s="5">
        <v>8</v>
      </c>
      <c r="D1832" s="5" t="s">
        <v>26</v>
      </c>
      <c r="E1832" s="5" t="s">
        <v>41</v>
      </c>
      <c r="F1832" s="5" t="s">
        <v>15</v>
      </c>
      <c r="G1832" s="5" t="s">
        <v>11</v>
      </c>
      <c r="H1832" s="5">
        <v>19900</v>
      </c>
      <c r="I1832" s="5">
        <v>3</v>
      </c>
      <c r="J1832" s="9">
        <v>59700</v>
      </c>
    </row>
    <row r="1833" spans="1:10" x14ac:dyDescent="0.3">
      <c r="A1833" s="3" t="s">
        <v>1898</v>
      </c>
      <c r="B1833" s="4">
        <v>43698</v>
      </c>
      <c r="C1833" s="5">
        <v>14</v>
      </c>
      <c r="D1833" s="5" t="s">
        <v>32</v>
      </c>
      <c r="E1833" s="5" t="s">
        <v>45</v>
      </c>
      <c r="F1833" s="5" t="s">
        <v>16</v>
      </c>
      <c r="G1833" s="5" t="s">
        <v>14</v>
      </c>
      <c r="H1833" s="5">
        <v>15900</v>
      </c>
      <c r="I1833" s="5">
        <v>1</v>
      </c>
      <c r="J1833" s="9">
        <v>15900</v>
      </c>
    </row>
    <row r="1834" spans="1:10" x14ac:dyDescent="0.3">
      <c r="A1834" s="3" t="s">
        <v>1899</v>
      </c>
      <c r="B1834" s="4">
        <v>43698</v>
      </c>
      <c r="C1834" s="5">
        <v>8</v>
      </c>
      <c r="D1834" s="5" t="s">
        <v>26</v>
      </c>
      <c r="E1834" s="5" t="s">
        <v>44</v>
      </c>
      <c r="F1834" s="5" t="s">
        <v>15</v>
      </c>
      <c r="G1834" s="5" t="s">
        <v>12</v>
      </c>
      <c r="H1834" s="5">
        <v>6900</v>
      </c>
      <c r="I1834" s="5">
        <v>5</v>
      </c>
      <c r="J1834" s="9">
        <v>34500</v>
      </c>
    </row>
    <row r="1835" spans="1:10" x14ac:dyDescent="0.3">
      <c r="A1835" s="3" t="s">
        <v>1900</v>
      </c>
      <c r="B1835" s="4">
        <v>43698</v>
      </c>
      <c r="C1835" s="5">
        <v>5</v>
      </c>
      <c r="D1835" s="5" t="s">
        <v>23</v>
      </c>
      <c r="E1835" s="5" t="s">
        <v>46</v>
      </c>
      <c r="F1835" s="5" t="s">
        <v>18</v>
      </c>
      <c r="G1835" s="5" t="s">
        <v>11</v>
      </c>
      <c r="H1835" s="5">
        <v>19900</v>
      </c>
      <c r="I1835" s="5">
        <v>7</v>
      </c>
      <c r="J1835" s="9">
        <v>139300</v>
      </c>
    </row>
    <row r="1836" spans="1:10" x14ac:dyDescent="0.3">
      <c r="A1836" s="3" t="s">
        <v>1901</v>
      </c>
      <c r="B1836" s="4">
        <v>43698</v>
      </c>
      <c r="C1836" s="5">
        <v>5</v>
      </c>
      <c r="D1836" s="5" t="s">
        <v>23</v>
      </c>
      <c r="E1836" s="5" t="s">
        <v>46</v>
      </c>
      <c r="F1836" s="5" t="s">
        <v>18</v>
      </c>
      <c r="G1836" s="5" t="s">
        <v>13</v>
      </c>
      <c r="H1836" s="5">
        <v>28900</v>
      </c>
      <c r="I1836" s="5">
        <v>3</v>
      </c>
      <c r="J1836" s="9">
        <v>86700</v>
      </c>
    </row>
    <row r="1837" spans="1:10" x14ac:dyDescent="0.3">
      <c r="A1837" s="3" t="s">
        <v>1902</v>
      </c>
      <c r="B1837" s="4">
        <v>43698</v>
      </c>
      <c r="C1837" s="5">
        <v>9</v>
      </c>
      <c r="D1837" s="5" t="s">
        <v>27</v>
      </c>
      <c r="E1837" s="5" t="s">
        <v>44</v>
      </c>
      <c r="F1837" s="5" t="s">
        <v>15</v>
      </c>
      <c r="G1837" s="5" t="s">
        <v>11</v>
      </c>
      <c r="H1837" s="5">
        <v>19900</v>
      </c>
      <c r="I1837" s="5">
        <v>5</v>
      </c>
      <c r="J1837" s="9">
        <v>99500</v>
      </c>
    </row>
    <row r="1838" spans="1:10" x14ac:dyDescent="0.3">
      <c r="A1838" s="3" t="s">
        <v>1903</v>
      </c>
      <c r="B1838" s="4">
        <v>43699</v>
      </c>
      <c r="C1838" s="5">
        <v>6</v>
      </c>
      <c r="D1838" s="5" t="s">
        <v>24</v>
      </c>
      <c r="E1838" s="5" t="s">
        <v>41</v>
      </c>
      <c r="F1838" s="5" t="s">
        <v>15</v>
      </c>
      <c r="G1838" s="5" t="s">
        <v>12</v>
      </c>
      <c r="H1838" s="5">
        <v>6900</v>
      </c>
      <c r="I1838" s="5">
        <v>3</v>
      </c>
      <c r="J1838" s="9">
        <v>20700</v>
      </c>
    </row>
    <row r="1839" spans="1:10" x14ac:dyDescent="0.3">
      <c r="A1839" s="3" t="s">
        <v>1904</v>
      </c>
      <c r="B1839" s="4">
        <v>43699</v>
      </c>
      <c r="C1839" s="5">
        <v>20</v>
      </c>
      <c r="D1839" s="5" t="s">
        <v>38</v>
      </c>
      <c r="E1839" s="5" t="s">
        <v>43</v>
      </c>
      <c r="F1839" s="5" t="s">
        <v>17</v>
      </c>
      <c r="G1839" s="5" t="s">
        <v>10</v>
      </c>
      <c r="H1839" s="5">
        <v>39900</v>
      </c>
      <c r="I1839" s="5">
        <v>9</v>
      </c>
      <c r="J1839" s="9">
        <v>359100</v>
      </c>
    </row>
    <row r="1840" spans="1:10" x14ac:dyDescent="0.3">
      <c r="A1840" s="3" t="s">
        <v>1905</v>
      </c>
      <c r="B1840" s="4">
        <v>43699</v>
      </c>
      <c r="C1840" s="5">
        <v>19</v>
      </c>
      <c r="D1840" s="5" t="s">
        <v>37</v>
      </c>
      <c r="E1840" s="5" t="s">
        <v>42</v>
      </c>
      <c r="F1840" s="5" t="s">
        <v>17</v>
      </c>
      <c r="G1840" s="5" t="s">
        <v>13</v>
      </c>
      <c r="H1840" s="5">
        <v>28900</v>
      </c>
      <c r="I1840" s="5">
        <v>5</v>
      </c>
      <c r="J1840" s="9">
        <v>144500</v>
      </c>
    </row>
    <row r="1841" spans="1:10" x14ac:dyDescent="0.3">
      <c r="A1841" s="3" t="s">
        <v>1906</v>
      </c>
      <c r="B1841" s="4">
        <v>43699</v>
      </c>
      <c r="C1841" s="5">
        <v>17</v>
      </c>
      <c r="D1841" s="5" t="s">
        <v>35</v>
      </c>
      <c r="E1841" s="5" t="s">
        <v>43</v>
      </c>
      <c r="F1841" s="5" t="s">
        <v>17</v>
      </c>
      <c r="G1841" s="5" t="s">
        <v>11</v>
      </c>
      <c r="H1841" s="5">
        <v>19900</v>
      </c>
      <c r="I1841" s="5">
        <v>5</v>
      </c>
      <c r="J1841" s="9">
        <v>99500</v>
      </c>
    </row>
    <row r="1842" spans="1:10" x14ac:dyDescent="0.3">
      <c r="A1842" s="3" t="s">
        <v>1907</v>
      </c>
      <c r="B1842" s="4">
        <v>43699</v>
      </c>
      <c r="C1842" s="5">
        <v>3</v>
      </c>
      <c r="D1842" s="5" t="s">
        <v>21</v>
      </c>
      <c r="E1842" s="5" t="s">
        <v>46</v>
      </c>
      <c r="F1842" s="5" t="s">
        <v>18</v>
      </c>
      <c r="G1842" s="5" t="s">
        <v>11</v>
      </c>
      <c r="H1842" s="5">
        <v>19900</v>
      </c>
      <c r="I1842" s="5">
        <v>4</v>
      </c>
      <c r="J1842" s="9">
        <v>79600</v>
      </c>
    </row>
    <row r="1843" spans="1:10" x14ac:dyDescent="0.3">
      <c r="A1843" s="3" t="s">
        <v>1908</v>
      </c>
      <c r="B1843" s="4">
        <v>43699</v>
      </c>
      <c r="C1843" s="5">
        <v>2</v>
      </c>
      <c r="D1843" s="5" t="s">
        <v>20</v>
      </c>
      <c r="E1843" s="5" t="s">
        <v>40</v>
      </c>
      <c r="F1843" s="5" t="s">
        <v>18</v>
      </c>
      <c r="G1843" s="5" t="s">
        <v>14</v>
      </c>
      <c r="H1843" s="5">
        <v>15900</v>
      </c>
      <c r="I1843" s="5">
        <v>3</v>
      </c>
      <c r="J1843" s="9">
        <v>47700</v>
      </c>
    </row>
    <row r="1844" spans="1:10" x14ac:dyDescent="0.3">
      <c r="A1844" s="3" t="s">
        <v>1909</v>
      </c>
      <c r="B1844" s="4">
        <v>43699</v>
      </c>
      <c r="C1844" s="5">
        <v>20</v>
      </c>
      <c r="D1844" s="5" t="s">
        <v>38</v>
      </c>
      <c r="E1844" s="5" t="s">
        <v>42</v>
      </c>
      <c r="F1844" s="5" t="s">
        <v>17</v>
      </c>
      <c r="G1844" s="5" t="s">
        <v>11</v>
      </c>
      <c r="H1844" s="5">
        <v>19900</v>
      </c>
      <c r="I1844" s="5">
        <v>1</v>
      </c>
      <c r="J1844" s="9">
        <v>19900</v>
      </c>
    </row>
    <row r="1845" spans="1:10" x14ac:dyDescent="0.3">
      <c r="A1845" s="3" t="s">
        <v>1910</v>
      </c>
      <c r="B1845" s="4">
        <v>43699</v>
      </c>
      <c r="C1845" s="5">
        <v>5</v>
      </c>
      <c r="D1845" s="5" t="s">
        <v>23</v>
      </c>
      <c r="E1845" s="5" t="s">
        <v>40</v>
      </c>
      <c r="F1845" s="5" t="s">
        <v>18</v>
      </c>
      <c r="G1845" s="5" t="s">
        <v>11</v>
      </c>
      <c r="H1845" s="5">
        <v>19900</v>
      </c>
      <c r="I1845" s="5">
        <v>4</v>
      </c>
      <c r="J1845" s="9">
        <v>79600</v>
      </c>
    </row>
    <row r="1846" spans="1:10" x14ac:dyDescent="0.3">
      <c r="A1846" s="3" t="s">
        <v>1911</v>
      </c>
      <c r="B1846" s="4">
        <v>43699</v>
      </c>
      <c r="C1846" s="5">
        <v>5</v>
      </c>
      <c r="D1846" s="5" t="s">
        <v>23</v>
      </c>
      <c r="E1846" s="5" t="s">
        <v>46</v>
      </c>
      <c r="F1846" s="5" t="s">
        <v>18</v>
      </c>
      <c r="G1846" s="5" t="s">
        <v>14</v>
      </c>
      <c r="H1846" s="5">
        <v>15900</v>
      </c>
      <c r="I1846" s="5">
        <v>2</v>
      </c>
      <c r="J1846" s="9">
        <v>31800</v>
      </c>
    </row>
    <row r="1847" spans="1:10" x14ac:dyDescent="0.3">
      <c r="A1847" s="3" t="s">
        <v>1912</v>
      </c>
      <c r="B1847" s="4">
        <v>43700</v>
      </c>
      <c r="C1847" s="5">
        <v>7</v>
      </c>
      <c r="D1847" s="5" t="s">
        <v>25</v>
      </c>
      <c r="E1847" s="5" t="s">
        <v>41</v>
      </c>
      <c r="F1847" s="5" t="s">
        <v>15</v>
      </c>
      <c r="G1847" s="5" t="s">
        <v>14</v>
      </c>
      <c r="H1847" s="5">
        <v>15900</v>
      </c>
      <c r="I1847" s="5">
        <v>1</v>
      </c>
      <c r="J1847" s="9">
        <v>15900</v>
      </c>
    </row>
    <row r="1848" spans="1:10" x14ac:dyDescent="0.3">
      <c r="A1848" s="3" t="s">
        <v>1913</v>
      </c>
      <c r="B1848" s="4">
        <v>43700</v>
      </c>
      <c r="C1848" s="5">
        <v>2</v>
      </c>
      <c r="D1848" s="5" t="s">
        <v>20</v>
      </c>
      <c r="E1848" s="5" t="s">
        <v>40</v>
      </c>
      <c r="F1848" s="5" t="s">
        <v>18</v>
      </c>
      <c r="G1848" s="5" t="s">
        <v>14</v>
      </c>
      <c r="H1848" s="5">
        <v>15900</v>
      </c>
      <c r="I1848" s="5">
        <v>6</v>
      </c>
      <c r="J1848" s="9">
        <v>95400</v>
      </c>
    </row>
    <row r="1849" spans="1:10" x14ac:dyDescent="0.3">
      <c r="A1849" s="3" t="s">
        <v>1914</v>
      </c>
      <c r="B1849" s="4">
        <v>43701</v>
      </c>
      <c r="C1849" s="5">
        <v>1</v>
      </c>
      <c r="D1849" s="5" t="s">
        <v>19</v>
      </c>
      <c r="E1849" s="5" t="s">
        <v>46</v>
      </c>
      <c r="F1849" s="5" t="s">
        <v>18</v>
      </c>
      <c r="G1849" s="5" t="s">
        <v>12</v>
      </c>
      <c r="H1849" s="5">
        <v>6900</v>
      </c>
      <c r="I1849" s="5">
        <v>5</v>
      </c>
      <c r="J1849" s="9">
        <v>34500</v>
      </c>
    </row>
    <row r="1850" spans="1:10" x14ac:dyDescent="0.3">
      <c r="A1850" s="3" t="s">
        <v>1915</v>
      </c>
      <c r="B1850" s="4">
        <v>43701</v>
      </c>
      <c r="C1850" s="5">
        <v>4</v>
      </c>
      <c r="D1850" s="5" t="s">
        <v>22</v>
      </c>
      <c r="E1850" s="5" t="s">
        <v>40</v>
      </c>
      <c r="F1850" s="5" t="s">
        <v>18</v>
      </c>
      <c r="G1850" s="5" t="s">
        <v>10</v>
      </c>
      <c r="H1850" s="5">
        <v>39900</v>
      </c>
      <c r="I1850" s="5">
        <v>7</v>
      </c>
      <c r="J1850" s="9">
        <v>279300</v>
      </c>
    </row>
    <row r="1851" spans="1:10" x14ac:dyDescent="0.3">
      <c r="A1851" s="3" t="s">
        <v>1916</v>
      </c>
      <c r="B1851" s="4">
        <v>43702</v>
      </c>
      <c r="C1851" s="5">
        <v>4</v>
      </c>
      <c r="D1851" s="5" t="s">
        <v>22</v>
      </c>
      <c r="E1851" s="5" t="s">
        <v>46</v>
      </c>
      <c r="F1851" s="5" t="s">
        <v>18</v>
      </c>
      <c r="G1851" s="5" t="s">
        <v>14</v>
      </c>
      <c r="H1851" s="5">
        <v>15900</v>
      </c>
      <c r="I1851" s="5">
        <v>1</v>
      </c>
      <c r="J1851" s="9">
        <v>15900</v>
      </c>
    </row>
    <row r="1852" spans="1:10" x14ac:dyDescent="0.3">
      <c r="A1852" s="3" t="s">
        <v>1917</v>
      </c>
      <c r="B1852" s="4">
        <v>43703</v>
      </c>
      <c r="C1852" s="5">
        <v>14</v>
      </c>
      <c r="D1852" s="5" t="s">
        <v>32</v>
      </c>
      <c r="E1852" s="5" t="s">
        <v>45</v>
      </c>
      <c r="F1852" s="5" t="s">
        <v>16</v>
      </c>
      <c r="G1852" s="5" t="s">
        <v>12</v>
      </c>
      <c r="H1852" s="5">
        <v>6900</v>
      </c>
      <c r="I1852" s="5">
        <v>2</v>
      </c>
      <c r="J1852" s="9">
        <v>13800</v>
      </c>
    </row>
    <row r="1853" spans="1:10" x14ac:dyDescent="0.3">
      <c r="A1853" s="3" t="s">
        <v>1918</v>
      </c>
      <c r="B1853" s="4">
        <v>43704</v>
      </c>
      <c r="C1853" s="5">
        <v>11</v>
      </c>
      <c r="D1853" s="5" t="s">
        <v>29</v>
      </c>
      <c r="E1853" s="5" t="s">
        <v>39</v>
      </c>
      <c r="F1853" s="5" t="s">
        <v>16</v>
      </c>
      <c r="G1853" s="5" t="s">
        <v>12</v>
      </c>
      <c r="H1853" s="5">
        <v>6900</v>
      </c>
      <c r="I1853" s="5">
        <v>9</v>
      </c>
      <c r="J1853" s="9">
        <v>62100</v>
      </c>
    </row>
    <row r="1854" spans="1:10" x14ac:dyDescent="0.3">
      <c r="A1854" s="3" t="s">
        <v>1919</v>
      </c>
      <c r="B1854" s="4">
        <v>43705</v>
      </c>
      <c r="C1854" s="5">
        <v>16</v>
      </c>
      <c r="D1854" s="5" t="s">
        <v>34</v>
      </c>
      <c r="E1854" s="5" t="s">
        <v>43</v>
      </c>
      <c r="F1854" s="5" t="s">
        <v>17</v>
      </c>
      <c r="G1854" s="5" t="s">
        <v>12</v>
      </c>
      <c r="H1854" s="5">
        <v>6900</v>
      </c>
      <c r="I1854" s="5">
        <v>2</v>
      </c>
      <c r="J1854" s="9">
        <v>13800</v>
      </c>
    </row>
    <row r="1855" spans="1:10" x14ac:dyDescent="0.3">
      <c r="A1855" s="3" t="s">
        <v>1920</v>
      </c>
      <c r="B1855" s="4">
        <v>43706</v>
      </c>
      <c r="C1855" s="5">
        <v>16</v>
      </c>
      <c r="D1855" s="5" t="s">
        <v>34</v>
      </c>
      <c r="E1855" s="5" t="s">
        <v>42</v>
      </c>
      <c r="F1855" s="5" t="s">
        <v>17</v>
      </c>
      <c r="G1855" s="5" t="s">
        <v>14</v>
      </c>
      <c r="H1855" s="5">
        <v>15900</v>
      </c>
      <c r="I1855" s="5">
        <v>8</v>
      </c>
      <c r="J1855" s="9">
        <v>127200</v>
      </c>
    </row>
    <row r="1856" spans="1:10" x14ac:dyDescent="0.3">
      <c r="A1856" s="3" t="s">
        <v>1921</v>
      </c>
      <c r="B1856" s="4">
        <v>43706</v>
      </c>
      <c r="C1856" s="5">
        <v>4</v>
      </c>
      <c r="D1856" s="5" t="s">
        <v>22</v>
      </c>
      <c r="E1856" s="5" t="s">
        <v>46</v>
      </c>
      <c r="F1856" s="5" t="s">
        <v>18</v>
      </c>
      <c r="G1856" s="5" t="s">
        <v>14</v>
      </c>
      <c r="H1856" s="5">
        <v>15900</v>
      </c>
      <c r="I1856" s="5">
        <v>0</v>
      </c>
      <c r="J1856" s="9">
        <v>0</v>
      </c>
    </row>
    <row r="1857" spans="1:10" x14ac:dyDescent="0.3">
      <c r="A1857" s="3" t="s">
        <v>1922</v>
      </c>
      <c r="B1857" s="4">
        <v>43707</v>
      </c>
      <c r="C1857" s="5">
        <v>19</v>
      </c>
      <c r="D1857" s="5" t="s">
        <v>37</v>
      </c>
      <c r="E1857" s="5" t="s">
        <v>43</v>
      </c>
      <c r="F1857" s="5" t="s">
        <v>17</v>
      </c>
      <c r="G1857" s="5" t="s">
        <v>14</v>
      </c>
      <c r="H1857" s="5">
        <v>15900</v>
      </c>
      <c r="I1857" s="5">
        <v>7</v>
      </c>
      <c r="J1857" s="9">
        <v>111300</v>
      </c>
    </row>
    <row r="1858" spans="1:10" x14ac:dyDescent="0.3">
      <c r="A1858" s="3" t="s">
        <v>1923</v>
      </c>
      <c r="B1858" s="4">
        <v>43707</v>
      </c>
      <c r="C1858" s="5">
        <v>7</v>
      </c>
      <c r="D1858" s="5" t="s">
        <v>25</v>
      </c>
      <c r="E1858" s="5" t="s">
        <v>44</v>
      </c>
      <c r="F1858" s="5" t="s">
        <v>15</v>
      </c>
      <c r="G1858" s="5" t="s">
        <v>11</v>
      </c>
      <c r="H1858" s="5">
        <v>19900</v>
      </c>
      <c r="I1858" s="5">
        <v>1</v>
      </c>
      <c r="J1858" s="9">
        <v>19900</v>
      </c>
    </row>
    <row r="1859" spans="1:10" x14ac:dyDescent="0.3">
      <c r="A1859" s="3" t="s">
        <v>1924</v>
      </c>
      <c r="B1859" s="4">
        <v>43707</v>
      </c>
      <c r="C1859" s="5">
        <v>17</v>
      </c>
      <c r="D1859" s="5" t="s">
        <v>35</v>
      </c>
      <c r="E1859" s="5" t="s">
        <v>43</v>
      </c>
      <c r="F1859" s="5" t="s">
        <v>17</v>
      </c>
      <c r="G1859" s="5" t="s">
        <v>10</v>
      </c>
      <c r="H1859" s="5">
        <v>39900</v>
      </c>
      <c r="I1859" s="5">
        <v>1</v>
      </c>
      <c r="J1859" s="9">
        <v>39900</v>
      </c>
    </row>
    <row r="1860" spans="1:10" x14ac:dyDescent="0.3">
      <c r="A1860" s="3" t="s">
        <v>1925</v>
      </c>
      <c r="B1860" s="4">
        <v>43707</v>
      </c>
      <c r="C1860" s="5">
        <v>6</v>
      </c>
      <c r="D1860" s="5" t="s">
        <v>24</v>
      </c>
      <c r="E1860" s="5" t="s">
        <v>41</v>
      </c>
      <c r="F1860" s="5" t="s">
        <v>15</v>
      </c>
      <c r="G1860" s="5" t="s">
        <v>12</v>
      </c>
      <c r="H1860" s="5">
        <v>6900</v>
      </c>
      <c r="I1860" s="5">
        <v>0</v>
      </c>
      <c r="J1860" s="9">
        <v>0</v>
      </c>
    </row>
    <row r="1861" spans="1:10" x14ac:dyDescent="0.3">
      <c r="A1861" s="3" t="s">
        <v>1926</v>
      </c>
      <c r="B1861" s="4">
        <v>43707</v>
      </c>
      <c r="C1861" s="5">
        <v>14</v>
      </c>
      <c r="D1861" s="5" t="s">
        <v>32</v>
      </c>
      <c r="E1861" s="5" t="s">
        <v>45</v>
      </c>
      <c r="F1861" s="5" t="s">
        <v>16</v>
      </c>
      <c r="G1861" s="5" t="s">
        <v>10</v>
      </c>
      <c r="H1861" s="5">
        <v>39900</v>
      </c>
      <c r="I1861" s="5">
        <v>4</v>
      </c>
      <c r="J1861" s="9">
        <v>159600</v>
      </c>
    </row>
    <row r="1862" spans="1:10" x14ac:dyDescent="0.3">
      <c r="A1862" s="3" t="s">
        <v>1927</v>
      </c>
      <c r="B1862" s="4">
        <v>43707</v>
      </c>
      <c r="C1862" s="5">
        <v>20</v>
      </c>
      <c r="D1862" s="5" t="s">
        <v>38</v>
      </c>
      <c r="E1862" s="5" t="s">
        <v>42</v>
      </c>
      <c r="F1862" s="5" t="s">
        <v>17</v>
      </c>
      <c r="G1862" s="5" t="s">
        <v>10</v>
      </c>
      <c r="H1862" s="5">
        <v>39900</v>
      </c>
      <c r="I1862" s="5">
        <v>8</v>
      </c>
      <c r="J1862" s="9">
        <v>319200</v>
      </c>
    </row>
    <row r="1863" spans="1:10" x14ac:dyDescent="0.3">
      <c r="A1863" s="3" t="s">
        <v>1928</v>
      </c>
      <c r="B1863" s="4">
        <v>43707</v>
      </c>
      <c r="C1863" s="5">
        <v>10</v>
      </c>
      <c r="D1863" s="5" t="s">
        <v>28</v>
      </c>
      <c r="E1863" s="5" t="s">
        <v>41</v>
      </c>
      <c r="F1863" s="5" t="s">
        <v>15</v>
      </c>
      <c r="G1863" s="5" t="s">
        <v>13</v>
      </c>
      <c r="H1863" s="5">
        <v>28900</v>
      </c>
      <c r="I1863" s="5">
        <v>3</v>
      </c>
      <c r="J1863" s="9">
        <v>86700</v>
      </c>
    </row>
    <row r="1864" spans="1:10" x14ac:dyDescent="0.3">
      <c r="A1864" s="3" t="s">
        <v>1929</v>
      </c>
      <c r="B1864" s="4">
        <v>43708</v>
      </c>
      <c r="C1864" s="5">
        <v>11</v>
      </c>
      <c r="D1864" s="5" t="s">
        <v>29</v>
      </c>
      <c r="E1864" s="5" t="s">
        <v>39</v>
      </c>
      <c r="F1864" s="5" t="s">
        <v>16</v>
      </c>
      <c r="G1864" s="5" t="s">
        <v>10</v>
      </c>
      <c r="H1864" s="5">
        <v>39900</v>
      </c>
      <c r="I1864" s="5">
        <v>5</v>
      </c>
      <c r="J1864" s="9">
        <v>199500</v>
      </c>
    </row>
    <row r="1865" spans="1:10" x14ac:dyDescent="0.3">
      <c r="A1865" s="3" t="s">
        <v>1930</v>
      </c>
      <c r="B1865" s="4">
        <v>43709</v>
      </c>
      <c r="C1865" s="5">
        <v>16</v>
      </c>
      <c r="D1865" s="5" t="s">
        <v>34</v>
      </c>
      <c r="E1865" s="5" t="s">
        <v>42</v>
      </c>
      <c r="F1865" s="5" t="s">
        <v>17</v>
      </c>
      <c r="G1865" s="5" t="s">
        <v>13</v>
      </c>
      <c r="H1865" s="5">
        <v>28900</v>
      </c>
      <c r="I1865" s="5">
        <v>3</v>
      </c>
      <c r="J1865" s="9">
        <v>86700</v>
      </c>
    </row>
    <row r="1866" spans="1:10" x14ac:dyDescent="0.3">
      <c r="A1866" s="3" t="s">
        <v>1931</v>
      </c>
      <c r="B1866" s="4">
        <v>43709</v>
      </c>
      <c r="C1866" s="5">
        <v>11</v>
      </c>
      <c r="D1866" s="5" t="s">
        <v>29</v>
      </c>
      <c r="E1866" s="5" t="s">
        <v>45</v>
      </c>
      <c r="F1866" s="5" t="s">
        <v>16</v>
      </c>
      <c r="G1866" s="5" t="s">
        <v>10</v>
      </c>
      <c r="H1866" s="5">
        <v>39900</v>
      </c>
      <c r="I1866" s="5">
        <v>4</v>
      </c>
      <c r="J1866" s="9">
        <v>159600</v>
      </c>
    </row>
    <row r="1867" spans="1:10" x14ac:dyDescent="0.3">
      <c r="A1867" s="3" t="s">
        <v>1932</v>
      </c>
      <c r="B1867" s="4">
        <v>43709</v>
      </c>
      <c r="C1867" s="5">
        <v>7</v>
      </c>
      <c r="D1867" s="5" t="s">
        <v>25</v>
      </c>
      <c r="E1867" s="5" t="s">
        <v>44</v>
      </c>
      <c r="F1867" s="5" t="s">
        <v>15</v>
      </c>
      <c r="G1867" s="5" t="s">
        <v>12</v>
      </c>
      <c r="H1867" s="5">
        <v>6900</v>
      </c>
      <c r="I1867" s="5">
        <v>6</v>
      </c>
      <c r="J1867" s="9">
        <v>41400</v>
      </c>
    </row>
    <row r="1868" spans="1:10" x14ac:dyDescent="0.3">
      <c r="A1868" s="3" t="s">
        <v>1933</v>
      </c>
      <c r="B1868" s="4">
        <v>43710</v>
      </c>
      <c r="C1868" s="5">
        <v>3</v>
      </c>
      <c r="D1868" s="5" t="s">
        <v>21</v>
      </c>
      <c r="E1868" s="5" t="s">
        <v>40</v>
      </c>
      <c r="F1868" s="5" t="s">
        <v>18</v>
      </c>
      <c r="G1868" s="5" t="s">
        <v>13</v>
      </c>
      <c r="H1868" s="5">
        <v>28900</v>
      </c>
      <c r="I1868" s="5">
        <v>6</v>
      </c>
      <c r="J1868" s="9">
        <v>173400</v>
      </c>
    </row>
    <row r="1869" spans="1:10" x14ac:dyDescent="0.3">
      <c r="A1869" s="3" t="s">
        <v>1934</v>
      </c>
      <c r="B1869" s="4">
        <v>43710</v>
      </c>
      <c r="C1869" s="5">
        <v>15</v>
      </c>
      <c r="D1869" s="5" t="s">
        <v>33</v>
      </c>
      <c r="E1869" s="5" t="s">
        <v>39</v>
      </c>
      <c r="F1869" s="5" t="s">
        <v>16</v>
      </c>
      <c r="G1869" s="5" t="s">
        <v>11</v>
      </c>
      <c r="H1869" s="5">
        <v>19900</v>
      </c>
      <c r="I1869" s="5">
        <v>5</v>
      </c>
      <c r="J1869" s="9">
        <v>99500</v>
      </c>
    </row>
    <row r="1870" spans="1:10" x14ac:dyDescent="0.3">
      <c r="A1870" s="3" t="s">
        <v>1935</v>
      </c>
      <c r="B1870" s="4">
        <v>43711</v>
      </c>
      <c r="C1870" s="5">
        <v>7</v>
      </c>
      <c r="D1870" s="5" t="s">
        <v>25</v>
      </c>
      <c r="E1870" s="5" t="s">
        <v>41</v>
      </c>
      <c r="F1870" s="5" t="s">
        <v>15</v>
      </c>
      <c r="G1870" s="5" t="s">
        <v>10</v>
      </c>
      <c r="H1870" s="5">
        <v>39900</v>
      </c>
      <c r="I1870" s="5">
        <v>1</v>
      </c>
      <c r="J1870" s="9">
        <v>39900</v>
      </c>
    </row>
    <row r="1871" spans="1:10" x14ac:dyDescent="0.3">
      <c r="A1871" s="3" t="s">
        <v>1936</v>
      </c>
      <c r="B1871" s="4">
        <v>43712</v>
      </c>
      <c r="C1871" s="5">
        <v>19</v>
      </c>
      <c r="D1871" s="5" t="s">
        <v>37</v>
      </c>
      <c r="E1871" s="5" t="s">
        <v>43</v>
      </c>
      <c r="F1871" s="5" t="s">
        <v>17</v>
      </c>
      <c r="G1871" s="5" t="s">
        <v>10</v>
      </c>
      <c r="H1871" s="5">
        <v>39900</v>
      </c>
      <c r="I1871" s="5">
        <v>9</v>
      </c>
      <c r="J1871" s="9">
        <v>359100</v>
      </c>
    </row>
    <row r="1872" spans="1:10" x14ac:dyDescent="0.3">
      <c r="A1872" s="3" t="s">
        <v>1937</v>
      </c>
      <c r="B1872" s="4">
        <v>43712</v>
      </c>
      <c r="C1872" s="5">
        <v>20</v>
      </c>
      <c r="D1872" s="5" t="s">
        <v>38</v>
      </c>
      <c r="E1872" s="5" t="s">
        <v>42</v>
      </c>
      <c r="F1872" s="5" t="s">
        <v>17</v>
      </c>
      <c r="G1872" s="5" t="s">
        <v>14</v>
      </c>
      <c r="H1872" s="5">
        <v>15900</v>
      </c>
      <c r="I1872" s="5">
        <v>4</v>
      </c>
      <c r="J1872" s="9">
        <v>63600</v>
      </c>
    </row>
    <row r="1873" spans="1:10" x14ac:dyDescent="0.3">
      <c r="A1873" s="3" t="s">
        <v>1938</v>
      </c>
      <c r="B1873" s="4">
        <v>43713</v>
      </c>
      <c r="C1873" s="5">
        <v>10</v>
      </c>
      <c r="D1873" s="5" t="s">
        <v>28</v>
      </c>
      <c r="E1873" s="5" t="s">
        <v>44</v>
      </c>
      <c r="F1873" s="5" t="s">
        <v>15</v>
      </c>
      <c r="G1873" s="5" t="s">
        <v>12</v>
      </c>
      <c r="H1873" s="5">
        <v>6900</v>
      </c>
      <c r="I1873" s="5">
        <v>7</v>
      </c>
      <c r="J1873" s="9">
        <v>48300</v>
      </c>
    </row>
    <row r="1874" spans="1:10" x14ac:dyDescent="0.3">
      <c r="A1874" s="3" t="s">
        <v>1939</v>
      </c>
      <c r="B1874" s="4">
        <v>43713</v>
      </c>
      <c r="C1874" s="5">
        <v>8</v>
      </c>
      <c r="D1874" s="5" t="s">
        <v>26</v>
      </c>
      <c r="E1874" s="5" t="s">
        <v>44</v>
      </c>
      <c r="F1874" s="5" t="s">
        <v>15</v>
      </c>
      <c r="G1874" s="5" t="s">
        <v>11</v>
      </c>
      <c r="H1874" s="5">
        <v>19900</v>
      </c>
      <c r="I1874" s="5">
        <v>6</v>
      </c>
      <c r="J1874" s="9">
        <v>119400</v>
      </c>
    </row>
    <row r="1875" spans="1:10" x14ac:dyDescent="0.3">
      <c r="A1875" s="3" t="s">
        <v>1940</v>
      </c>
      <c r="B1875" s="4">
        <v>43714</v>
      </c>
      <c r="C1875" s="5">
        <v>9</v>
      </c>
      <c r="D1875" s="5" t="s">
        <v>27</v>
      </c>
      <c r="E1875" s="5" t="s">
        <v>41</v>
      </c>
      <c r="F1875" s="5" t="s">
        <v>15</v>
      </c>
      <c r="G1875" s="5" t="s">
        <v>13</v>
      </c>
      <c r="H1875" s="5">
        <v>28900</v>
      </c>
      <c r="I1875" s="5">
        <v>2</v>
      </c>
      <c r="J1875" s="9">
        <v>57800</v>
      </c>
    </row>
    <row r="1876" spans="1:10" x14ac:dyDescent="0.3">
      <c r="A1876" s="3" t="s">
        <v>1941</v>
      </c>
      <c r="B1876" s="4">
        <v>43714</v>
      </c>
      <c r="C1876" s="5">
        <v>3</v>
      </c>
      <c r="D1876" s="5" t="s">
        <v>21</v>
      </c>
      <c r="E1876" s="5" t="s">
        <v>46</v>
      </c>
      <c r="F1876" s="5" t="s">
        <v>18</v>
      </c>
      <c r="G1876" s="5" t="s">
        <v>14</v>
      </c>
      <c r="H1876" s="5">
        <v>15900</v>
      </c>
      <c r="I1876" s="5">
        <v>9</v>
      </c>
      <c r="J1876" s="9">
        <v>143100</v>
      </c>
    </row>
    <row r="1877" spans="1:10" x14ac:dyDescent="0.3">
      <c r="A1877" s="3" t="s">
        <v>1942</v>
      </c>
      <c r="B1877" s="4">
        <v>43714</v>
      </c>
      <c r="C1877" s="5">
        <v>16</v>
      </c>
      <c r="D1877" s="5" t="s">
        <v>34</v>
      </c>
      <c r="E1877" s="5" t="s">
        <v>42</v>
      </c>
      <c r="F1877" s="5" t="s">
        <v>17</v>
      </c>
      <c r="G1877" s="5" t="s">
        <v>11</v>
      </c>
      <c r="H1877" s="5">
        <v>19900</v>
      </c>
      <c r="I1877" s="5">
        <v>8</v>
      </c>
      <c r="J1877" s="9">
        <v>159200</v>
      </c>
    </row>
    <row r="1878" spans="1:10" x14ac:dyDescent="0.3">
      <c r="A1878" s="3" t="s">
        <v>1943</v>
      </c>
      <c r="B1878" s="4">
        <v>43714</v>
      </c>
      <c r="C1878" s="5">
        <v>1</v>
      </c>
      <c r="D1878" s="5" t="s">
        <v>19</v>
      </c>
      <c r="E1878" s="5" t="s">
        <v>40</v>
      </c>
      <c r="F1878" s="5" t="s">
        <v>18</v>
      </c>
      <c r="G1878" s="5" t="s">
        <v>10</v>
      </c>
      <c r="H1878" s="5">
        <v>39900</v>
      </c>
      <c r="I1878" s="5">
        <v>3</v>
      </c>
      <c r="J1878" s="9">
        <v>119700</v>
      </c>
    </row>
    <row r="1879" spans="1:10" x14ac:dyDescent="0.3">
      <c r="A1879" s="3" t="s">
        <v>1944</v>
      </c>
      <c r="B1879" s="4">
        <v>43714</v>
      </c>
      <c r="C1879" s="5">
        <v>9</v>
      </c>
      <c r="D1879" s="5" t="s">
        <v>27</v>
      </c>
      <c r="E1879" s="5" t="s">
        <v>41</v>
      </c>
      <c r="F1879" s="5" t="s">
        <v>15</v>
      </c>
      <c r="G1879" s="5" t="s">
        <v>12</v>
      </c>
      <c r="H1879" s="5">
        <v>6900</v>
      </c>
      <c r="I1879" s="5">
        <v>1</v>
      </c>
      <c r="J1879" s="9">
        <v>6900</v>
      </c>
    </row>
    <row r="1880" spans="1:10" x14ac:dyDescent="0.3">
      <c r="A1880" s="3" t="s">
        <v>1945</v>
      </c>
      <c r="B1880" s="4">
        <v>43714</v>
      </c>
      <c r="C1880" s="5">
        <v>4</v>
      </c>
      <c r="D1880" s="5" t="s">
        <v>22</v>
      </c>
      <c r="E1880" s="5" t="s">
        <v>46</v>
      </c>
      <c r="F1880" s="5" t="s">
        <v>18</v>
      </c>
      <c r="G1880" s="5" t="s">
        <v>10</v>
      </c>
      <c r="H1880" s="5">
        <v>39900</v>
      </c>
      <c r="I1880" s="5">
        <v>4</v>
      </c>
      <c r="J1880" s="9">
        <v>159600</v>
      </c>
    </row>
    <row r="1881" spans="1:10" x14ac:dyDescent="0.3">
      <c r="A1881" s="3" t="s">
        <v>1946</v>
      </c>
      <c r="B1881" s="4">
        <v>43714</v>
      </c>
      <c r="C1881" s="5">
        <v>11</v>
      </c>
      <c r="D1881" s="5" t="s">
        <v>29</v>
      </c>
      <c r="E1881" s="5" t="s">
        <v>39</v>
      </c>
      <c r="F1881" s="5" t="s">
        <v>16</v>
      </c>
      <c r="G1881" s="5" t="s">
        <v>14</v>
      </c>
      <c r="H1881" s="5">
        <v>15900</v>
      </c>
      <c r="I1881" s="5">
        <v>3</v>
      </c>
      <c r="J1881" s="9">
        <v>47700</v>
      </c>
    </row>
    <row r="1882" spans="1:10" x14ac:dyDescent="0.3">
      <c r="A1882" s="3" t="s">
        <v>1947</v>
      </c>
      <c r="B1882" s="4">
        <v>43715</v>
      </c>
      <c r="C1882" s="5">
        <v>9</v>
      </c>
      <c r="D1882" s="5" t="s">
        <v>27</v>
      </c>
      <c r="E1882" s="5" t="s">
        <v>41</v>
      </c>
      <c r="F1882" s="5" t="s">
        <v>15</v>
      </c>
      <c r="G1882" s="5" t="s">
        <v>12</v>
      </c>
      <c r="H1882" s="5">
        <v>6900</v>
      </c>
      <c r="I1882" s="5">
        <v>8</v>
      </c>
      <c r="J1882" s="9">
        <v>55200</v>
      </c>
    </row>
    <row r="1883" spans="1:10" x14ac:dyDescent="0.3">
      <c r="A1883" s="3" t="s">
        <v>1948</v>
      </c>
      <c r="B1883" s="4">
        <v>43715</v>
      </c>
      <c r="C1883" s="5">
        <v>2</v>
      </c>
      <c r="D1883" s="5" t="s">
        <v>20</v>
      </c>
      <c r="E1883" s="5" t="s">
        <v>40</v>
      </c>
      <c r="F1883" s="5" t="s">
        <v>18</v>
      </c>
      <c r="G1883" s="5" t="s">
        <v>11</v>
      </c>
      <c r="H1883" s="5">
        <v>19900</v>
      </c>
      <c r="I1883" s="5">
        <v>1</v>
      </c>
      <c r="J1883" s="9">
        <v>19900</v>
      </c>
    </row>
    <row r="1884" spans="1:10" x14ac:dyDescent="0.3">
      <c r="A1884" s="3" t="s">
        <v>1949</v>
      </c>
      <c r="B1884" s="4">
        <v>43716</v>
      </c>
      <c r="C1884" s="5">
        <v>8</v>
      </c>
      <c r="D1884" s="5" t="s">
        <v>26</v>
      </c>
      <c r="E1884" s="5" t="s">
        <v>44</v>
      </c>
      <c r="F1884" s="5" t="s">
        <v>15</v>
      </c>
      <c r="G1884" s="5" t="s">
        <v>12</v>
      </c>
      <c r="H1884" s="5">
        <v>6900</v>
      </c>
      <c r="I1884" s="5">
        <v>4</v>
      </c>
      <c r="J1884" s="9">
        <v>27600</v>
      </c>
    </row>
    <row r="1885" spans="1:10" x14ac:dyDescent="0.3">
      <c r="A1885" s="3" t="s">
        <v>1950</v>
      </c>
      <c r="B1885" s="4">
        <v>43716</v>
      </c>
      <c r="C1885" s="5">
        <v>13</v>
      </c>
      <c r="D1885" s="5" t="s">
        <v>31</v>
      </c>
      <c r="E1885" s="5" t="s">
        <v>39</v>
      </c>
      <c r="F1885" s="5" t="s">
        <v>16</v>
      </c>
      <c r="G1885" s="5" t="s">
        <v>10</v>
      </c>
      <c r="H1885" s="5">
        <v>39900</v>
      </c>
      <c r="I1885" s="5">
        <v>4</v>
      </c>
      <c r="J1885" s="9">
        <v>159600</v>
      </c>
    </row>
    <row r="1886" spans="1:10" x14ac:dyDescent="0.3">
      <c r="A1886" s="3" t="s">
        <v>1951</v>
      </c>
      <c r="B1886" s="4">
        <v>43716</v>
      </c>
      <c r="C1886" s="5">
        <v>14</v>
      </c>
      <c r="D1886" s="5" t="s">
        <v>32</v>
      </c>
      <c r="E1886" s="5" t="s">
        <v>45</v>
      </c>
      <c r="F1886" s="5" t="s">
        <v>16</v>
      </c>
      <c r="G1886" s="5" t="s">
        <v>11</v>
      </c>
      <c r="H1886" s="5">
        <v>19900</v>
      </c>
      <c r="I1886" s="5">
        <v>3</v>
      </c>
      <c r="J1886" s="9">
        <v>59700</v>
      </c>
    </row>
    <row r="1887" spans="1:10" x14ac:dyDescent="0.3">
      <c r="A1887" s="3" t="s">
        <v>1952</v>
      </c>
      <c r="B1887" s="4">
        <v>43716</v>
      </c>
      <c r="C1887" s="5">
        <v>10</v>
      </c>
      <c r="D1887" s="5" t="s">
        <v>28</v>
      </c>
      <c r="E1887" s="5" t="s">
        <v>44</v>
      </c>
      <c r="F1887" s="5" t="s">
        <v>15</v>
      </c>
      <c r="G1887" s="5" t="s">
        <v>13</v>
      </c>
      <c r="H1887" s="5">
        <v>28900</v>
      </c>
      <c r="I1887" s="5">
        <v>2</v>
      </c>
      <c r="J1887" s="9">
        <v>57800</v>
      </c>
    </row>
    <row r="1888" spans="1:10" x14ac:dyDescent="0.3">
      <c r="A1888" s="3" t="s">
        <v>1953</v>
      </c>
      <c r="B1888" s="4">
        <v>43716</v>
      </c>
      <c r="C1888" s="5">
        <v>8</v>
      </c>
      <c r="D1888" s="5" t="s">
        <v>26</v>
      </c>
      <c r="E1888" s="5" t="s">
        <v>44</v>
      </c>
      <c r="F1888" s="5" t="s">
        <v>15</v>
      </c>
      <c r="G1888" s="5" t="s">
        <v>10</v>
      </c>
      <c r="H1888" s="5">
        <v>39900</v>
      </c>
      <c r="I1888" s="5">
        <v>1</v>
      </c>
      <c r="J1888" s="9">
        <v>39900</v>
      </c>
    </row>
    <row r="1889" spans="1:10" x14ac:dyDescent="0.3">
      <c r="A1889" s="3" t="s">
        <v>1954</v>
      </c>
      <c r="B1889" s="4">
        <v>43716</v>
      </c>
      <c r="C1889" s="5">
        <v>3</v>
      </c>
      <c r="D1889" s="5" t="s">
        <v>21</v>
      </c>
      <c r="E1889" s="5" t="s">
        <v>40</v>
      </c>
      <c r="F1889" s="5" t="s">
        <v>18</v>
      </c>
      <c r="G1889" s="5" t="s">
        <v>12</v>
      </c>
      <c r="H1889" s="5">
        <v>6900</v>
      </c>
      <c r="I1889" s="5">
        <v>7</v>
      </c>
      <c r="J1889" s="9">
        <v>48300</v>
      </c>
    </row>
    <row r="1890" spans="1:10" x14ac:dyDescent="0.3">
      <c r="A1890" s="3" t="s">
        <v>1955</v>
      </c>
      <c r="B1890" s="4">
        <v>43717</v>
      </c>
      <c r="C1890" s="5">
        <v>18</v>
      </c>
      <c r="D1890" s="5" t="s">
        <v>36</v>
      </c>
      <c r="E1890" s="5" t="s">
        <v>42</v>
      </c>
      <c r="F1890" s="5" t="s">
        <v>17</v>
      </c>
      <c r="G1890" s="5" t="s">
        <v>12</v>
      </c>
      <c r="H1890" s="5">
        <v>6900</v>
      </c>
      <c r="I1890" s="5">
        <v>3</v>
      </c>
      <c r="J1890" s="9">
        <v>20700</v>
      </c>
    </row>
    <row r="1891" spans="1:10" x14ac:dyDescent="0.3">
      <c r="A1891" s="3" t="s">
        <v>1956</v>
      </c>
      <c r="B1891" s="4">
        <v>43718</v>
      </c>
      <c r="C1891" s="5">
        <v>10</v>
      </c>
      <c r="D1891" s="5" t="s">
        <v>28</v>
      </c>
      <c r="E1891" s="5" t="s">
        <v>44</v>
      </c>
      <c r="F1891" s="5" t="s">
        <v>15</v>
      </c>
      <c r="G1891" s="5" t="s">
        <v>11</v>
      </c>
      <c r="H1891" s="5">
        <v>19900</v>
      </c>
      <c r="I1891" s="5">
        <v>5</v>
      </c>
      <c r="J1891" s="9">
        <v>99500</v>
      </c>
    </row>
    <row r="1892" spans="1:10" x14ac:dyDescent="0.3">
      <c r="A1892" s="3" t="s">
        <v>1957</v>
      </c>
      <c r="B1892" s="4">
        <v>43718</v>
      </c>
      <c r="C1892" s="5">
        <v>17</v>
      </c>
      <c r="D1892" s="5" t="s">
        <v>35</v>
      </c>
      <c r="E1892" s="5" t="s">
        <v>43</v>
      </c>
      <c r="F1892" s="5" t="s">
        <v>17</v>
      </c>
      <c r="G1892" s="5" t="s">
        <v>14</v>
      </c>
      <c r="H1892" s="5">
        <v>15900</v>
      </c>
      <c r="I1892" s="5">
        <v>7</v>
      </c>
      <c r="J1892" s="9">
        <v>111300</v>
      </c>
    </row>
    <row r="1893" spans="1:10" x14ac:dyDescent="0.3">
      <c r="A1893" s="3" t="s">
        <v>1958</v>
      </c>
      <c r="B1893" s="4">
        <v>43719</v>
      </c>
      <c r="C1893" s="5">
        <v>5</v>
      </c>
      <c r="D1893" s="5" t="s">
        <v>23</v>
      </c>
      <c r="E1893" s="5" t="s">
        <v>40</v>
      </c>
      <c r="F1893" s="5" t="s">
        <v>18</v>
      </c>
      <c r="G1893" s="5" t="s">
        <v>10</v>
      </c>
      <c r="H1893" s="5">
        <v>39900</v>
      </c>
      <c r="I1893" s="5">
        <v>9</v>
      </c>
      <c r="J1893" s="9">
        <v>359100</v>
      </c>
    </row>
    <row r="1894" spans="1:10" x14ac:dyDescent="0.3">
      <c r="A1894" s="3" t="s">
        <v>1959</v>
      </c>
      <c r="B1894" s="4">
        <v>43719</v>
      </c>
      <c r="C1894" s="5">
        <v>15</v>
      </c>
      <c r="D1894" s="5" t="s">
        <v>33</v>
      </c>
      <c r="E1894" s="5" t="s">
        <v>45</v>
      </c>
      <c r="F1894" s="5" t="s">
        <v>16</v>
      </c>
      <c r="G1894" s="5" t="s">
        <v>11</v>
      </c>
      <c r="H1894" s="5">
        <v>19900</v>
      </c>
      <c r="I1894" s="5">
        <v>1</v>
      </c>
      <c r="J1894" s="9">
        <v>19900</v>
      </c>
    </row>
    <row r="1895" spans="1:10" x14ac:dyDescent="0.3">
      <c r="A1895" s="3" t="s">
        <v>1960</v>
      </c>
      <c r="B1895" s="4">
        <v>43720</v>
      </c>
      <c r="C1895" s="5">
        <v>8</v>
      </c>
      <c r="D1895" s="5" t="s">
        <v>26</v>
      </c>
      <c r="E1895" s="5" t="s">
        <v>44</v>
      </c>
      <c r="F1895" s="5" t="s">
        <v>15</v>
      </c>
      <c r="G1895" s="5" t="s">
        <v>14</v>
      </c>
      <c r="H1895" s="5">
        <v>15900</v>
      </c>
      <c r="I1895" s="5">
        <v>0</v>
      </c>
      <c r="J1895" s="9">
        <v>0</v>
      </c>
    </row>
    <row r="1896" spans="1:10" x14ac:dyDescent="0.3">
      <c r="A1896" s="3" t="s">
        <v>1961</v>
      </c>
      <c r="B1896" s="4">
        <v>43720</v>
      </c>
      <c r="C1896" s="5">
        <v>15</v>
      </c>
      <c r="D1896" s="5" t="s">
        <v>33</v>
      </c>
      <c r="E1896" s="5" t="s">
        <v>45</v>
      </c>
      <c r="F1896" s="5" t="s">
        <v>16</v>
      </c>
      <c r="G1896" s="5" t="s">
        <v>10</v>
      </c>
      <c r="H1896" s="5">
        <v>39900</v>
      </c>
      <c r="I1896" s="5">
        <v>1</v>
      </c>
      <c r="J1896" s="9">
        <v>39900</v>
      </c>
    </row>
    <row r="1897" spans="1:10" x14ac:dyDescent="0.3">
      <c r="A1897" s="3" t="s">
        <v>1962</v>
      </c>
      <c r="B1897" s="4">
        <v>43720</v>
      </c>
      <c r="C1897" s="5">
        <v>20</v>
      </c>
      <c r="D1897" s="5" t="s">
        <v>38</v>
      </c>
      <c r="E1897" s="5" t="s">
        <v>43</v>
      </c>
      <c r="F1897" s="5" t="s">
        <v>17</v>
      </c>
      <c r="G1897" s="5" t="s">
        <v>13</v>
      </c>
      <c r="H1897" s="5">
        <v>28900</v>
      </c>
      <c r="I1897" s="5">
        <v>0</v>
      </c>
      <c r="J1897" s="9">
        <v>0</v>
      </c>
    </row>
    <row r="1898" spans="1:10" x14ac:dyDescent="0.3">
      <c r="A1898" s="3" t="s">
        <v>1963</v>
      </c>
      <c r="B1898" s="4">
        <v>43720</v>
      </c>
      <c r="C1898" s="5">
        <v>1</v>
      </c>
      <c r="D1898" s="5" t="s">
        <v>19</v>
      </c>
      <c r="E1898" s="5" t="s">
        <v>40</v>
      </c>
      <c r="F1898" s="5" t="s">
        <v>18</v>
      </c>
      <c r="G1898" s="5" t="s">
        <v>14</v>
      </c>
      <c r="H1898" s="5">
        <v>15900</v>
      </c>
      <c r="I1898" s="5">
        <v>3</v>
      </c>
      <c r="J1898" s="9">
        <v>47700</v>
      </c>
    </row>
    <row r="1899" spans="1:10" x14ac:dyDescent="0.3">
      <c r="A1899" s="3" t="s">
        <v>1964</v>
      </c>
      <c r="B1899" s="4">
        <v>43721</v>
      </c>
      <c r="C1899" s="5">
        <v>3</v>
      </c>
      <c r="D1899" s="5" t="s">
        <v>21</v>
      </c>
      <c r="E1899" s="5" t="s">
        <v>46</v>
      </c>
      <c r="F1899" s="5" t="s">
        <v>18</v>
      </c>
      <c r="G1899" s="5" t="s">
        <v>11</v>
      </c>
      <c r="H1899" s="5">
        <v>19900</v>
      </c>
      <c r="I1899" s="5">
        <v>1</v>
      </c>
      <c r="J1899" s="9">
        <v>19900</v>
      </c>
    </row>
    <row r="1900" spans="1:10" x14ac:dyDescent="0.3">
      <c r="A1900" s="3" t="s">
        <v>1965</v>
      </c>
      <c r="B1900" s="4">
        <v>43722</v>
      </c>
      <c r="C1900" s="5">
        <v>9</v>
      </c>
      <c r="D1900" s="5" t="s">
        <v>27</v>
      </c>
      <c r="E1900" s="5" t="s">
        <v>44</v>
      </c>
      <c r="F1900" s="5" t="s">
        <v>15</v>
      </c>
      <c r="G1900" s="5" t="s">
        <v>11</v>
      </c>
      <c r="H1900" s="5">
        <v>19900</v>
      </c>
      <c r="I1900" s="5">
        <v>0</v>
      </c>
      <c r="J1900" s="9">
        <v>0</v>
      </c>
    </row>
    <row r="1901" spans="1:10" x14ac:dyDescent="0.3">
      <c r="A1901" s="3" t="s">
        <v>1966</v>
      </c>
      <c r="B1901" s="4">
        <v>43723</v>
      </c>
      <c r="C1901" s="5">
        <v>2</v>
      </c>
      <c r="D1901" s="5" t="s">
        <v>20</v>
      </c>
      <c r="E1901" s="5" t="s">
        <v>40</v>
      </c>
      <c r="F1901" s="5" t="s">
        <v>18</v>
      </c>
      <c r="G1901" s="5" t="s">
        <v>11</v>
      </c>
      <c r="H1901" s="5">
        <v>19900</v>
      </c>
      <c r="I1901" s="5">
        <v>6</v>
      </c>
      <c r="J1901" s="9">
        <v>119400</v>
      </c>
    </row>
    <row r="1902" spans="1:10" x14ac:dyDescent="0.3">
      <c r="A1902" s="3" t="s">
        <v>1967</v>
      </c>
      <c r="B1902" s="4">
        <v>43724</v>
      </c>
      <c r="C1902" s="5">
        <v>18</v>
      </c>
      <c r="D1902" s="5" t="s">
        <v>36</v>
      </c>
      <c r="E1902" s="5" t="s">
        <v>43</v>
      </c>
      <c r="F1902" s="5" t="s">
        <v>17</v>
      </c>
      <c r="G1902" s="5" t="s">
        <v>10</v>
      </c>
      <c r="H1902" s="5">
        <v>39900</v>
      </c>
      <c r="I1902" s="5">
        <v>3</v>
      </c>
      <c r="J1902" s="9">
        <v>119700</v>
      </c>
    </row>
    <row r="1903" spans="1:10" x14ac:dyDescent="0.3">
      <c r="A1903" s="3" t="s">
        <v>1968</v>
      </c>
      <c r="B1903" s="4">
        <v>43724</v>
      </c>
      <c r="C1903" s="5">
        <v>14</v>
      </c>
      <c r="D1903" s="5" t="s">
        <v>32</v>
      </c>
      <c r="E1903" s="5" t="s">
        <v>39</v>
      </c>
      <c r="F1903" s="5" t="s">
        <v>16</v>
      </c>
      <c r="G1903" s="5" t="s">
        <v>10</v>
      </c>
      <c r="H1903" s="5">
        <v>39900</v>
      </c>
      <c r="I1903" s="5">
        <v>8</v>
      </c>
      <c r="J1903" s="9">
        <v>319200</v>
      </c>
    </row>
    <row r="1904" spans="1:10" x14ac:dyDescent="0.3">
      <c r="A1904" s="3" t="s">
        <v>1969</v>
      </c>
      <c r="B1904" s="4">
        <v>43724</v>
      </c>
      <c r="C1904" s="5">
        <v>15</v>
      </c>
      <c r="D1904" s="5" t="s">
        <v>33</v>
      </c>
      <c r="E1904" s="5" t="s">
        <v>45</v>
      </c>
      <c r="F1904" s="5" t="s">
        <v>16</v>
      </c>
      <c r="G1904" s="5" t="s">
        <v>10</v>
      </c>
      <c r="H1904" s="5">
        <v>39900</v>
      </c>
      <c r="I1904" s="5">
        <v>0</v>
      </c>
      <c r="J1904" s="9">
        <v>0</v>
      </c>
    </row>
    <row r="1905" spans="1:10" x14ac:dyDescent="0.3">
      <c r="A1905" s="3" t="s">
        <v>1970</v>
      </c>
      <c r="B1905" s="4">
        <v>43725</v>
      </c>
      <c r="C1905" s="5">
        <v>15</v>
      </c>
      <c r="D1905" s="5" t="s">
        <v>33</v>
      </c>
      <c r="E1905" s="5" t="s">
        <v>45</v>
      </c>
      <c r="F1905" s="5" t="s">
        <v>16</v>
      </c>
      <c r="G1905" s="5" t="s">
        <v>10</v>
      </c>
      <c r="H1905" s="5">
        <v>39900</v>
      </c>
      <c r="I1905" s="5">
        <v>2</v>
      </c>
      <c r="J1905" s="9">
        <v>79800</v>
      </c>
    </row>
    <row r="1906" spans="1:10" x14ac:dyDescent="0.3">
      <c r="A1906" s="3" t="s">
        <v>1971</v>
      </c>
      <c r="B1906" s="4">
        <v>43725</v>
      </c>
      <c r="C1906" s="5">
        <v>14</v>
      </c>
      <c r="D1906" s="5" t="s">
        <v>32</v>
      </c>
      <c r="E1906" s="5" t="s">
        <v>45</v>
      </c>
      <c r="F1906" s="5" t="s">
        <v>16</v>
      </c>
      <c r="G1906" s="5" t="s">
        <v>12</v>
      </c>
      <c r="H1906" s="5">
        <v>6900</v>
      </c>
      <c r="I1906" s="5">
        <v>5</v>
      </c>
      <c r="J1906" s="9">
        <v>34500</v>
      </c>
    </row>
    <row r="1907" spans="1:10" x14ac:dyDescent="0.3">
      <c r="A1907" s="3" t="s">
        <v>1972</v>
      </c>
      <c r="B1907" s="4">
        <v>43725</v>
      </c>
      <c r="C1907" s="5">
        <v>16</v>
      </c>
      <c r="D1907" s="5" t="s">
        <v>34</v>
      </c>
      <c r="E1907" s="5" t="s">
        <v>43</v>
      </c>
      <c r="F1907" s="5" t="s">
        <v>17</v>
      </c>
      <c r="G1907" s="5" t="s">
        <v>12</v>
      </c>
      <c r="H1907" s="5">
        <v>6900</v>
      </c>
      <c r="I1907" s="5">
        <v>8</v>
      </c>
      <c r="J1907" s="9">
        <v>55200</v>
      </c>
    </row>
    <row r="1908" spans="1:10" x14ac:dyDescent="0.3">
      <c r="A1908" s="3" t="s">
        <v>1973</v>
      </c>
      <c r="B1908" s="4">
        <v>43725</v>
      </c>
      <c r="C1908" s="5">
        <v>1</v>
      </c>
      <c r="D1908" s="5" t="s">
        <v>19</v>
      </c>
      <c r="E1908" s="5" t="s">
        <v>40</v>
      </c>
      <c r="F1908" s="5" t="s">
        <v>18</v>
      </c>
      <c r="G1908" s="5" t="s">
        <v>12</v>
      </c>
      <c r="H1908" s="5">
        <v>6900</v>
      </c>
      <c r="I1908" s="5">
        <v>2</v>
      </c>
      <c r="J1908" s="9">
        <v>13800</v>
      </c>
    </row>
    <row r="1909" spans="1:10" x14ac:dyDescent="0.3">
      <c r="A1909" s="3" t="s">
        <v>1974</v>
      </c>
      <c r="B1909" s="4">
        <v>43726</v>
      </c>
      <c r="C1909" s="5">
        <v>20</v>
      </c>
      <c r="D1909" s="5" t="s">
        <v>38</v>
      </c>
      <c r="E1909" s="5" t="s">
        <v>43</v>
      </c>
      <c r="F1909" s="5" t="s">
        <v>17</v>
      </c>
      <c r="G1909" s="5" t="s">
        <v>11</v>
      </c>
      <c r="H1909" s="5">
        <v>19900</v>
      </c>
      <c r="I1909" s="5">
        <v>7</v>
      </c>
      <c r="J1909" s="9">
        <v>139300</v>
      </c>
    </row>
    <row r="1910" spans="1:10" x14ac:dyDescent="0.3">
      <c r="A1910" s="3" t="s">
        <v>1975</v>
      </c>
      <c r="B1910" s="4">
        <v>43726</v>
      </c>
      <c r="C1910" s="5">
        <v>15</v>
      </c>
      <c r="D1910" s="5" t="s">
        <v>33</v>
      </c>
      <c r="E1910" s="5" t="s">
        <v>45</v>
      </c>
      <c r="F1910" s="5" t="s">
        <v>16</v>
      </c>
      <c r="G1910" s="5" t="s">
        <v>12</v>
      </c>
      <c r="H1910" s="5">
        <v>6900</v>
      </c>
      <c r="I1910" s="5">
        <v>8</v>
      </c>
      <c r="J1910" s="9">
        <v>55200</v>
      </c>
    </row>
    <row r="1911" spans="1:10" x14ac:dyDescent="0.3">
      <c r="A1911" s="3" t="s">
        <v>1976</v>
      </c>
      <c r="B1911" s="4">
        <v>43726</v>
      </c>
      <c r="C1911" s="5">
        <v>14</v>
      </c>
      <c r="D1911" s="5" t="s">
        <v>32</v>
      </c>
      <c r="E1911" s="5" t="s">
        <v>39</v>
      </c>
      <c r="F1911" s="5" t="s">
        <v>16</v>
      </c>
      <c r="G1911" s="5" t="s">
        <v>14</v>
      </c>
      <c r="H1911" s="5">
        <v>15900</v>
      </c>
      <c r="I1911" s="5">
        <v>7</v>
      </c>
      <c r="J1911" s="9">
        <v>111300</v>
      </c>
    </row>
    <row r="1912" spans="1:10" x14ac:dyDescent="0.3">
      <c r="A1912" s="3" t="s">
        <v>1977</v>
      </c>
      <c r="B1912" s="4">
        <v>43726</v>
      </c>
      <c r="C1912" s="5">
        <v>1</v>
      </c>
      <c r="D1912" s="5" t="s">
        <v>19</v>
      </c>
      <c r="E1912" s="5" t="s">
        <v>46</v>
      </c>
      <c r="F1912" s="5" t="s">
        <v>18</v>
      </c>
      <c r="G1912" s="5" t="s">
        <v>10</v>
      </c>
      <c r="H1912" s="5">
        <v>39900</v>
      </c>
      <c r="I1912" s="5">
        <v>6</v>
      </c>
      <c r="J1912" s="9">
        <v>239400</v>
      </c>
    </row>
    <row r="1913" spans="1:10" x14ac:dyDescent="0.3">
      <c r="A1913" s="3" t="s">
        <v>1978</v>
      </c>
      <c r="B1913" s="4">
        <v>43727</v>
      </c>
      <c r="C1913" s="5">
        <v>6</v>
      </c>
      <c r="D1913" s="5" t="s">
        <v>24</v>
      </c>
      <c r="E1913" s="5" t="s">
        <v>41</v>
      </c>
      <c r="F1913" s="5" t="s">
        <v>15</v>
      </c>
      <c r="G1913" s="5" t="s">
        <v>13</v>
      </c>
      <c r="H1913" s="5">
        <v>28900</v>
      </c>
      <c r="I1913" s="5">
        <v>7</v>
      </c>
      <c r="J1913" s="9">
        <v>202300</v>
      </c>
    </row>
    <row r="1914" spans="1:10" x14ac:dyDescent="0.3">
      <c r="A1914" s="3" t="s">
        <v>1979</v>
      </c>
      <c r="B1914" s="4">
        <v>43727</v>
      </c>
      <c r="C1914" s="5">
        <v>16</v>
      </c>
      <c r="D1914" s="5" t="s">
        <v>34</v>
      </c>
      <c r="E1914" s="5" t="s">
        <v>42</v>
      </c>
      <c r="F1914" s="5" t="s">
        <v>17</v>
      </c>
      <c r="G1914" s="5" t="s">
        <v>12</v>
      </c>
      <c r="H1914" s="5">
        <v>6900</v>
      </c>
      <c r="I1914" s="5">
        <v>5</v>
      </c>
      <c r="J1914" s="9">
        <v>34500</v>
      </c>
    </row>
    <row r="1915" spans="1:10" x14ac:dyDescent="0.3">
      <c r="A1915" s="3" t="s">
        <v>1980</v>
      </c>
      <c r="B1915" s="4">
        <v>43727</v>
      </c>
      <c r="C1915" s="5">
        <v>9</v>
      </c>
      <c r="D1915" s="5" t="s">
        <v>27</v>
      </c>
      <c r="E1915" s="5" t="s">
        <v>44</v>
      </c>
      <c r="F1915" s="5" t="s">
        <v>15</v>
      </c>
      <c r="G1915" s="5" t="s">
        <v>12</v>
      </c>
      <c r="H1915" s="5">
        <v>6900</v>
      </c>
      <c r="I1915" s="5">
        <v>0</v>
      </c>
      <c r="J1915" s="9">
        <v>0</v>
      </c>
    </row>
    <row r="1916" spans="1:10" x14ac:dyDescent="0.3">
      <c r="A1916" s="3" t="s">
        <v>1981</v>
      </c>
      <c r="B1916" s="4">
        <v>43727</v>
      </c>
      <c r="C1916" s="5">
        <v>11</v>
      </c>
      <c r="D1916" s="5" t="s">
        <v>29</v>
      </c>
      <c r="E1916" s="5" t="s">
        <v>39</v>
      </c>
      <c r="F1916" s="5" t="s">
        <v>16</v>
      </c>
      <c r="G1916" s="5" t="s">
        <v>11</v>
      </c>
      <c r="H1916" s="5">
        <v>19900</v>
      </c>
      <c r="I1916" s="5">
        <v>9</v>
      </c>
      <c r="J1916" s="9">
        <v>179100</v>
      </c>
    </row>
    <row r="1917" spans="1:10" x14ac:dyDescent="0.3">
      <c r="A1917" s="3" t="s">
        <v>1982</v>
      </c>
      <c r="B1917" s="4">
        <v>43728</v>
      </c>
      <c r="C1917" s="5">
        <v>5</v>
      </c>
      <c r="D1917" s="5" t="s">
        <v>23</v>
      </c>
      <c r="E1917" s="5" t="s">
        <v>40</v>
      </c>
      <c r="F1917" s="5" t="s">
        <v>18</v>
      </c>
      <c r="G1917" s="5" t="s">
        <v>10</v>
      </c>
      <c r="H1917" s="5">
        <v>39900</v>
      </c>
      <c r="I1917" s="5">
        <v>4</v>
      </c>
      <c r="J1917" s="9">
        <v>159600</v>
      </c>
    </row>
    <row r="1918" spans="1:10" x14ac:dyDescent="0.3">
      <c r="A1918" s="3" t="s">
        <v>1983</v>
      </c>
      <c r="B1918" s="4">
        <v>43728</v>
      </c>
      <c r="C1918" s="5">
        <v>4</v>
      </c>
      <c r="D1918" s="5" t="s">
        <v>22</v>
      </c>
      <c r="E1918" s="5" t="s">
        <v>40</v>
      </c>
      <c r="F1918" s="5" t="s">
        <v>18</v>
      </c>
      <c r="G1918" s="5" t="s">
        <v>13</v>
      </c>
      <c r="H1918" s="5">
        <v>28900</v>
      </c>
      <c r="I1918" s="5">
        <v>8</v>
      </c>
      <c r="J1918" s="9">
        <v>231200</v>
      </c>
    </row>
    <row r="1919" spans="1:10" x14ac:dyDescent="0.3">
      <c r="A1919" s="3" t="s">
        <v>1984</v>
      </c>
      <c r="B1919" s="4">
        <v>43728</v>
      </c>
      <c r="C1919" s="5">
        <v>1</v>
      </c>
      <c r="D1919" s="5" t="s">
        <v>19</v>
      </c>
      <c r="E1919" s="5" t="s">
        <v>40</v>
      </c>
      <c r="F1919" s="5" t="s">
        <v>18</v>
      </c>
      <c r="G1919" s="5" t="s">
        <v>10</v>
      </c>
      <c r="H1919" s="5">
        <v>39900</v>
      </c>
      <c r="I1919" s="5">
        <v>1</v>
      </c>
      <c r="J1919" s="9">
        <v>39900</v>
      </c>
    </row>
    <row r="1920" spans="1:10" x14ac:dyDescent="0.3">
      <c r="A1920" s="3" t="s">
        <v>1985</v>
      </c>
      <c r="B1920" s="4">
        <v>43728</v>
      </c>
      <c r="C1920" s="5">
        <v>11</v>
      </c>
      <c r="D1920" s="5" t="s">
        <v>29</v>
      </c>
      <c r="E1920" s="5" t="s">
        <v>45</v>
      </c>
      <c r="F1920" s="5" t="s">
        <v>16</v>
      </c>
      <c r="G1920" s="5" t="s">
        <v>11</v>
      </c>
      <c r="H1920" s="5">
        <v>19900</v>
      </c>
      <c r="I1920" s="5">
        <v>4</v>
      </c>
      <c r="J1920" s="9">
        <v>79600</v>
      </c>
    </row>
    <row r="1921" spans="1:10" x14ac:dyDescent="0.3">
      <c r="A1921" s="3" t="s">
        <v>1986</v>
      </c>
      <c r="B1921" s="4">
        <v>43728</v>
      </c>
      <c r="C1921" s="5">
        <v>10</v>
      </c>
      <c r="D1921" s="5" t="s">
        <v>28</v>
      </c>
      <c r="E1921" s="5" t="s">
        <v>44</v>
      </c>
      <c r="F1921" s="5" t="s">
        <v>15</v>
      </c>
      <c r="G1921" s="5" t="s">
        <v>14</v>
      </c>
      <c r="H1921" s="5">
        <v>15900</v>
      </c>
      <c r="I1921" s="5">
        <v>9</v>
      </c>
      <c r="J1921" s="9">
        <v>143100</v>
      </c>
    </row>
    <row r="1922" spans="1:10" x14ac:dyDescent="0.3">
      <c r="A1922" s="3" t="s">
        <v>1987</v>
      </c>
      <c r="B1922" s="4">
        <v>43728</v>
      </c>
      <c r="C1922" s="5">
        <v>17</v>
      </c>
      <c r="D1922" s="5" t="s">
        <v>35</v>
      </c>
      <c r="E1922" s="5" t="s">
        <v>42</v>
      </c>
      <c r="F1922" s="5" t="s">
        <v>17</v>
      </c>
      <c r="G1922" s="5" t="s">
        <v>10</v>
      </c>
      <c r="H1922" s="5">
        <v>39900</v>
      </c>
      <c r="I1922" s="5">
        <v>1</v>
      </c>
      <c r="J1922" s="9">
        <v>39900</v>
      </c>
    </row>
    <row r="1923" spans="1:10" x14ac:dyDescent="0.3">
      <c r="A1923" s="3" t="s">
        <v>1988</v>
      </c>
      <c r="B1923" s="4">
        <v>43728</v>
      </c>
      <c r="C1923" s="5">
        <v>8</v>
      </c>
      <c r="D1923" s="5" t="s">
        <v>26</v>
      </c>
      <c r="E1923" s="5" t="s">
        <v>41</v>
      </c>
      <c r="F1923" s="5" t="s">
        <v>15</v>
      </c>
      <c r="G1923" s="5" t="s">
        <v>10</v>
      </c>
      <c r="H1923" s="5">
        <v>39900</v>
      </c>
      <c r="I1923" s="5">
        <v>3</v>
      </c>
      <c r="J1923" s="9">
        <v>119700</v>
      </c>
    </row>
    <row r="1924" spans="1:10" x14ac:dyDescent="0.3">
      <c r="A1924" s="3" t="s">
        <v>1989</v>
      </c>
      <c r="B1924" s="4">
        <v>43728</v>
      </c>
      <c r="C1924" s="5">
        <v>12</v>
      </c>
      <c r="D1924" s="5" t="s">
        <v>30</v>
      </c>
      <c r="E1924" s="5" t="s">
        <v>45</v>
      </c>
      <c r="F1924" s="5" t="s">
        <v>16</v>
      </c>
      <c r="G1924" s="5" t="s">
        <v>14</v>
      </c>
      <c r="H1924" s="5">
        <v>15900</v>
      </c>
      <c r="I1924" s="5">
        <v>8</v>
      </c>
      <c r="J1924" s="9">
        <v>127200</v>
      </c>
    </row>
    <row r="1925" spans="1:10" x14ac:dyDescent="0.3">
      <c r="A1925" s="3" t="s">
        <v>1990</v>
      </c>
      <c r="B1925" s="4">
        <v>43728</v>
      </c>
      <c r="C1925" s="5">
        <v>6</v>
      </c>
      <c r="D1925" s="5" t="s">
        <v>24</v>
      </c>
      <c r="E1925" s="5" t="s">
        <v>41</v>
      </c>
      <c r="F1925" s="5" t="s">
        <v>15</v>
      </c>
      <c r="G1925" s="5" t="s">
        <v>11</v>
      </c>
      <c r="H1925" s="5">
        <v>19900</v>
      </c>
      <c r="I1925" s="5">
        <v>0</v>
      </c>
      <c r="J1925" s="9">
        <v>0</v>
      </c>
    </row>
    <row r="1926" spans="1:10" x14ac:dyDescent="0.3">
      <c r="A1926" s="3" t="s">
        <v>1991</v>
      </c>
      <c r="B1926" s="4">
        <v>43729</v>
      </c>
      <c r="C1926" s="5">
        <v>19</v>
      </c>
      <c r="D1926" s="5" t="s">
        <v>37</v>
      </c>
      <c r="E1926" s="5" t="s">
        <v>42</v>
      </c>
      <c r="F1926" s="5" t="s">
        <v>17</v>
      </c>
      <c r="G1926" s="5" t="s">
        <v>13</v>
      </c>
      <c r="H1926" s="5">
        <v>28900</v>
      </c>
      <c r="I1926" s="5">
        <v>1</v>
      </c>
      <c r="J1926" s="9">
        <v>28900</v>
      </c>
    </row>
    <row r="1927" spans="1:10" x14ac:dyDescent="0.3">
      <c r="A1927" s="3" t="s">
        <v>1992</v>
      </c>
      <c r="B1927" s="4">
        <v>43730</v>
      </c>
      <c r="C1927" s="5">
        <v>1</v>
      </c>
      <c r="D1927" s="5" t="s">
        <v>19</v>
      </c>
      <c r="E1927" s="5" t="s">
        <v>40</v>
      </c>
      <c r="F1927" s="5" t="s">
        <v>18</v>
      </c>
      <c r="G1927" s="5" t="s">
        <v>11</v>
      </c>
      <c r="H1927" s="5">
        <v>19900</v>
      </c>
      <c r="I1927" s="5">
        <v>3</v>
      </c>
      <c r="J1927" s="9">
        <v>59700</v>
      </c>
    </row>
    <row r="1928" spans="1:10" x14ac:dyDescent="0.3">
      <c r="A1928" s="3" t="s">
        <v>1993</v>
      </c>
      <c r="B1928" s="4">
        <v>43730</v>
      </c>
      <c r="C1928" s="5">
        <v>6</v>
      </c>
      <c r="D1928" s="5" t="s">
        <v>24</v>
      </c>
      <c r="E1928" s="5" t="s">
        <v>44</v>
      </c>
      <c r="F1928" s="5" t="s">
        <v>15</v>
      </c>
      <c r="G1928" s="5" t="s">
        <v>13</v>
      </c>
      <c r="H1928" s="5">
        <v>28900</v>
      </c>
      <c r="I1928" s="5">
        <v>2</v>
      </c>
      <c r="J1928" s="9">
        <v>57800</v>
      </c>
    </row>
    <row r="1929" spans="1:10" x14ac:dyDescent="0.3">
      <c r="A1929" s="3" t="s">
        <v>1994</v>
      </c>
      <c r="B1929" s="4">
        <v>43730</v>
      </c>
      <c r="C1929" s="5">
        <v>13</v>
      </c>
      <c r="D1929" s="5" t="s">
        <v>31</v>
      </c>
      <c r="E1929" s="5" t="s">
        <v>45</v>
      </c>
      <c r="F1929" s="5" t="s">
        <v>16</v>
      </c>
      <c r="G1929" s="5" t="s">
        <v>10</v>
      </c>
      <c r="H1929" s="5">
        <v>39900</v>
      </c>
      <c r="I1929" s="5">
        <v>6</v>
      </c>
      <c r="J1929" s="9">
        <v>239400</v>
      </c>
    </row>
    <row r="1930" spans="1:10" x14ac:dyDescent="0.3">
      <c r="A1930" s="3" t="s">
        <v>1995</v>
      </c>
      <c r="B1930" s="4">
        <v>43730</v>
      </c>
      <c r="C1930" s="5">
        <v>9</v>
      </c>
      <c r="D1930" s="5" t="s">
        <v>27</v>
      </c>
      <c r="E1930" s="5" t="s">
        <v>44</v>
      </c>
      <c r="F1930" s="5" t="s">
        <v>15</v>
      </c>
      <c r="G1930" s="5" t="s">
        <v>11</v>
      </c>
      <c r="H1930" s="5">
        <v>19900</v>
      </c>
      <c r="I1930" s="5">
        <v>3</v>
      </c>
      <c r="J1930" s="9">
        <v>59700</v>
      </c>
    </row>
    <row r="1931" spans="1:10" x14ac:dyDescent="0.3">
      <c r="A1931" s="3" t="s">
        <v>1996</v>
      </c>
      <c r="B1931" s="4">
        <v>43731</v>
      </c>
      <c r="C1931" s="5">
        <v>4</v>
      </c>
      <c r="D1931" s="5" t="s">
        <v>22</v>
      </c>
      <c r="E1931" s="5" t="s">
        <v>40</v>
      </c>
      <c r="F1931" s="5" t="s">
        <v>18</v>
      </c>
      <c r="G1931" s="5" t="s">
        <v>10</v>
      </c>
      <c r="H1931" s="5">
        <v>39900</v>
      </c>
      <c r="I1931" s="5">
        <v>7</v>
      </c>
      <c r="J1931" s="9">
        <v>279300</v>
      </c>
    </row>
    <row r="1932" spans="1:10" x14ac:dyDescent="0.3">
      <c r="A1932" s="3" t="s">
        <v>1997</v>
      </c>
      <c r="B1932" s="4">
        <v>43731</v>
      </c>
      <c r="C1932" s="5">
        <v>2</v>
      </c>
      <c r="D1932" s="5" t="s">
        <v>20</v>
      </c>
      <c r="E1932" s="5" t="s">
        <v>40</v>
      </c>
      <c r="F1932" s="5" t="s">
        <v>18</v>
      </c>
      <c r="G1932" s="5" t="s">
        <v>10</v>
      </c>
      <c r="H1932" s="5">
        <v>39900</v>
      </c>
      <c r="I1932" s="5">
        <v>0</v>
      </c>
      <c r="J1932" s="9">
        <v>0</v>
      </c>
    </row>
    <row r="1933" spans="1:10" x14ac:dyDescent="0.3">
      <c r="A1933" s="3" t="s">
        <v>1998</v>
      </c>
      <c r="B1933" s="4">
        <v>43732</v>
      </c>
      <c r="C1933" s="5">
        <v>7</v>
      </c>
      <c r="D1933" s="5" t="s">
        <v>25</v>
      </c>
      <c r="E1933" s="5" t="s">
        <v>41</v>
      </c>
      <c r="F1933" s="5" t="s">
        <v>15</v>
      </c>
      <c r="G1933" s="5" t="s">
        <v>14</v>
      </c>
      <c r="H1933" s="5">
        <v>15900</v>
      </c>
      <c r="I1933" s="5">
        <v>5</v>
      </c>
      <c r="J1933" s="9">
        <v>79500</v>
      </c>
    </row>
    <row r="1934" spans="1:10" x14ac:dyDescent="0.3">
      <c r="A1934" s="3" t="s">
        <v>1999</v>
      </c>
      <c r="B1934" s="4">
        <v>43732</v>
      </c>
      <c r="C1934" s="5">
        <v>2</v>
      </c>
      <c r="D1934" s="5" t="s">
        <v>20</v>
      </c>
      <c r="E1934" s="5" t="s">
        <v>46</v>
      </c>
      <c r="F1934" s="5" t="s">
        <v>18</v>
      </c>
      <c r="G1934" s="5" t="s">
        <v>14</v>
      </c>
      <c r="H1934" s="5">
        <v>15900</v>
      </c>
      <c r="I1934" s="5">
        <v>7</v>
      </c>
      <c r="J1934" s="9">
        <v>111300</v>
      </c>
    </row>
    <row r="1935" spans="1:10" x14ac:dyDescent="0.3">
      <c r="A1935" s="3" t="s">
        <v>2000</v>
      </c>
      <c r="B1935" s="4">
        <v>43733</v>
      </c>
      <c r="C1935" s="5">
        <v>6</v>
      </c>
      <c r="D1935" s="5" t="s">
        <v>24</v>
      </c>
      <c r="E1935" s="5" t="s">
        <v>44</v>
      </c>
      <c r="F1935" s="5" t="s">
        <v>15</v>
      </c>
      <c r="G1935" s="5" t="s">
        <v>13</v>
      </c>
      <c r="H1935" s="5">
        <v>28900</v>
      </c>
      <c r="I1935" s="5">
        <v>8</v>
      </c>
      <c r="J1935" s="9">
        <v>231200</v>
      </c>
    </row>
    <row r="1936" spans="1:10" x14ac:dyDescent="0.3">
      <c r="A1936" s="3" t="s">
        <v>2001</v>
      </c>
      <c r="B1936" s="4">
        <v>43733</v>
      </c>
      <c r="C1936" s="5">
        <v>12</v>
      </c>
      <c r="D1936" s="5" t="s">
        <v>30</v>
      </c>
      <c r="E1936" s="5" t="s">
        <v>39</v>
      </c>
      <c r="F1936" s="5" t="s">
        <v>16</v>
      </c>
      <c r="G1936" s="5" t="s">
        <v>13</v>
      </c>
      <c r="H1936" s="5">
        <v>28900</v>
      </c>
      <c r="I1936" s="5">
        <v>5</v>
      </c>
      <c r="J1936" s="9">
        <v>144500</v>
      </c>
    </row>
    <row r="1937" spans="1:10" x14ac:dyDescent="0.3">
      <c r="A1937" s="3" t="s">
        <v>2002</v>
      </c>
      <c r="B1937" s="4">
        <v>43734</v>
      </c>
      <c r="C1937" s="5">
        <v>17</v>
      </c>
      <c r="D1937" s="5" t="s">
        <v>35</v>
      </c>
      <c r="E1937" s="5" t="s">
        <v>43</v>
      </c>
      <c r="F1937" s="5" t="s">
        <v>17</v>
      </c>
      <c r="G1937" s="5" t="s">
        <v>13</v>
      </c>
      <c r="H1937" s="5">
        <v>28900</v>
      </c>
      <c r="I1937" s="5">
        <v>6</v>
      </c>
      <c r="J1937" s="9">
        <v>173400</v>
      </c>
    </row>
    <row r="1938" spans="1:10" x14ac:dyDescent="0.3">
      <c r="A1938" s="3" t="s">
        <v>2003</v>
      </c>
      <c r="B1938" s="4">
        <v>43735</v>
      </c>
      <c r="C1938" s="5">
        <v>15</v>
      </c>
      <c r="D1938" s="5" t="s">
        <v>33</v>
      </c>
      <c r="E1938" s="5" t="s">
        <v>39</v>
      </c>
      <c r="F1938" s="5" t="s">
        <v>16</v>
      </c>
      <c r="G1938" s="5" t="s">
        <v>13</v>
      </c>
      <c r="H1938" s="5">
        <v>28900</v>
      </c>
      <c r="I1938" s="5">
        <v>2</v>
      </c>
      <c r="J1938" s="9">
        <v>57800</v>
      </c>
    </row>
    <row r="1939" spans="1:10" x14ac:dyDescent="0.3">
      <c r="A1939" s="3" t="s">
        <v>2004</v>
      </c>
      <c r="B1939" s="4">
        <v>43735</v>
      </c>
      <c r="C1939" s="5">
        <v>13</v>
      </c>
      <c r="D1939" s="5" t="s">
        <v>31</v>
      </c>
      <c r="E1939" s="5" t="s">
        <v>45</v>
      </c>
      <c r="F1939" s="5" t="s">
        <v>16</v>
      </c>
      <c r="G1939" s="5" t="s">
        <v>13</v>
      </c>
      <c r="H1939" s="5">
        <v>28900</v>
      </c>
      <c r="I1939" s="5">
        <v>5</v>
      </c>
      <c r="J1939" s="9">
        <v>144500</v>
      </c>
    </row>
    <row r="1940" spans="1:10" x14ac:dyDescent="0.3">
      <c r="A1940" s="3" t="s">
        <v>2005</v>
      </c>
      <c r="B1940" s="4">
        <v>43735</v>
      </c>
      <c r="C1940" s="5">
        <v>13</v>
      </c>
      <c r="D1940" s="5" t="s">
        <v>31</v>
      </c>
      <c r="E1940" s="5" t="s">
        <v>45</v>
      </c>
      <c r="F1940" s="5" t="s">
        <v>16</v>
      </c>
      <c r="G1940" s="5" t="s">
        <v>10</v>
      </c>
      <c r="H1940" s="5">
        <v>39900</v>
      </c>
      <c r="I1940" s="5">
        <v>6</v>
      </c>
      <c r="J1940" s="9">
        <v>239400</v>
      </c>
    </row>
    <row r="1941" spans="1:10" x14ac:dyDescent="0.3">
      <c r="A1941" s="3" t="s">
        <v>2006</v>
      </c>
      <c r="B1941" s="4">
        <v>43736</v>
      </c>
      <c r="C1941" s="5">
        <v>12</v>
      </c>
      <c r="D1941" s="5" t="s">
        <v>30</v>
      </c>
      <c r="E1941" s="5" t="s">
        <v>39</v>
      </c>
      <c r="F1941" s="5" t="s">
        <v>16</v>
      </c>
      <c r="G1941" s="5" t="s">
        <v>14</v>
      </c>
      <c r="H1941" s="5">
        <v>15900</v>
      </c>
      <c r="I1941" s="5">
        <v>1</v>
      </c>
      <c r="J1941" s="9">
        <v>15900</v>
      </c>
    </row>
    <row r="1942" spans="1:10" x14ac:dyDescent="0.3">
      <c r="A1942" s="3" t="s">
        <v>2007</v>
      </c>
      <c r="B1942" s="4">
        <v>43736</v>
      </c>
      <c r="C1942" s="5">
        <v>11</v>
      </c>
      <c r="D1942" s="5" t="s">
        <v>29</v>
      </c>
      <c r="E1942" s="5" t="s">
        <v>45</v>
      </c>
      <c r="F1942" s="5" t="s">
        <v>16</v>
      </c>
      <c r="G1942" s="5" t="s">
        <v>12</v>
      </c>
      <c r="H1942" s="5">
        <v>6900</v>
      </c>
      <c r="I1942" s="5">
        <v>3</v>
      </c>
      <c r="J1942" s="9">
        <v>20700</v>
      </c>
    </row>
    <row r="1943" spans="1:10" x14ac:dyDescent="0.3">
      <c r="A1943" s="3" t="s">
        <v>2008</v>
      </c>
      <c r="B1943" s="4">
        <v>43736</v>
      </c>
      <c r="C1943" s="5">
        <v>4</v>
      </c>
      <c r="D1943" s="5" t="s">
        <v>22</v>
      </c>
      <c r="E1943" s="5" t="s">
        <v>40</v>
      </c>
      <c r="F1943" s="5" t="s">
        <v>18</v>
      </c>
      <c r="G1943" s="5" t="s">
        <v>11</v>
      </c>
      <c r="H1943" s="5">
        <v>19900</v>
      </c>
      <c r="I1943" s="5">
        <v>0</v>
      </c>
      <c r="J1943" s="9">
        <v>0</v>
      </c>
    </row>
    <row r="1944" spans="1:10" x14ac:dyDescent="0.3">
      <c r="A1944" s="3" t="s">
        <v>2009</v>
      </c>
      <c r="B1944" s="4">
        <v>43737</v>
      </c>
      <c r="C1944" s="5">
        <v>18</v>
      </c>
      <c r="D1944" s="5" t="s">
        <v>36</v>
      </c>
      <c r="E1944" s="5" t="s">
        <v>42</v>
      </c>
      <c r="F1944" s="5" t="s">
        <v>17</v>
      </c>
      <c r="G1944" s="5" t="s">
        <v>12</v>
      </c>
      <c r="H1944" s="5">
        <v>6900</v>
      </c>
      <c r="I1944" s="5">
        <v>3</v>
      </c>
      <c r="J1944" s="9">
        <v>20700</v>
      </c>
    </row>
    <row r="1945" spans="1:10" x14ac:dyDescent="0.3">
      <c r="A1945" s="3" t="s">
        <v>2010</v>
      </c>
      <c r="B1945" s="4">
        <v>43737</v>
      </c>
      <c r="C1945" s="5">
        <v>12</v>
      </c>
      <c r="D1945" s="5" t="s">
        <v>30</v>
      </c>
      <c r="E1945" s="5" t="s">
        <v>45</v>
      </c>
      <c r="F1945" s="5" t="s">
        <v>16</v>
      </c>
      <c r="G1945" s="5" t="s">
        <v>11</v>
      </c>
      <c r="H1945" s="5">
        <v>19900</v>
      </c>
      <c r="I1945" s="5">
        <v>2</v>
      </c>
      <c r="J1945" s="9">
        <v>39800</v>
      </c>
    </row>
    <row r="1946" spans="1:10" x14ac:dyDescent="0.3">
      <c r="A1946" s="3" t="s">
        <v>2011</v>
      </c>
      <c r="B1946" s="4">
        <v>43737</v>
      </c>
      <c r="C1946" s="5">
        <v>19</v>
      </c>
      <c r="D1946" s="5" t="s">
        <v>37</v>
      </c>
      <c r="E1946" s="5" t="s">
        <v>42</v>
      </c>
      <c r="F1946" s="5" t="s">
        <v>17</v>
      </c>
      <c r="G1946" s="5" t="s">
        <v>13</v>
      </c>
      <c r="H1946" s="5">
        <v>28900</v>
      </c>
      <c r="I1946" s="5">
        <v>0</v>
      </c>
      <c r="J1946" s="9">
        <v>0</v>
      </c>
    </row>
    <row r="1947" spans="1:10" x14ac:dyDescent="0.3">
      <c r="A1947" s="3" t="s">
        <v>2012</v>
      </c>
      <c r="B1947" s="4">
        <v>43737</v>
      </c>
      <c r="C1947" s="5">
        <v>16</v>
      </c>
      <c r="D1947" s="5" t="s">
        <v>34</v>
      </c>
      <c r="E1947" s="5" t="s">
        <v>43</v>
      </c>
      <c r="F1947" s="5" t="s">
        <v>17</v>
      </c>
      <c r="G1947" s="5" t="s">
        <v>11</v>
      </c>
      <c r="H1947" s="5">
        <v>19900</v>
      </c>
      <c r="I1947" s="5">
        <v>4</v>
      </c>
      <c r="J1947" s="9">
        <v>79600</v>
      </c>
    </row>
    <row r="1948" spans="1:10" x14ac:dyDescent="0.3">
      <c r="A1948" s="3" t="s">
        <v>2013</v>
      </c>
      <c r="B1948" s="4">
        <v>43737</v>
      </c>
      <c r="C1948" s="5">
        <v>19</v>
      </c>
      <c r="D1948" s="5" t="s">
        <v>37</v>
      </c>
      <c r="E1948" s="5" t="s">
        <v>43</v>
      </c>
      <c r="F1948" s="5" t="s">
        <v>17</v>
      </c>
      <c r="G1948" s="5" t="s">
        <v>11</v>
      </c>
      <c r="H1948" s="5">
        <v>19900</v>
      </c>
      <c r="I1948" s="5">
        <v>2</v>
      </c>
      <c r="J1948" s="9">
        <v>39800</v>
      </c>
    </row>
    <row r="1949" spans="1:10" x14ac:dyDescent="0.3">
      <c r="A1949" s="3" t="s">
        <v>2014</v>
      </c>
      <c r="B1949" s="4">
        <v>43737</v>
      </c>
      <c r="C1949" s="5">
        <v>1</v>
      </c>
      <c r="D1949" s="5" t="s">
        <v>19</v>
      </c>
      <c r="E1949" s="5" t="s">
        <v>40</v>
      </c>
      <c r="F1949" s="5" t="s">
        <v>18</v>
      </c>
      <c r="G1949" s="5" t="s">
        <v>13</v>
      </c>
      <c r="H1949" s="5">
        <v>28900</v>
      </c>
      <c r="I1949" s="5">
        <v>8</v>
      </c>
      <c r="J1949" s="9">
        <v>231200</v>
      </c>
    </row>
    <row r="1950" spans="1:10" x14ac:dyDescent="0.3">
      <c r="A1950" s="3" t="s">
        <v>2015</v>
      </c>
      <c r="B1950" s="4">
        <v>43737</v>
      </c>
      <c r="C1950" s="5">
        <v>9</v>
      </c>
      <c r="D1950" s="5" t="s">
        <v>27</v>
      </c>
      <c r="E1950" s="5" t="s">
        <v>41</v>
      </c>
      <c r="F1950" s="5" t="s">
        <v>15</v>
      </c>
      <c r="G1950" s="5" t="s">
        <v>10</v>
      </c>
      <c r="H1950" s="5">
        <v>39900</v>
      </c>
      <c r="I1950" s="5">
        <v>4</v>
      </c>
      <c r="J1950" s="9">
        <v>159600</v>
      </c>
    </row>
    <row r="1951" spans="1:10" x14ac:dyDescent="0.3">
      <c r="A1951" s="3" t="s">
        <v>2016</v>
      </c>
      <c r="B1951" s="4">
        <v>43738</v>
      </c>
      <c r="C1951" s="5">
        <v>9</v>
      </c>
      <c r="D1951" s="5" t="s">
        <v>27</v>
      </c>
      <c r="E1951" s="5" t="s">
        <v>44</v>
      </c>
      <c r="F1951" s="5" t="s">
        <v>15</v>
      </c>
      <c r="G1951" s="5" t="s">
        <v>12</v>
      </c>
      <c r="H1951" s="5">
        <v>6900</v>
      </c>
      <c r="I1951" s="5">
        <v>7</v>
      </c>
      <c r="J1951" s="9">
        <v>48300</v>
      </c>
    </row>
    <row r="1952" spans="1:10" x14ac:dyDescent="0.3">
      <c r="A1952" s="3" t="s">
        <v>2017</v>
      </c>
      <c r="B1952" s="4">
        <v>43739</v>
      </c>
      <c r="C1952" s="5">
        <v>20</v>
      </c>
      <c r="D1952" s="5" t="s">
        <v>38</v>
      </c>
      <c r="E1952" s="5" t="s">
        <v>42</v>
      </c>
      <c r="F1952" s="5" t="s">
        <v>17</v>
      </c>
      <c r="G1952" s="5" t="s">
        <v>14</v>
      </c>
      <c r="H1952" s="5">
        <v>15900</v>
      </c>
      <c r="I1952" s="5">
        <v>1</v>
      </c>
      <c r="J1952" s="9">
        <v>15900</v>
      </c>
    </row>
    <row r="1953" spans="1:10" x14ac:dyDescent="0.3">
      <c r="A1953" s="3" t="s">
        <v>2018</v>
      </c>
      <c r="B1953" s="4">
        <v>43739</v>
      </c>
      <c r="C1953" s="5">
        <v>8</v>
      </c>
      <c r="D1953" s="5" t="s">
        <v>26</v>
      </c>
      <c r="E1953" s="5" t="s">
        <v>41</v>
      </c>
      <c r="F1953" s="5" t="s">
        <v>15</v>
      </c>
      <c r="G1953" s="5" t="s">
        <v>13</v>
      </c>
      <c r="H1953" s="5">
        <v>28900</v>
      </c>
      <c r="I1953" s="5">
        <v>5</v>
      </c>
      <c r="J1953" s="9">
        <v>144500</v>
      </c>
    </row>
    <row r="1954" spans="1:10" x14ac:dyDescent="0.3">
      <c r="A1954" s="3" t="s">
        <v>2019</v>
      </c>
      <c r="B1954" s="4">
        <v>43739</v>
      </c>
      <c r="C1954" s="5">
        <v>18</v>
      </c>
      <c r="D1954" s="5" t="s">
        <v>36</v>
      </c>
      <c r="E1954" s="5" t="s">
        <v>43</v>
      </c>
      <c r="F1954" s="5" t="s">
        <v>17</v>
      </c>
      <c r="G1954" s="5" t="s">
        <v>12</v>
      </c>
      <c r="H1954" s="5">
        <v>6900</v>
      </c>
      <c r="I1954" s="5">
        <v>0</v>
      </c>
      <c r="J1954" s="9">
        <v>0</v>
      </c>
    </row>
    <row r="1955" spans="1:10" x14ac:dyDescent="0.3">
      <c r="A1955" s="3" t="s">
        <v>2020</v>
      </c>
      <c r="B1955" s="4">
        <v>43739</v>
      </c>
      <c r="C1955" s="5">
        <v>2</v>
      </c>
      <c r="D1955" s="5" t="s">
        <v>20</v>
      </c>
      <c r="E1955" s="5" t="s">
        <v>40</v>
      </c>
      <c r="F1955" s="5" t="s">
        <v>18</v>
      </c>
      <c r="G1955" s="5" t="s">
        <v>10</v>
      </c>
      <c r="H1955" s="5">
        <v>39900</v>
      </c>
      <c r="I1955" s="5">
        <v>2</v>
      </c>
      <c r="J1955" s="9">
        <v>79800</v>
      </c>
    </row>
    <row r="1956" spans="1:10" x14ac:dyDescent="0.3">
      <c r="A1956" s="3" t="s">
        <v>2021</v>
      </c>
      <c r="B1956" s="4">
        <v>43740</v>
      </c>
      <c r="C1956" s="5">
        <v>10</v>
      </c>
      <c r="D1956" s="5" t="s">
        <v>28</v>
      </c>
      <c r="E1956" s="5" t="s">
        <v>41</v>
      </c>
      <c r="F1956" s="5" t="s">
        <v>15</v>
      </c>
      <c r="G1956" s="5" t="s">
        <v>11</v>
      </c>
      <c r="H1956" s="5">
        <v>19900</v>
      </c>
      <c r="I1956" s="5">
        <v>7</v>
      </c>
      <c r="J1956" s="9">
        <v>139300</v>
      </c>
    </row>
    <row r="1957" spans="1:10" x14ac:dyDescent="0.3">
      <c r="A1957" s="3" t="s">
        <v>2022</v>
      </c>
      <c r="B1957" s="4">
        <v>43740</v>
      </c>
      <c r="C1957" s="5">
        <v>13</v>
      </c>
      <c r="D1957" s="5" t="s">
        <v>31</v>
      </c>
      <c r="E1957" s="5" t="s">
        <v>45</v>
      </c>
      <c r="F1957" s="5" t="s">
        <v>16</v>
      </c>
      <c r="G1957" s="5" t="s">
        <v>14</v>
      </c>
      <c r="H1957" s="5">
        <v>15900</v>
      </c>
      <c r="I1957" s="5">
        <v>5</v>
      </c>
      <c r="J1957" s="9">
        <v>79500</v>
      </c>
    </row>
    <row r="1958" spans="1:10" x14ac:dyDescent="0.3">
      <c r="A1958" s="3" t="s">
        <v>2023</v>
      </c>
      <c r="B1958" s="4">
        <v>43740</v>
      </c>
      <c r="C1958" s="5">
        <v>17</v>
      </c>
      <c r="D1958" s="5" t="s">
        <v>35</v>
      </c>
      <c r="E1958" s="5" t="s">
        <v>42</v>
      </c>
      <c r="F1958" s="5" t="s">
        <v>17</v>
      </c>
      <c r="G1958" s="5" t="s">
        <v>13</v>
      </c>
      <c r="H1958" s="5">
        <v>28900</v>
      </c>
      <c r="I1958" s="5">
        <v>6</v>
      </c>
      <c r="J1958" s="9">
        <v>173400</v>
      </c>
    </row>
    <row r="1959" spans="1:10" x14ac:dyDescent="0.3">
      <c r="A1959" s="3" t="s">
        <v>2024</v>
      </c>
      <c r="B1959" s="4">
        <v>43741</v>
      </c>
      <c r="C1959" s="5">
        <v>8</v>
      </c>
      <c r="D1959" s="5" t="s">
        <v>26</v>
      </c>
      <c r="E1959" s="5" t="s">
        <v>44</v>
      </c>
      <c r="F1959" s="5" t="s">
        <v>15</v>
      </c>
      <c r="G1959" s="5" t="s">
        <v>10</v>
      </c>
      <c r="H1959" s="5">
        <v>39900</v>
      </c>
      <c r="I1959" s="5">
        <v>3</v>
      </c>
      <c r="J1959" s="9">
        <v>119700</v>
      </c>
    </row>
    <row r="1960" spans="1:10" x14ac:dyDescent="0.3">
      <c r="A1960" s="3" t="s">
        <v>2025</v>
      </c>
      <c r="B1960" s="4">
        <v>43741</v>
      </c>
      <c r="C1960" s="5">
        <v>12</v>
      </c>
      <c r="D1960" s="5" t="s">
        <v>30</v>
      </c>
      <c r="E1960" s="5" t="s">
        <v>39</v>
      </c>
      <c r="F1960" s="5" t="s">
        <v>16</v>
      </c>
      <c r="G1960" s="5" t="s">
        <v>12</v>
      </c>
      <c r="H1960" s="5">
        <v>6900</v>
      </c>
      <c r="I1960" s="5">
        <v>7</v>
      </c>
      <c r="J1960" s="9">
        <v>48300</v>
      </c>
    </row>
    <row r="1961" spans="1:10" x14ac:dyDescent="0.3">
      <c r="A1961" s="3" t="s">
        <v>2026</v>
      </c>
      <c r="B1961" s="4">
        <v>43742</v>
      </c>
      <c r="C1961" s="5">
        <v>19</v>
      </c>
      <c r="D1961" s="5" t="s">
        <v>37</v>
      </c>
      <c r="E1961" s="5" t="s">
        <v>43</v>
      </c>
      <c r="F1961" s="5" t="s">
        <v>17</v>
      </c>
      <c r="G1961" s="5" t="s">
        <v>14</v>
      </c>
      <c r="H1961" s="5">
        <v>15900</v>
      </c>
      <c r="I1961" s="5">
        <v>3</v>
      </c>
      <c r="J1961" s="9">
        <v>47700</v>
      </c>
    </row>
    <row r="1962" spans="1:10" x14ac:dyDescent="0.3">
      <c r="A1962" s="3" t="s">
        <v>2027</v>
      </c>
      <c r="B1962" s="4">
        <v>43742</v>
      </c>
      <c r="C1962" s="5">
        <v>9</v>
      </c>
      <c r="D1962" s="5" t="s">
        <v>27</v>
      </c>
      <c r="E1962" s="5" t="s">
        <v>41</v>
      </c>
      <c r="F1962" s="5" t="s">
        <v>15</v>
      </c>
      <c r="G1962" s="5" t="s">
        <v>13</v>
      </c>
      <c r="H1962" s="5">
        <v>28900</v>
      </c>
      <c r="I1962" s="5">
        <v>8</v>
      </c>
      <c r="J1962" s="9">
        <v>231200</v>
      </c>
    </row>
    <row r="1963" spans="1:10" x14ac:dyDescent="0.3">
      <c r="A1963" s="3" t="s">
        <v>2028</v>
      </c>
      <c r="B1963" s="4">
        <v>43742</v>
      </c>
      <c r="C1963" s="5">
        <v>20</v>
      </c>
      <c r="D1963" s="5" t="s">
        <v>38</v>
      </c>
      <c r="E1963" s="5" t="s">
        <v>42</v>
      </c>
      <c r="F1963" s="5" t="s">
        <v>17</v>
      </c>
      <c r="G1963" s="5" t="s">
        <v>10</v>
      </c>
      <c r="H1963" s="5">
        <v>39900</v>
      </c>
      <c r="I1963" s="5">
        <v>3</v>
      </c>
      <c r="J1963" s="9">
        <v>119700</v>
      </c>
    </row>
    <row r="1964" spans="1:10" x14ac:dyDescent="0.3">
      <c r="A1964" s="3" t="s">
        <v>2029</v>
      </c>
      <c r="B1964" s="4">
        <v>43743</v>
      </c>
      <c r="C1964" s="5">
        <v>20</v>
      </c>
      <c r="D1964" s="5" t="s">
        <v>38</v>
      </c>
      <c r="E1964" s="5" t="s">
        <v>43</v>
      </c>
      <c r="F1964" s="5" t="s">
        <v>17</v>
      </c>
      <c r="G1964" s="5" t="s">
        <v>13</v>
      </c>
      <c r="H1964" s="5">
        <v>28900</v>
      </c>
      <c r="I1964" s="5">
        <v>1</v>
      </c>
      <c r="J1964" s="9">
        <v>28900</v>
      </c>
    </row>
    <row r="1965" spans="1:10" x14ac:dyDescent="0.3">
      <c r="A1965" s="3" t="s">
        <v>2030</v>
      </c>
      <c r="B1965" s="4">
        <v>43743</v>
      </c>
      <c r="C1965" s="5">
        <v>4</v>
      </c>
      <c r="D1965" s="5" t="s">
        <v>22</v>
      </c>
      <c r="E1965" s="5" t="s">
        <v>40</v>
      </c>
      <c r="F1965" s="5" t="s">
        <v>18</v>
      </c>
      <c r="G1965" s="5" t="s">
        <v>13</v>
      </c>
      <c r="H1965" s="5">
        <v>28900</v>
      </c>
      <c r="I1965" s="5">
        <v>3</v>
      </c>
      <c r="J1965" s="9">
        <v>86700</v>
      </c>
    </row>
    <row r="1966" spans="1:10" x14ac:dyDescent="0.3">
      <c r="A1966" s="3" t="s">
        <v>2031</v>
      </c>
      <c r="B1966" s="4">
        <v>43743</v>
      </c>
      <c r="C1966" s="5">
        <v>4</v>
      </c>
      <c r="D1966" s="5" t="s">
        <v>22</v>
      </c>
      <c r="E1966" s="5" t="s">
        <v>46</v>
      </c>
      <c r="F1966" s="5" t="s">
        <v>18</v>
      </c>
      <c r="G1966" s="5" t="s">
        <v>11</v>
      </c>
      <c r="H1966" s="5">
        <v>19900</v>
      </c>
      <c r="I1966" s="5">
        <v>2</v>
      </c>
      <c r="J1966" s="9">
        <v>39800</v>
      </c>
    </row>
    <row r="1967" spans="1:10" x14ac:dyDescent="0.3">
      <c r="A1967" s="3" t="s">
        <v>2032</v>
      </c>
      <c r="B1967" s="4">
        <v>43743</v>
      </c>
      <c r="C1967" s="5">
        <v>15</v>
      </c>
      <c r="D1967" s="5" t="s">
        <v>33</v>
      </c>
      <c r="E1967" s="5" t="s">
        <v>39</v>
      </c>
      <c r="F1967" s="5" t="s">
        <v>16</v>
      </c>
      <c r="G1967" s="5" t="s">
        <v>10</v>
      </c>
      <c r="H1967" s="5">
        <v>39900</v>
      </c>
      <c r="I1967" s="5">
        <v>0</v>
      </c>
      <c r="J1967" s="9">
        <v>0</v>
      </c>
    </row>
    <row r="1968" spans="1:10" x14ac:dyDescent="0.3">
      <c r="A1968" s="3" t="s">
        <v>2033</v>
      </c>
      <c r="B1968" s="4">
        <v>43743</v>
      </c>
      <c r="C1968" s="5">
        <v>20</v>
      </c>
      <c r="D1968" s="5" t="s">
        <v>38</v>
      </c>
      <c r="E1968" s="5" t="s">
        <v>43</v>
      </c>
      <c r="F1968" s="5" t="s">
        <v>17</v>
      </c>
      <c r="G1968" s="5" t="s">
        <v>10</v>
      </c>
      <c r="H1968" s="5">
        <v>39900</v>
      </c>
      <c r="I1968" s="5">
        <v>9</v>
      </c>
      <c r="J1968" s="9">
        <v>359100</v>
      </c>
    </row>
    <row r="1969" spans="1:10" x14ac:dyDescent="0.3">
      <c r="A1969" s="3" t="s">
        <v>2034</v>
      </c>
      <c r="B1969" s="4">
        <v>43743</v>
      </c>
      <c r="C1969" s="5">
        <v>1</v>
      </c>
      <c r="D1969" s="5" t="s">
        <v>19</v>
      </c>
      <c r="E1969" s="5" t="s">
        <v>46</v>
      </c>
      <c r="F1969" s="5" t="s">
        <v>18</v>
      </c>
      <c r="G1969" s="5" t="s">
        <v>12</v>
      </c>
      <c r="H1969" s="5">
        <v>6900</v>
      </c>
      <c r="I1969" s="5">
        <v>2</v>
      </c>
      <c r="J1969" s="9">
        <v>13800</v>
      </c>
    </row>
    <row r="1970" spans="1:10" x14ac:dyDescent="0.3">
      <c r="A1970" s="3" t="s">
        <v>2035</v>
      </c>
      <c r="B1970" s="4">
        <v>43743</v>
      </c>
      <c r="C1970" s="5">
        <v>3</v>
      </c>
      <c r="D1970" s="5" t="s">
        <v>21</v>
      </c>
      <c r="E1970" s="5" t="s">
        <v>46</v>
      </c>
      <c r="F1970" s="5" t="s">
        <v>18</v>
      </c>
      <c r="G1970" s="5" t="s">
        <v>11</v>
      </c>
      <c r="H1970" s="5">
        <v>19900</v>
      </c>
      <c r="I1970" s="5">
        <v>1</v>
      </c>
      <c r="J1970" s="9">
        <v>19900</v>
      </c>
    </row>
    <row r="1971" spans="1:10" x14ac:dyDescent="0.3">
      <c r="A1971" s="3" t="s">
        <v>2036</v>
      </c>
      <c r="B1971" s="4">
        <v>43743</v>
      </c>
      <c r="C1971" s="5">
        <v>11</v>
      </c>
      <c r="D1971" s="5" t="s">
        <v>29</v>
      </c>
      <c r="E1971" s="5" t="s">
        <v>45</v>
      </c>
      <c r="F1971" s="5" t="s">
        <v>16</v>
      </c>
      <c r="G1971" s="5" t="s">
        <v>10</v>
      </c>
      <c r="H1971" s="5">
        <v>39900</v>
      </c>
      <c r="I1971" s="5">
        <v>2</v>
      </c>
      <c r="J1971" s="9">
        <v>79800</v>
      </c>
    </row>
    <row r="1972" spans="1:10" x14ac:dyDescent="0.3">
      <c r="A1972" s="3" t="s">
        <v>2037</v>
      </c>
      <c r="B1972" s="4">
        <v>43743</v>
      </c>
      <c r="C1972" s="5">
        <v>17</v>
      </c>
      <c r="D1972" s="5" t="s">
        <v>35</v>
      </c>
      <c r="E1972" s="5" t="s">
        <v>42</v>
      </c>
      <c r="F1972" s="5" t="s">
        <v>17</v>
      </c>
      <c r="G1972" s="5" t="s">
        <v>12</v>
      </c>
      <c r="H1972" s="5">
        <v>6900</v>
      </c>
      <c r="I1972" s="5">
        <v>6</v>
      </c>
      <c r="J1972" s="9">
        <v>41400</v>
      </c>
    </row>
    <row r="1973" spans="1:10" x14ac:dyDescent="0.3">
      <c r="A1973" s="3" t="s">
        <v>2038</v>
      </c>
      <c r="B1973" s="4">
        <v>43743</v>
      </c>
      <c r="C1973" s="5">
        <v>8</v>
      </c>
      <c r="D1973" s="5" t="s">
        <v>26</v>
      </c>
      <c r="E1973" s="5" t="s">
        <v>41</v>
      </c>
      <c r="F1973" s="5" t="s">
        <v>15</v>
      </c>
      <c r="G1973" s="5" t="s">
        <v>12</v>
      </c>
      <c r="H1973" s="5">
        <v>6900</v>
      </c>
      <c r="I1973" s="5">
        <v>0</v>
      </c>
      <c r="J1973" s="9">
        <v>0</v>
      </c>
    </row>
    <row r="1974" spans="1:10" x14ac:dyDescent="0.3">
      <c r="A1974" s="3" t="s">
        <v>2039</v>
      </c>
      <c r="B1974" s="4">
        <v>43743</v>
      </c>
      <c r="C1974" s="5">
        <v>12</v>
      </c>
      <c r="D1974" s="5" t="s">
        <v>30</v>
      </c>
      <c r="E1974" s="5" t="s">
        <v>39</v>
      </c>
      <c r="F1974" s="5" t="s">
        <v>16</v>
      </c>
      <c r="G1974" s="5" t="s">
        <v>10</v>
      </c>
      <c r="H1974" s="5">
        <v>39900</v>
      </c>
      <c r="I1974" s="5">
        <v>6</v>
      </c>
      <c r="J1974" s="9">
        <v>239400</v>
      </c>
    </row>
    <row r="1975" spans="1:10" x14ac:dyDescent="0.3">
      <c r="A1975" s="3" t="s">
        <v>2040</v>
      </c>
      <c r="B1975" s="4">
        <v>43744</v>
      </c>
      <c r="C1975" s="5">
        <v>19</v>
      </c>
      <c r="D1975" s="5" t="s">
        <v>37</v>
      </c>
      <c r="E1975" s="5" t="s">
        <v>42</v>
      </c>
      <c r="F1975" s="5" t="s">
        <v>17</v>
      </c>
      <c r="G1975" s="5" t="s">
        <v>13</v>
      </c>
      <c r="H1975" s="5">
        <v>28900</v>
      </c>
      <c r="I1975" s="5">
        <v>1</v>
      </c>
      <c r="J1975" s="9">
        <v>28900</v>
      </c>
    </row>
    <row r="1976" spans="1:10" x14ac:dyDescent="0.3">
      <c r="A1976" s="3" t="s">
        <v>2041</v>
      </c>
      <c r="B1976" s="4">
        <v>43745</v>
      </c>
      <c r="C1976" s="5">
        <v>6</v>
      </c>
      <c r="D1976" s="5" t="s">
        <v>24</v>
      </c>
      <c r="E1976" s="5" t="s">
        <v>41</v>
      </c>
      <c r="F1976" s="5" t="s">
        <v>15</v>
      </c>
      <c r="G1976" s="5" t="s">
        <v>14</v>
      </c>
      <c r="H1976" s="5">
        <v>15900</v>
      </c>
      <c r="I1976" s="5">
        <v>4</v>
      </c>
      <c r="J1976" s="9">
        <v>63600</v>
      </c>
    </row>
    <row r="1977" spans="1:10" x14ac:dyDescent="0.3">
      <c r="A1977" s="3" t="s">
        <v>2042</v>
      </c>
      <c r="B1977" s="4">
        <v>43745</v>
      </c>
      <c r="C1977" s="5">
        <v>15</v>
      </c>
      <c r="D1977" s="5" t="s">
        <v>33</v>
      </c>
      <c r="E1977" s="5" t="s">
        <v>39</v>
      </c>
      <c r="F1977" s="5" t="s">
        <v>16</v>
      </c>
      <c r="G1977" s="5" t="s">
        <v>14</v>
      </c>
      <c r="H1977" s="5">
        <v>15900</v>
      </c>
      <c r="I1977" s="5">
        <v>1</v>
      </c>
      <c r="J1977" s="9">
        <v>15900</v>
      </c>
    </row>
    <row r="1978" spans="1:10" x14ac:dyDescent="0.3">
      <c r="A1978" s="3" t="s">
        <v>2043</v>
      </c>
      <c r="B1978" s="4">
        <v>43746</v>
      </c>
      <c r="C1978" s="5">
        <v>10</v>
      </c>
      <c r="D1978" s="5" t="s">
        <v>28</v>
      </c>
      <c r="E1978" s="5" t="s">
        <v>41</v>
      </c>
      <c r="F1978" s="5" t="s">
        <v>15</v>
      </c>
      <c r="G1978" s="5" t="s">
        <v>14</v>
      </c>
      <c r="H1978" s="5">
        <v>15900</v>
      </c>
      <c r="I1978" s="5">
        <v>6</v>
      </c>
      <c r="J1978" s="9">
        <v>95400</v>
      </c>
    </row>
    <row r="1979" spans="1:10" x14ac:dyDescent="0.3">
      <c r="A1979" s="3" t="s">
        <v>2044</v>
      </c>
      <c r="B1979" s="4">
        <v>43746</v>
      </c>
      <c r="C1979" s="5">
        <v>14</v>
      </c>
      <c r="D1979" s="5" t="s">
        <v>32</v>
      </c>
      <c r="E1979" s="5" t="s">
        <v>45</v>
      </c>
      <c r="F1979" s="5" t="s">
        <v>16</v>
      </c>
      <c r="G1979" s="5" t="s">
        <v>11</v>
      </c>
      <c r="H1979" s="5">
        <v>19900</v>
      </c>
      <c r="I1979" s="5">
        <v>0</v>
      </c>
      <c r="J1979" s="9">
        <v>0</v>
      </c>
    </row>
    <row r="1980" spans="1:10" x14ac:dyDescent="0.3">
      <c r="A1980" s="3" t="s">
        <v>2045</v>
      </c>
      <c r="B1980" s="4">
        <v>43747</v>
      </c>
      <c r="C1980" s="5">
        <v>11</v>
      </c>
      <c r="D1980" s="5" t="s">
        <v>29</v>
      </c>
      <c r="E1980" s="5" t="s">
        <v>45</v>
      </c>
      <c r="F1980" s="5" t="s">
        <v>16</v>
      </c>
      <c r="G1980" s="5" t="s">
        <v>14</v>
      </c>
      <c r="H1980" s="5">
        <v>15900</v>
      </c>
      <c r="I1980" s="5">
        <v>0</v>
      </c>
      <c r="J1980" s="9">
        <v>0</v>
      </c>
    </row>
    <row r="1981" spans="1:10" x14ac:dyDescent="0.3">
      <c r="A1981" s="3" t="s">
        <v>2046</v>
      </c>
      <c r="B1981" s="4">
        <v>43747</v>
      </c>
      <c r="C1981" s="5">
        <v>17</v>
      </c>
      <c r="D1981" s="5" t="s">
        <v>35</v>
      </c>
      <c r="E1981" s="5" t="s">
        <v>42</v>
      </c>
      <c r="F1981" s="5" t="s">
        <v>17</v>
      </c>
      <c r="G1981" s="5" t="s">
        <v>12</v>
      </c>
      <c r="H1981" s="5">
        <v>6900</v>
      </c>
      <c r="I1981" s="5">
        <v>4</v>
      </c>
      <c r="J1981" s="9">
        <v>27600</v>
      </c>
    </row>
    <row r="1982" spans="1:10" x14ac:dyDescent="0.3">
      <c r="A1982" s="3" t="s">
        <v>2047</v>
      </c>
      <c r="B1982" s="4">
        <v>43747</v>
      </c>
      <c r="C1982" s="5">
        <v>12</v>
      </c>
      <c r="D1982" s="5" t="s">
        <v>30</v>
      </c>
      <c r="E1982" s="5" t="s">
        <v>39</v>
      </c>
      <c r="F1982" s="5" t="s">
        <v>16</v>
      </c>
      <c r="G1982" s="5" t="s">
        <v>13</v>
      </c>
      <c r="H1982" s="5">
        <v>28900</v>
      </c>
      <c r="I1982" s="5">
        <v>0</v>
      </c>
      <c r="J1982" s="9">
        <v>0</v>
      </c>
    </row>
    <row r="1983" spans="1:10" x14ac:dyDescent="0.3">
      <c r="A1983" s="3" t="s">
        <v>2048</v>
      </c>
      <c r="B1983" s="4">
        <v>43747</v>
      </c>
      <c r="C1983" s="5">
        <v>15</v>
      </c>
      <c r="D1983" s="5" t="s">
        <v>33</v>
      </c>
      <c r="E1983" s="5" t="s">
        <v>45</v>
      </c>
      <c r="F1983" s="5" t="s">
        <v>16</v>
      </c>
      <c r="G1983" s="5" t="s">
        <v>12</v>
      </c>
      <c r="H1983" s="5">
        <v>6900</v>
      </c>
      <c r="I1983" s="5">
        <v>1</v>
      </c>
      <c r="J1983" s="9">
        <v>6900</v>
      </c>
    </row>
    <row r="1984" spans="1:10" x14ac:dyDescent="0.3">
      <c r="A1984" s="3" t="s">
        <v>2049</v>
      </c>
      <c r="B1984" s="4">
        <v>43748</v>
      </c>
      <c r="C1984" s="5">
        <v>3</v>
      </c>
      <c r="D1984" s="5" t="s">
        <v>21</v>
      </c>
      <c r="E1984" s="5" t="s">
        <v>46</v>
      </c>
      <c r="F1984" s="5" t="s">
        <v>18</v>
      </c>
      <c r="G1984" s="5" t="s">
        <v>10</v>
      </c>
      <c r="H1984" s="5">
        <v>39900</v>
      </c>
      <c r="I1984" s="5">
        <v>1</v>
      </c>
      <c r="J1984" s="9">
        <v>39900</v>
      </c>
    </row>
    <row r="1985" spans="1:10" x14ac:dyDescent="0.3">
      <c r="A1985" s="3" t="s">
        <v>2050</v>
      </c>
      <c r="B1985" s="4">
        <v>43749</v>
      </c>
      <c r="C1985" s="5">
        <v>20</v>
      </c>
      <c r="D1985" s="5" t="s">
        <v>38</v>
      </c>
      <c r="E1985" s="5" t="s">
        <v>42</v>
      </c>
      <c r="F1985" s="5" t="s">
        <v>17</v>
      </c>
      <c r="G1985" s="5" t="s">
        <v>11</v>
      </c>
      <c r="H1985" s="5">
        <v>19900</v>
      </c>
      <c r="I1985" s="5">
        <v>1</v>
      </c>
      <c r="J1985" s="9">
        <v>19900</v>
      </c>
    </row>
    <row r="1986" spans="1:10" x14ac:dyDescent="0.3">
      <c r="A1986" s="3" t="s">
        <v>2051</v>
      </c>
      <c r="B1986" s="4">
        <v>43750</v>
      </c>
      <c r="C1986" s="5">
        <v>13</v>
      </c>
      <c r="D1986" s="5" t="s">
        <v>31</v>
      </c>
      <c r="E1986" s="5" t="s">
        <v>39</v>
      </c>
      <c r="F1986" s="5" t="s">
        <v>16</v>
      </c>
      <c r="G1986" s="5" t="s">
        <v>10</v>
      </c>
      <c r="H1986" s="5">
        <v>39900</v>
      </c>
      <c r="I1986" s="5">
        <v>3</v>
      </c>
      <c r="J1986" s="9">
        <v>119700</v>
      </c>
    </row>
    <row r="1987" spans="1:10" x14ac:dyDescent="0.3">
      <c r="A1987" s="3" t="s">
        <v>2052</v>
      </c>
      <c r="B1987" s="4">
        <v>43750</v>
      </c>
      <c r="C1987" s="5">
        <v>1</v>
      </c>
      <c r="D1987" s="5" t="s">
        <v>19</v>
      </c>
      <c r="E1987" s="5" t="s">
        <v>40</v>
      </c>
      <c r="F1987" s="5" t="s">
        <v>18</v>
      </c>
      <c r="G1987" s="5" t="s">
        <v>12</v>
      </c>
      <c r="H1987" s="5">
        <v>6900</v>
      </c>
      <c r="I1987" s="5">
        <v>8</v>
      </c>
      <c r="J1987" s="9">
        <v>55200</v>
      </c>
    </row>
    <row r="1988" spans="1:10" x14ac:dyDescent="0.3">
      <c r="A1988" s="3" t="s">
        <v>2053</v>
      </c>
      <c r="B1988" s="4">
        <v>43751</v>
      </c>
      <c r="C1988" s="5">
        <v>9</v>
      </c>
      <c r="D1988" s="5" t="s">
        <v>27</v>
      </c>
      <c r="E1988" s="5" t="s">
        <v>41</v>
      </c>
      <c r="F1988" s="5" t="s">
        <v>15</v>
      </c>
      <c r="G1988" s="5" t="s">
        <v>13</v>
      </c>
      <c r="H1988" s="5">
        <v>28900</v>
      </c>
      <c r="I1988" s="5">
        <v>0</v>
      </c>
      <c r="J1988" s="9">
        <v>0</v>
      </c>
    </row>
    <row r="1989" spans="1:10" x14ac:dyDescent="0.3">
      <c r="A1989" s="3" t="s">
        <v>2054</v>
      </c>
      <c r="B1989" s="4">
        <v>43751</v>
      </c>
      <c r="C1989" s="5">
        <v>2</v>
      </c>
      <c r="D1989" s="5" t="s">
        <v>20</v>
      </c>
      <c r="E1989" s="5" t="s">
        <v>46</v>
      </c>
      <c r="F1989" s="5" t="s">
        <v>18</v>
      </c>
      <c r="G1989" s="5" t="s">
        <v>11</v>
      </c>
      <c r="H1989" s="5">
        <v>19900</v>
      </c>
      <c r="I1989" s="5">
        <v>5</v>
      </c>
      <c r="J1989" s="9">
        <v>99500</v>
      </c>
    </row>
    <row r="1990" spans="1:10" x14ac:dyDescent="0.3">
      <c r="A1990" s="3" t="s">
        <v>2055</v>
      </c>
      <c r="B1990" s="4">
        <v>43751</v>
      </c>
      <c r="C1990" s="5">
        <v>12</v>
      </c>
      <c r="D1990" s="5" t="s">
        <v>30</v>
      </c>
      <c r="E1990" s="5" t="s">
        <v>45</v>
      </c>
      <c r="F1990" s="5" t="s">
        <v>16</v>
      </c>
      <c r="G1990" s="5" t="s">
        <v>13</v>
      </c>
      <c r="H1990" s="5">
        <v>28900</v>
      </c>
      <c r="I1990" s="5">
        <v>3</v>
      </c>
      <c r="J1990" s="9">
        <v>86700</v>
      </c>
    </row>
    <row r="1991" spans="1:10" x14ac:dyDescent="0.3">
      <c r="A1991" s="3" t="s">
        <v>2056</v>
      </c>
      <c r="B1991" s="4">
        <v>43751</v>
      </c>
      <c r="C1991" s="5">
        <v>11</v>
      </c>
      <c r="D1991" s="5" t="s">
        <v>29</v>
      </c>
      <c r="E1991" s="5" t="s">
        <v>39</v>
      </c>
      <c r="F1991" s="5" t="s">
        <v>16</v>
      </c>
      <c r="G1991" s="5" t="s">
        <v>11</v>
      </c>
      <c r="H1991" s="5">
        <v>19900</v>
      </c>
      <c r="I1991" s="5">
        <v>4</v>
      </c>
      <c r="J1991" s="9">
        <v>79600</v>
      </c>
    </row>
    <row r="1992" spans="1:10" x14ac:dyDescent="0.3">
      <c r="A1992" s="3" t="s">
        <v>2057</v>
      </c>
      <c r="B1992" s="4">
        <v>43752</v>
      </c>
      <c r="C1992" s="5">
        <v>3</v>
      </c>
      <c r="D1992" s="5" t="s">
        <v>21</v>
      </c>
      <c r="E1992" s="5" t="s">
        <v>40</v>
      </c>
      <c r="F1992" s="5" t="s">
        <v>18</v>
      </c>
      <c r="G1992" s="5" t="s">
        <v>11</v>
      </c>
      <c r="H1992" s="5">
        <v>19900</v>
      </c>
      <c r="I1992" s="5">
        <v>7</v>
      </c>
      <c r="J1992" s="9">
        <v>139300</v>
      </c>
    </row>
    <row r="1993" spans="1:10" x14ac:dyDescent="0.3">
      <c r="A1993" s="3" t="s">
        <v>2058</v>
      </c>
      <c r="B1993" s="4">
        <v>43753</v>
      </c>
      <c r="C1993" s="5">
        <v>5</v>
      </c>
      <c r="D1993" s="5" t="s">
        <v>23</v>
      </c>
      <c r="E1993" s="5" t="s">
        <v>40</v>
      </c>
      <c r="F1993" s="5" t="s">
        <v>18</v>
      </c>
      <c r="G1993" s="5" t="s">
        <v>14</v>
      </c>
      <c r="H1993" s="5">
        <v>15900</v>
      </c>
      <c r="I1993" s="5">
        <v>7</v>
      </c>
      <c r="J1993" s="9">
        <v>111300</v>
      </c>
    </row>
    <row r="1994" spans="1:10" x14ac:dyDescent="0.3">
      <c r="A1994" s="3" t="s">
        <v>2059</v>
      </c>
      <c r="B1994" s="4">
        <v>43754</v>
      </c>
      <c r="C1994" s="5">
        <v>15</v>
      </c>
      <c r="D1994" s="5" t="s">
        <v>33</v>
      </c>
      <c r="E1994" s="5" t="s">
        <v>45</v>
      </c>
      <c r="F1994" s="5" t="s">
        <v>16</v>
      </c>
      <c r="G1994" s="5" t="s">
        <v>11</v>
      </c>
      <c r="H1994" s="5">
        <v>19900</v>
      </c>
      <c r="I1994" s="5">
        <v>1</v>
      </c>
      <c r="J1994" s="9">
        <v>19900</v>
      </c>
    </row>
    <row r="1995" spans="1:10" x14ac:dyDescent="0.3">
      <c r="A1995" s="3" t="s">
        <v>2060</v>
      </c>
      <c r="B1995" s="4">
        <v>43754</v>
      </c>
      <c r="C1995" s="5">
        <v>3</v>
      </c>
      <c r="D1995" s="5" t="s">
        <v>21</v>
      </c>
      <c r="E1995" s="5" t="s">
        <v>40</v>
      </c>
      <c r="F1995" s="5" t="s">
        <v>18</v>
      </c>
      <c r="G1995" s="5" t="s">
        <v>12</v>
      </c>
      <c r="H1995" s="5">
        <v>6900</v>
      </c>
      <c r="I1995" s="5">
        <v>3</v>
      </c>
      <c r="J1995" s="9">
        <v>20700</v>
      </c>
    </row>
    <row r="1996" spans="1:10" x14ac:dyDescent="0.3">
      <c r="A1996" s="3" t="s">
        <v>2061</v>
      </c>
      <c r="B1996" s="4">
        <v>43754</v>
      </c>
      <c r="C1996" s="5">
        <v>1</v>
      </c>
      <c r="D1996" s="5" t="s">
        <v>19</v>
      </c>
      <c r="E1996" s="5" t="s">
        <v>40</v>
      </c>
      <c r="F1996" s="5" t="s">
        <v>18</v>
      </c>
      <c r="G1996" s="5" t="s">
        <v>11</v>
      </c>
      <c r="H1996" s="5">
        <v>19900</v>
      </c>
      <c r="I1996" s="5">
        <v>8</v>
      </c>
      <c r="J1996" s="9">
        <v>159200</v>
      </c>
    </row>
    <row r="1997" spans="1:10" x14ac:dyDescent="0.3">
      <c r="A1997" s="3" t="s">
        <v>2062</v>
      </c>
      <c r="B1997" s="4">
        <v>43754</v>
      </c>
      <c r="C1997" s="5">
        <v>9</v>
      </c>
      <c r="D1997" s="5" t="s">
        <v>27</v>
      </c>
      <c r="E1997" s="5" t="s">
        <v>44</v>
      </c>
      <c r="F1997" s="5" t="s">
        <v>15</v>
      </c>
      <c r="G1997" s="5" t="s">
        <v>12</v>
      </c>
      <c r="H1997" s="5">
        <v>6900</v>
      </c>
      <c r="I1997" s="5">
        <v>8</v>
      </c>
      <c r="J1997" s="9">
        <v>55200</v>
      </c>
    </row>
    <row r="1998" spans="1:10" x14ac:dyDescent="0.3">
      <c r="A1998" s="3" t="s">
        <v>2063</v>
      </c>
      <c r="B1998" s="4">
        <v>43754</v>
      </c>
      <c r="C1998" s="5">
        <v>5</v>
      </c>
      <c r="D1998" s="5" t="s">
        <v>23</v>
      </c>
      <c r="E1998" s="5" t="s">
        <v>46</v>
      </c>
      <c r="F1998" s="5" t="s">
        <v>18</v>
      </c>
      <c r="G1998" s="5" t="s">
        <v>12</v>
      </c>
      <c r="H1998" s="5">
        <v>6900</v>
      </c>
      <c r="I1998" s="5">
        <v>6</v>
      </c>
      <c r="J1998" s="9">
        <v>41400</v>
      </c>
    </row>
    <row r="1999" spans="1:10" x14ac:dyDescent="0.3">
      <c r="A1999" s="3" t="s">
        <v>2064</v>
      </c>
      <c r="B1999" s="4">
        <v>43754</v>
      </c>
      <c r="C1999" s="5">
        <v>3</v>
      </c>
      <c r="D1999" s="5" t="s">
        <v>21</v>
      </c>
      <c r="E1999" s="5" t="s">
        <v>46</v>
      </c>
      <c r="F1999" s="5" t="s">
        <v>18</v>
      </c>
      <c r="G1999" s="5" t="s">
        <v>10</v>
      </c>
      <c r="H1999" s="5">
        <v>39900</v>
      </c>
      <c r="I1999" s="5">
        <v>6</v>
      </c>
      <c r="J1999" s="9">
        <v>239400</v>
      </c>
    </row>
    <row r="2000" spans="1:10" x14ac:dyDescent="0.3">
      <c r="A2000" s="3" t="s">
        <v>2065</v>
      </c>
      <c r="B2000" s="4">
        <v>43754</v>
      </c>
      <c r="C2000" s="5">
        <v>6</v>
      </c>
      <c r="D2000" s="5" t="s">
        <v>24</v>
      </c>
      <c r="E2000" s="5" t="s">
        <v>44</v>
      </c>
      <c r="F2000" s="5" t="s">
        <v>15</v>
      </c>
      <c r="G2000" s="5" t="s">
        <v>13</v>
      </c>
      <c r="H2000" s="5">
        <v>28900</v>
      </c>
      <c r="I2000" s="5">
        <v>1</v>
      </c>
      <c r="J2000" s="9">
        <v>28900</v>
      </c>
    </row>
    <row r="2001" spans="1:10" x14ac:dyDescent="0.3">
      <c r="A2001" s="3" t="s">
        <v>2066</v>
      </c>
      <c r="B2001" s="4">
        <v>43754</v>
      </c>
      <c r="C2001" s="5">
        <v>14</v>
      </c>
      <c r="D2001" s="5" t="s">
        <v>32</v>
      </c>
      <c r="E2001" s="5" t="s">
        <v>39</v>
      </c>
      <c r="F2001" s="5" t="s">
        <v>16</v>
      </c>
      <c r="G2001" s="5" t="s">
        <v>11</v>
      </c>
      <c r="H2001" s="5">
        <v>19900</v>
      </c>
      <c r="I2001" s="5">
        <v>4</v>
      </c>
      <c r="J2001" s="9">
        <v>79600</v>
      </c>
    </row>
    <row r="2002" spans="1:10" x14ac:dyDescent="0.3">
      <c r="A2002" s="3"/>
      <c r="B2002" s="4"/>
      <c r="C2002" s="5"/>
      <c r="D2002" s="5"/>
      <c r="E2002" s="5"/>
      <c r="F2002" s="5"/>
      <c r="G2002" s="5"/>
      <c r="H2002" s="5"/>
      <c r="I2002" s="5"/>
      <c r="J2002" s="5"/>
    </row>
  </sheetData>
  <phoneticPr fontId="2"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9AFC8-E32F-457F-BB09-3A8362428DE4}">
  <sheetPr codeName="Sheet2">
    <tabColor rgb="FF7030A0"/>
  </sheetPr>
  <dimension ref="A1"/>
  <sheetViews>
    <sheetView showGridLines="0" tabSelected="1" zoomScale="90" zoomScaleNormal="90" workbookViewId="0">
      <selection activeCell="X10" sqref="X10"/>
    </sheetView>
  </sheetViews>
  <sheetFormatPr defaultRowHeight="14.4" x14ac:dyDescent="0.3"/>
  <sheetData/>
  <pageMargins left="0.7" right="0.7" top="0.75" bottom="0.75" header="0.3" footer="0.3"/>
  <pageSetup scale="35" fitToWidth="0" fitToHeight="0" orientation="portrait" r:id="rId1"/>
  <drawing r:id="rId2"/>
  <picture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FD780-EEFF-41EB-9378-09CF5FCA3506}">
  <sheetPr codeName="Sheet3">
    <tabColor rgb="FF92D050"/>
  </sheetPr>
  <dimension ref="A3:B28"/>
  <sheetViews>
    <sheetView workbookViewId="0">
      <selection activeCell="B8" sqref="B8"/>
    </sheetView>
  </sheetViews>
  <sheetFormatPr defaultRowHeight="14.4" x14ac:dyDescent="0.3"/>
  <cols>
    <col min="1" max="1" width="12.5546875" bestFit="1" customWidth="1"/>
    <col min="2" max="2" width="14.88671875" bestFit="1" customWidth="1"/>
  </cols>
  <sheetData>
    <row r="3" spans="1:2" x14ac:dyDescent="0.3">
      <c r="A3" s="6" t="s">
        <v>47</v>
      </c>
      <c r="B3" t="s">
        <v>63</v>
      </c>
    </row>
    <row r="4" spans="1:2" x14ac:dyDescent="0.3">
      <c r="A4" s="7" t="s">
        <v>49</v>
      </c>
      <c r="B4" s="11">
        <v>115815100</v>
      </c>
    </row>
    <row r="5" spans="1:2" x14ac:dyDescent="0.3">
      <c r="A5" s="8" t="s">
        <v>50</v>
      </c>
      <c r="B5" s="11">
        <v>9275900</v>
      </c>
    </row>
    <row r="6" spans="1:2" x14ac:dyDescent="0.3">
      <c r="A6" s="8" t="s">
        <v>51</v>
      </c>
      <c r="B6" s="11">
        <v>9309600</v>
      </c>
    </row>
    <row r="7" spans="1:2" x14ac:dyDescent="0.3">
      <c r="A7" s="8" t="s">
        <v>52</v>
      </c>
      <c r="B7" s="11">
        <v>10330900</v>
      </c>
    </row>
    <row r="8" spans="1:2" x14ac:dyDescent="0.3">
      <c r="A8" s="8" t="s">
        <v>53</v>
      </c>
      <c r="B8" s="11">
        <v>9339200</v>
      </c>
    </row>
    <row r="9" spans="1:2" x14ac:dyDescent="0.3">
      <c r="A9" s="8" t="s">
        <v>54</v>
      </c>
      <c r="B9" s="11">
        <v>11852300</v>
      </c>
    </row>
    <row r="10" spans="1:2" x14ac:dyDescent="0.3">
      <c r="A10" s="8" t="s">
        <v>55</v>
      </c>
      <c r="B10" s="11">
        <v>10511300</v>
      </c>
    </row>
    <row r="11" spans="1:2" x14ac:dyDescent="0.3">
      <c r="A11" s="8" t="s">
        <v>56</v>
      </c>
      <c r="B11" s="11">
        <v>8669400</v>
      </c>
    </row>
    <row r="12" spans="1:2" x14ac:dyDescent="0.3">
      <c r="A12" s="8" t="s">
        <v>57</v>
      </c>
      <c r="B12" s="11">
        <v>9614300</v>
      </c>
    </row>
    <row r="13" spans="1:2" x14ac:dyDescent="0.3">
      <c r="A13" s="8" t="s">
        <v>58</v>
      </c>
      <c r="B13" s="11">
        <v>8945900</v>
      </c>
    </row>
    <row r="14" spans="1:2" x14ac:dyDescent="0.3">
      <c r="A14" s="8" t="s">
        <v>59</v>
      </c>
      <c r="B14" s="11">
        <v>8889100</v>
      </c>
    </row>
    <row r="15" spans="1:2" x14ac:dyDescent="0.3">
      <c r="A15" s="8" t="s">
        <v>60</v>
      </c>
      <c r="B15" s="11">
        <v>9969900</v>
      </c>
    </row>
    <row r="16" spans="1:2" x14ac:dyDescent="0.3">
      <c r="A16" s="8" t="s">
        <v>61</v>
      </c>
      <c r="B16" s="11">
        <v>9107300</v>
      </c>
    </row>
    <row r="17" spans="1:2" x14ac:dyDescent="0.3">
      <c r="A17" s="7" t="s">
        <v>62</v>
      </c>
      <c r="B17" s="11">
        <v>87044000</v>
      </c>
    </row>
    <row r="18" spans="1:2" x14ac:dyDescent="0.3">
      <c r="A18" s="8" t="s">
        <v>50</v>
      </c>
      <c r="B18" s="11">
        <v>8429300</v>
      </c>
    </row>
    <row r="19" spans="1:2" x14ac:dyDescent="0.3">
      <c r="A19" s="8" t="s">
        <v>51</v>
      </c>
      <c r="B19" s="11">
        <v>10603300</v>
      </c>
    </row>
    <row r="20" spans="1:2" x14ac:dyDescent="0.3">
      <c r="A20" s="8" t="s">
        <v>52</v>
      </c>
      <c r="B20" s="11">
        <v>12707400</v>
      </c>
    </row>
    <row r="21" spans="1:2" x14ac:dyDescent="0.3">
      <c r="A21" s="8" t="s">
        <v>53</v>
      </c>
      <c r="B21" s="11">
        <v>9240000</v>
      </c>
    </row>
    <row r="22" spans="1:2" x14ac:dyDescent="0.3">
      <c r="A22" s="8" t="s">
        <v>54</v>
      </c>
      <c r="B22" s="11">
        <v>9163700</v>
      </c>
    </row>
    <row r="23" spans="1:2" x14ac:dyDescent="0.3">
      <c r="A23" s="8" t="s">
        <v>55</v>
      </c>
      <c r="B23" s="11">
        <v>8801200</v>
      </c>
    </row>
    <row r="24" spans="1:2" x14ac:dyDescent="0.3">
      <c r="A24" s="8" t="s">
        <v>56</v>
      </c>
      <c r="B24" s="11">
        <v>7198000</v>
      </c>
    </row>
    <row r="25" spans="1:2" x14ac:dyDescent="0.3">
      <c r="A25" s="8" t="s">
        <v>57</v>
      </c>
      <c r="B25" s="11">
        <v>8883800</v>
      </c>
    </row>
    <row r="26" spans="1:2" x14ac:dyDescent="0.3">
      <c r="A26" s="8" t="s">
        <v>58</v>
      </c>
      <c r="B26" s="11">
        <v>8275800</v>
      </c>
    </row>
    <row r="27" spans="1:2" x14ac:dyDescent="0.3">
      <c r="A27" s="8" t="s">
        <v>59</v>
      </c>
      <c r="B27" s="11">
        <v>3741500</v>
      </c>
    </row>
    <row r="28" spans="1:2" x14ac:dyDescent="0.3">
      <c r="A28" s="7" t="s">
        <v>48</v>
      </c>
      <c r="B28" s="11">
        <v>202859100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415BE-118A-4503-A740-43A1B1286E92}">
  <sheetPr codeName="Sheet4">
    <tabColor rgb="FF00B0F0"/>
  </sheetPr>
  <dimension ref="A4:B29"/>
  <sheetViews>
    <sheetView workbookViewId="0">
      <selection activeCell="K17" sqref="K17"/>
    </sheetView>
  </sheetViews>
  <sheetFormatPr defaultRowHeight="14.4" x14ac:dyDescent="0.3"/>
  <cols>
    <col min="1" max="1" width="12.5546875" bestFit="1" customWidth="1"/>
    <col min="2" max="2" width="14.88671875" bestFit="1" customWidth="1"/>
  </cols>
  <sheetData>
    <row r="4" spans="1:2" x14ac:dyDescent="0.3">
      <c r="A4" s="6" t="s">
        <v>47</v>
      </c>
      <c r="B4" t="s">
        <v>65</v>
      </c>
    </row>
    <row r="5" spans="1:2" x14ac:dyDescent="0.3">
      <c r="A5" s="7" t="s">
        <v>49</v>
      </c>
      <c r="B5" s="11">
        <v>5259</v>
      </c>
    </row>
    <row r="6" spans="1:2" x14ac:dyDescent="0.3">
      <c r="A6" s="8" t="s">
        <v>50</v>
      </c>
      <c r="B6" s="11">
        <v>421</v>
      </c>
    </row>
    <row r="7" spans="1:2" x14ac:dyDescent="0.3">
      <c r="A7" s="8" t="s">
        <v>51</v>
      </c>
      <c r="B7" s="11">
        <v>414</v>
      </c>
    </row>
    <row r="8" spans="1:2" x14ac:dyDescent="0.3">
      <c r="A8" s="8" t="s">
        <v>52</v>
      </c>
      <c r="B8" s="11">
        <v>481</v>
      </c>
    </row>
    <row r="9" spans="1:2" x14ac:dyDescent="0.3">
      <c r="A9" s="8" t="s">
        <v>53</v>
      </c>
      <c r="B9" s="11">
        <v>438</v>
      </c>
    </row>
    <row r="10" spans="1:2" x14ac:dyDescent="0.3">
      <c r="A10" s="8" t="s">
        <v>54</v>
      </c>
      <c r="B10" s="11">
        <v>597</v>
      </c>
    </row>
    <row r="11" spans="1:2" x14ac:dyDescent="0.3">
      <c r="A11" s="8" t="s">
        <v>55</v>
      </c>
      <c r="B11" s="11">
        <v>437</v>
      </c>
    </row>
    <row r="12" spans="1:2" x14ac:dyDescent="0.3">
      <c r="A12" s="8" t="s">
        <v>56</v>
      </c>
      <c r="B12" s="11">
        <v>406</v>
      </c>
    </row>
    <row r="13" spans="1:2" x14ac:dyDescent="0.3">
      <c r="A13" s="8" t="s">
        <v>57</v>
      </c>
      <c r="B13" s="11">
        <v>407</v>
      </c>
    </row>
    <row r="14" spans="1:2" x14ac:dyDescent="0.3">
      <c r="A14" s="8" t="s">
        <v>58</v>
      </c>
      <c r="B14" s="11">
        <v>411</v>
      </c>
    </row>
    <row r="15" spans="1:2" x14ac:dyDescent="0.3">
      <c r="A15" s="8" t="s">
        <v>59</v>
      </c>
      <c r="B15" s="11">
        <v>409</v>
      </c>
    </row>
    <row r="16" spans="1:2" x14ac:dyDescent="0.3">
      <c r="A16" s="8" t="s">
        <v>60</v>
      </c>
      <c r="B16" s="11">
        <v>421</v>
      </c>
    </row>
    <row r="17" spans="1:2" x14ac:dyDescent="0.3">
      <c r="A17" s="8" t="s">
        <v>61</v>
      </c>
      <c r="B17" s="11">
        <v>417</v>
      </c>
    </row>
    <row r="18" spans="1:2" x14ac:dyDescent="0.3">
      <c r="A18" s="7" t="s">
        <v>62</v>
      </c>
      <c r="B18" s="11">
        <v>3860</v>
      </c>
    </row>
    <row r="19" spans="1:2" x14ac:dyDescent="0.3">
      <c r="A19" s="8" t="s">
        <v>50</v>
      </c>
      <c r="B19" s="11">
        <v>387</v>
      </c>
    </row>
    <row r="20" spans="1:2" x14ac:dyDescent="0.3">
      <c r="A20" s="8" t="s">
        <v>51</v>
      </c>
      <c r="B20" s="11">
        <v>437</v>
      </c>
    </row>
    <row r="21" spans="1:2" x14ac:dyDescent="0.3">
      <c r="A21" s="8" t="s">
        <v>52</v>
      </c>
      <c r="B21" s="11">
        <v>516</v>
      </c>
    </row>
    <row r="22" spans="1:2" x14ac:dyDescent="0.3">
      <c r="A22" s="8" t="s">
        <v>53</v>
      </c>
      <c r="B22" s="11">
        <v>400</v>
      </c>
    </row>
    <row r="23" spans="1:2" x14ac:dyDescent="0.3">
      <c r="A23" s="8" t="s">
        <v>54</v>
      </c>
      <c r="B23" s="11">
        <v>453</v>
      </c>
    </row>
    <row r="24" spans="1:2" x14ac:dyDescent="0.3">
      <c r="A24" s="8" t="s">
        <v>55</v>
      </c>
      <c r="B24" s="11">
        <v>388</v>
      </c>
    </row>
    <row r="25" spans="1:2" x14ac:dyDescent="0.3">
      <c r="A25" s="8" t="s">
        <v>56</v>
      </c>
      <c r="B25" s="11">
        <v>310</v>
      </c>
    </row>
    <row r="26" spans="1:2" x14ac:dyDescent="0.3">
      <c r="A26" s="8" t="s">
        <v>57</v>
      </c>
      <c r="B26" s="11">
        <v>432</v>
      </c>
    </row>
    <row r="27" spans="1:2" x14ac:dyDescent="0.3">
      <c r="A27" s="8" t="s">
        <v>58</v>
      </c>
      <c r="B27" s="11">
        <v>362</v>
      </c>
    </row>
    <row r="28" spans="1:2" x14ac:dyDescent="0.3">
      <c r="A28" s="8" t="s">
        <v>59</v>
      </c>
      <c r="B28" s="11">
        <v>175</v>
      </c>
    </row>
    <row r="29" spans="1:2" x14ac:dyDescent="0.3">
      <c r="A29" s="7" t="s">
        <v>48</v>
      </c>
      <c r="B29" s="11">
        <v>9119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C8BC6-AB8A-4C2A-914C-E65FF83D5DFC}">
  <sheetPr codeName="Sheet5">
    <tabColor rgb="FF00B050"/>
  </sheetPr>
  <dimension ref="A3:F8"/>
  <sheetViews>
    <sheetView workbookViewId="0">
      <selection activeCell="B8" sqref="B8"/>
    </sheetView>
  </sheetViews>
  <sheetFormatPr defaultRowHeight="14.4" x14ac:dyDescent="0.3"/>
  <cols>
    <col min="1" max="1" width="14.88671875" bestFit="1" customWidth="1"/>
    <col min="2" max="2" width="15.5546875" bestFit="1" customWidth="1"/>
    <col min="3" max="3" width="11.77734375" bestFit="1" customWidth="1"/>
    <col min="4" max="4" width="9.33203125" bestFit="1" customWidth="1"/>
    <col min="5" max="5" width="12.5546875" bestFit="1" customWidth="1"/>
    <col min="6" max="6" width="10.77734375" bestFit="1" customWidth="1"/>
  </cols>
  <sheetData>
    <row r="3" spans="1:6" x14ac:dyDescent="0.3">
      <c r="B3" s="6" t="s">
        <v>64</v>
      </c>
    </row>
    <row r="4" spans="1:6" x14ac:dyDescent="0.3">
      <c r="B4" t="s">
        <v>16</v>
      </c>
      <c r="C4" t="s">
        <v>17</v>
      </c>
      <c r="D4" t="s">
        <v>15</v>
      </c>
      <c r="E4" t="s">
        <v>18</v>
      </c>
      <c r="F4" t="s">
        <v>48</v>
      </c>
    </row>
    <row r="5" spans="1:6" x14ac:dyDescent="0.3">
      <c r="A5" t="s">
        <v>63</v>
      </c>
      <c r="B5" s="11">
        <v>49298400</v>
      </c>
      <c r="C5" s="11">
        <v>49535300</v>
      </c>
      <c r="D5" s="11">
        <v>50811900</v>
      </c>
      <c r="E5" s="11">
        <v>53213500</v>
      </c>
      <c r="F5" s="11">
        <v>202859100</v>
      </c>
    </row>
    <row r="7" spans="1:6" x14ac:dyDescent="0.3">
      <c r="B7" s="10" t="s">
        <v>16</v>
      </c>
      <c r="C7" s="10" t="s">
        <v>17</v>
      </c>
      <c r="D7" s="10" t="s">
        <v>15</v>
      </c>
      <c r="E7" s="10" t="s">
        <v>18</v>
      </c>
      <c r="F7" s="10" t="s">
        <v>48</v>
      </c>
    </row>
    <row r="8" spans="1:6" x14ac:dyDescent="0.3">
      <c r="A8" t="str">
        <f>A5</f>
        <v>Sum of Revenue</v>
      </c>
      <c r="B8">
        <f>GETPIVOTDATA("Revenue",$A$3,"Region","Gujarat")</f>
        <v>49298400</v>
      </c>
      <c r="C8">
        <f>GETPIVOTDATA("Revenue",$A$3,"Region","Maharashtra")</f>
        <v>49535300</v>
      </c>
      <c r="D8">
        <f>GETPIVOTDATA("Revenue",$A$3,"Region","Rajasthan")</f>
        <v>50811900</v>
      </c>
      <c r="E8">
        <f>GETPIVOTDATA("Revenue",$A$3,"Region","Uttar Pradesh")</f>
        <v>53213500</v>
      </c>
      <c r="F8">
        <f>GETPIVOTDATA("Revenue",$A$3)</f>
        <v>202859100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FE871-B148-4523-B8A1-E352D00AB780}">
  <sheetPr codeName="Sheet6">
    <tabColor theme="8" tint="-0.499984740745262"/>
  </sheetPr>
  <dimension ref="A3:F9"/>
  <sheetViews>
    <sheetView workbookViewId="0">
      <selection activeCell="D23" sqref="D23"/>
    </sheetView>
  </sheetViews>
  <sheetFormatPr defaultRowHeight="14.4" x14ac:dyDescent="0.3"/>
  <cols>
    <col min="1" max="1" width="14.88671875" bestFit="1" customWidth="1"/>
    <col min="2" max="2" width="15.5546875" bestFit="1" customWidth="1"/>
    <col min="3" max="3" width="11.77734375" bestFit="1" customWidth="1"/>
    <col min="4" max="4" width="9.33203125" bestFit="1" customWidth="1"/>
    <col min="5" max="5" width="12.5546875" bestFit="1" customWidth="1"/>
    <col min="6" max="6" width="10.77734375" bestFit="1" customWidth="1"/>
  </cols>
  <sheetData>
    <row r="3" spans="1:6" x14ac:dyDescent="0.3">
      <c r="B3" s="6" t="s">
        <v>64</v>
      </c>
    </row>
    <row r="4" spans="1:6" x14ac:dyDescent="0.3">
      <c r="B4" t="s">
        <v>16</v>
      </c>
      <c r="C4" t="s">
        <v>17</v>
      </c>
      <c r="D4" t="s">
        <v>15</v>
      </c>
      <c r="E4" t="s">
        <v>18</v>
      </c>
      <c r="F4" t="s">
        <v>48</v>
      </c>
    </row>
    <row r="5" spans="1:6" x14ac:dyDescent="0.3">
      <c r="A5" t="s">
        <v>65</v>
      </c>
      <c r="B5" s="11">
        <v>2206</v>
      </c>
      <c r="C5" s="11">
        <v>2277</v>
      </c>
      <c r="D5" s="11">
        <v>2241</v>
      </c>
      <c r="E5" s="11">
        <v>2395</v>
      </c>
      <c r="F5" s="11">
        <v>9119</v>
      </c>
    </row>
    <row r="8" spans="1:6" x14ac:dyDescent="0.3">
      <c r="B8" s="10" t="s">
        <v>16</v>
      </c>
      <c r="C8" s="10" t="s">
        <v>17</v>
      </c>
      <c r="D8" s="10" t="s">
        <v>15</v>
      </c>
      <c r="E8" s="10" t="s">
        <v>18</v>
      </c>
    </row>
    <row r="9" spans="1:6" x14ac:dyDescent="0.3">
      <c r="A9" t="s">
        <v>66</v>
      </c>
      <c r="B9">
        <f>GETPIVOTDATA("Quantity",$A$3,"Region","Gujarat")</f>
        <v>2206</v>
      </c>
      <c r="C9">
        <f>GETPIVOTDATA("Quantity",$A$3,"Region","Maharashtra")</f>
        <v>2277</v>
      </c>
      <c r="D9">
        <f>GETPIVOTDATA("Quantity",$A$3,"Region","Rajasthan")</f>
        <v>2241</v>
      </c>
      <c r="E9">
        <f>GETPIVOTDATA("Quantity",$A$3,"Region","Uttar Pradesh")</f>
        <v>2395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89554-AA4A-4480-B186-EA1863F2BF4C}">
  <sheetPr codeName="Sheet7">
    <tabColor rgb="FF92D050"/>
  </sheetPr>
  <dimension ref="A3:J7"/>
  <sheetViews>
    <sheetView workbookViewId="0">
      <selection activeCell="A3" sqref="A3:J7"/>
      <pivotSelection pane="bottomRight" activeRow="2" previousRow="2" click="1" r:id="rId1">
        <pivotArea type="all" dataOnly="0" outline="0" fieldPosition="0"/>
      </pivotSelection>
    </sheetView>
  </sheetViews>
  <sheetFormatPr defaultRowHeight="14.4" x14ac:dyDescent="0.3"/>
  <cols>
    <col min="1" max="1" width="14.88671875" bestFit="1" customWidth="1"/>
    <col min="2" max="2" width="15.6640625" bestFit="1" customWidth="1"/>
    <col min="3" max="3" width="11.44140625" bestFit="1" customWidth="1"/>
    <col min="4" max="4" width="14.109375" bestFit="1" customWidth="1"/>
    <col min="5" max="5" width="13.21875" bestFit="1" customWidth="1"/>
    <col min="6" max="6" width="9" bestFit="1" customWidth="1"/>
    <col min="7" max="7" width="10.5546875" bestFit="1" customWidth="1"/>
    <col min="8" max="8" width="11.33203125" bestFit="1" customWidth="1"/>
    <col min="9" max="9" width="14.21875" bestFit="1" customWidth="1"/>
    <col min="10" max="10" width="10.77734375" bestFit="1" customWidth="1"/>
  </cols>
  <sheetData>
    <row r="3" spans="1:10" x14ac:dyDescent="0.3">
      <c r="A3" s="6" t="s">
        <v>63</v>
      </c>
      <c r="B3" s="6" t="s">
        <v>64</v>
      </c>
    </row>
    <row r="4" spans="1:10" x14ac:dyDescent="0.3">
      <c r="A4" s="6" t="s">
        <v>47</v>
      </c>
      <c r="B4" t="s">
        <v>40</v>
      </c>
      <c r="C4" t="s">
        <v>41</v>
      </c>
      <c r="D4" t="s">
        <v>39</v>
      </c>
      <c r="E4" t="s">
        <v>44</v>
      </c>
      <c r="F4" t="s">
        <v>43</v>
      </c>
      <c r="G4" t="s">
        <v>46</v>
      </c>
      <c r="H4" t="s">
        <v>42</v>
      </c>
      <c r="I4" t="s">
        <v>45</v>
      </c>
      <c r="J4" t="s">
        <v>48</v>
      </c>
    </row>
    <row r="5" spans="1:10" x14ac:dyDescent="0.3">
      <c r="A5" s="7" t="s">
        <v>49</v>
      </c>
      <c r="B5" s="11">
        <v>14161400</v>
      </c>
      <c r="C5" s="11">
        <v>12634400</v>
      </c>
      <c r="D5" s="11">
        <v>15511100</v>
      </c>
      <c r="E5" s="11">
        <v>17683800</v>
      </c>
      <c r="F5" s="11">
        <v>13843700</v>
      </c>
      <c r="G5" s="11">
        <v>13545500</v>
      </c>
      <c r="H5" s="11">
        <v>15720700</v>
      </c>
      <c r="I5" s="11">
        <v>12714500</v>
      </c>
      <c r="J5" s="11">
        <v>115815100</v>
      </c>
    </row>
    <row r="6" spans="1:10" x14ac:dyDescent="0.3">
      <c r="A6" s="7" t="s">
        <v>62</v>
      </c>
      <c r="B6" s="11">
        <v>13476400</v>
      </c>
      <c r="C6" s="11">
        <v>10544400</v>
      </c>
      <c r="D6" s="11">
        <v>9667900</v>
      </c>
      <c r="E6" s="11">
        <v>9949300</v>
      </c>
      <c r="F6" s="11">
        <v>10524400</v>
      </c>
      <c r="G6" s="11">
        <v>12030200</v>
      </c>
      <c r="H6" s="11">
        <v>9446500</v>
      </c>
      <c r="I6" s="11">
        <v>11404900</v>
      </c>
      <c r="J6" s="11">
        <v>87044000</v>
      </c>
    </row>
    <row r="7" spans="1:10" x14ac:dyDescent="0.3">
      <c r="A7" s="7" t="s">
        <v>48</v>
      </c>
      <c r="B7" s="11">
        <v>27637800</v>
      </c>
      <c r="C7" s="11">
        <v>23178800</v>
      </c>
      <c r="D7" s="11">
        <v>25179000</v>
      </c>
      <c r="E7" s="11">
        <v>27633100</v>
      </c>
      <c r="F7" s="11">
        <v>24368100</v>
      </c>
      <c r="G7" s="11">
        <v>25575700</v>
      </c>
      <c r="H7" s="11">
        <v>25167200</v>
      </c>
      <c r="I7" s="11">
        <v>24119400</v>
      </c>
      <c r="J7" s="11">
        <v>202859100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ABCFE-14E5-4AB4-B8B2-50F446C9004B}">
  <sheetPr codeName="Sheet8">
    <tabColor rgb="FF00B0F0"/>
  </sheetPr>
  <dimension ref="A3:J7"/>
  <sheetViews>
    <sheetView workbookViewId="0">
      <selection activeCell="I16" sqref="I16"/>
    </sheetView>
  </sheetViews>
  <sheetFormatPr defaultRowHeight="14.4" x14ac:dyDescent="0.3"/>
  <cols>
    <col min="1" max="1" width="14.88671875" bestFit="1" customWidth="1"/>
    <col min="2" max="2" width="15.6640625" bestFit="1" customWidth="1"/>
    <col min="3" max="3" width="11.44140625" bestFit="1" customWidth="1"/>
    <col min="4" max="4" width="14.109375" bestFit="1" customWidth="1"/>
    <col min="5" max="5" width="13.21875" bestFit="1" customWidth="1"/>
    <col min="6" max="6" width="8.77734375" bestFit="1" customWidth="1"/>
    <col min="7" max="7" width="10.5546875" bestFit="1" customWidth="1"/>
    <col min="8" max="8" width="11.33203125" bestFit="1" customWidth="1"/>
    <col min="9" max="9" width="14.21875" bestFit="1" customWidth="1"/>
    <col min="10" max="10" width="10.77734375" bestFit="1" customWidth="1"/>
  </cols>
  <sheetData>
    <row r="3" spans="1:10" x14ac:dyDescent="0.3">
      <c r="A3" s="6" t="s">
        <v>65</v>
      </c>
      <c r="B3" s="6" t="s">
        <v>64</v>
      </c>
    </row>
    <row r="4" spans="1:10" x14ac:dyDescent="0.3">
      <c r="A4" s="6" t="s">
        <v>47</v>
      </c>
      <c r="B4" t="s">
        <v>40</v>
      </c>
      <c r="C4" t="s">
        <v>41</v>
      </c>
      <c r="D4" t="s">
        <v>39</v>
      </c>
      <c r="E4" t="s">
        <v>44</v>
      </c>
      <c r="F4" t="s">
        <v>43</v>
      </c>
      <c r="G4" t="s">
        <v>46</v>
      </c>
      <c r="H4" t="s">
        <v>42</v>
      </c>
      <c r="I4" t="s">
        <v>45</v>
      </c>
      <c r="J4" t="s">
        <v>48</v>
      </c>
    </row>
    <row r="5" spans="1:10" x14ac:dyDescent="0.3">
      <c r="A5" s="7" t="s">
        <v>49</v>
      </c>
      <c r="B5" s="11">
        <v>656</v>
      </c>
      <c r="C5" s="11">
        <v>566</v>
      </c>
      <c r="D5" s="11">
        <v>669</v>
      </c>
      <c r="E5" s="11">
        <v>762</v>
      </c>
      <c r="F5" s="11">
        <v>663</v>
      </c>
      <c r="G5" s="11">
        <v>615</v>
      </c>
      <c r="H5" s="11">
        <v>743</v>
      </c>
      <c r="I5" s="11">
        <v>585</v>
      </c>
      <c r="J5" s="11">
        <v>5259</v>
      </c>
    </row>
    <row r="6" spans="1:10" x14ac:dyDescent="0.3">
      <c r="A6" s="7" t="s">
        <v>62</v>
      </c>
      <c r="B6" s="11">
        <v>576</v>
      </c>
      <c r="C6" s="11">
        <v>456</v>
      </c>
      <c r="D6" s="11">
        <v>431</v>
      </c>
      <c r="E6" s="11">
        <v>457</v>
      </c>
      <c r="F6" s="11">
        <v>476</v>
      </c>
      <c r="G6" s="11">
        <v>548</v>
      </c>
      <c r="H6" s="11">
        <v>395</v>
      </c>
      <c r="I6" s="11">
        <v>521</v>
      </c>
      <c r="J6" s="11">
        <v>3860</v>
      </c>
    </row>
    <row r="7" spans="1:10" x14ac:dyDescent="0.3">
      <c r="A7" s="7" t="s">
        <v>48</v>
      </c>
      <c r="B7" s="11">
        <v>1232</v>
      </c>
      <c r="C7" s="11">
        <v>1022</v>
      </c>
      <c r="D7" s="11">
        <v>1100</v>
      </c>
      <c r="E7" s="11">
        <v>1219</v>
      </c>
      <c r="F7" s="11">
        <v>1139</v>
      </c>
      <c r="G7" s="11">
        <v>1163</v>
      </c>
      <c r="H7" s="11">
        <v>1138</v>
      </c>
      <c r="I7" s="11">
        <v>1106</v>
      </c>
      <c r="J7" s="11">
        <v>9119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4ABE-F178-4473-8448-9724925E3D49}">
  <sheetPr codeName="Sheet9">
    <tabColor rgb="FF92D050"/>
  </sheetPr>
  <dimension ref="A3:B9"/>
  <sheetViews>
    <sheetView workbookViewId="0">
      <selection activeCell="A3" sqref="A3:B9"/>
    </sheetView>
  </sheetViews>
  <sheetFormatPr defaultRowHeight="14.4" x14ac:dyDescent="0.3"/>
  <cols>
    <col min="1" max="1" width="12.5546875" bestFit="1" customWidth="1"/>
    <col min="2" max="2" width="14.88671875" bestFit="1" customWidth="1"/>
  </cols>
  <sheetData>
    <row r="3" spans="1:2" x14ac:dyDescent="0.3">
      <c r="A3" s="6" t="s">
        <v>47</v>
      </c>
      <c r="B3" t="s">
        <v>63</v>
      </c>
    </row>
    <row r="4" spans="1:2" x14ac:dyDescent="0.3">
      <c r="A4" s="7" t="s">
        <v>11</v>
      </c>
      <c r="B4" s="11">
        <v>36576200</v>
      </c>
    </row>
    <row r="5" spans="1:2" x14ac:dyDescent="0.3">
      <c r="A5" s="7" t="s">
        <v>12</v>
      </c>
      <c r="B5" s="11">
        <v>12489000</v>
      </c>
    </row>
    <row r="6" spans="1:2" x14ac:dyDescent="0.3">
      <c r="A6" s="7" t="s">
        <v>10</v>
      </c>
      <c r="B6" s="11">
        <v>73695300</v>
      </c>
    </row>
    <row r="7" spans="1:2" x14ac:dyDescent="0.3">
      <c r="A7" s="7" t="s">
        <v>13</v>
      </c>
      <c r="B7" s="11">
        <v>49968100</v>
      </c>
    </row>
    <row r="8" spans="1:2" x14ac:dyDescent="0.3">
      <c r="A8" s="7" t="s">
        <v>14</v>
      </c>
      <c r="B8" s="11">
        <v>30130500</v>
      </c>
    </row>
    <row r="9" spans="1:2" x14ac:dyDescent="0.3">
      <c r="A9" s="7" t="s">
        <v>48</v>
      </c>
      <c r="B9" s="11">
        <v>202859100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31748-4624-4528-8F35-060617D33FBA}">
  <sheetPr codeName="Sheet10">
    <tabColor rgb="FF00B0F0"/>
  </sheetPr>
  <dimension ref="A3:B9"/>
  <sheetViews>
    <sheetView workbookViewId="0">
      <selection activeCell="K16" sqref="K16"/>
    </sheetView>
  </sheetViews>
  <sheetFormatPr defaultRowHeight="14.4" x14ac:dyDescent="0.3"/>
  <cols>
    <col min="1" max="1" width="12.5546875" bestFit="1" customWidth="1"/>
    <col min="2" max="2" width="14.88671875" bestFit="1" customWidth="1"/>
  </cols>
  <sheetData>
    <row r="3" spans="1:2" x14ac:dyDescent="0.3">
      <c r="A3" s="6" t="s">
        <v>47</v>
      </c>
      <c r="B3" t="s">
        <v>65</v>
      </c>
    </row>
    <row r="4" spans="1:2" x14ac:dyDescent="0.3">
      <c r="A4" s="7" t="s">
        <v>11</v>
      </c>
      <c r="B4" s="11">
        <v>1838</v>
      </c>
    </row>
    <row r="5" spans="1:2" x14ac:dyDescent="0.3">
      <c r="A5" s="7" t="s">
        <v>12</v>
      </c>
      <c r="B5" s="11">
        <v>1810</v>
      </c>
    </row>
    <row r="6" spans="1:2" x14ac:dyDescent="0.3">
      <c r="A6" s="7" t="s">
        <v>10</v>
      </c>
      <c r="B6" s="11">
        <v>1847</v>
      </c>
    </row>
    <row r="7" spans="1:2" x14ac:dyDescent="0.3">
      <c r="A7" s="7" t="s">
        <v>13</v>
      </c>
      <c r="B7" s="11">
        <v>1729</v>
      </c>
    </row>
    <row r="8" spans="1:2" x14ac:dyDescent="0.3">
      <c r="A8" s="7" t="s">
        <v>14</v>
      </c>
      <c r="B8" s="11">
        <v>1895</v>
      </c>
    </row>
    <row r="9" spans="1:2" x14ac:dyDescent="0.3">
      <c r="A9" s="7" t="s">
        <v>48</v>
      </c>
      <c r="B9" s="11">
        <v>9119</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8AA86-B62A-4E98-BFF4-B64AF4D7F0A2}">
  <sheetPr codeName="Sheet11">
    <tabColor rgb="FF92D050"/>
  </sheetPr>
  <dimension ref="A3:B24"/>
  <sheetViews>
    <sheetView workbookViewId="0">
      <selection activeCell="H19" sqref="H19"/>
    </sheetView>
  </sheetViews>
  <sheetFormatPr defaultRowHeight="14.4" x14ac:dyDescent="0.3"/>
  <cols>
    <col min="1" max="1" width="23.109375" bestFit="1" customWidth="1"/>
    <col min="2" max="2" width="14.88671875" bestFit="1" customWidth="1"/>
  </cols>
  <sheetData>
    <row r="3" spans="1:2" x14ac:dyDescent="0.3">
      <c r="A3" s="6" t="s">
        <v>47</v>
      </c>
      <c r="B3" t="s">
        <v>63</v>
      </c>
    </row>
    <row r="4" spans="1:2" x14ac:dyDescent="0.3">
      <c r="A4" s="7" t="s">
        <v>31</v>
      </c>
      <c r="B4" s="11">
        <v>11564100</v>
      </c>
    </row>
    <row r="5" spans="1:2" x14ac:dyDescent="0.3">
      <c r="A5" s="7" t="s">
        <v>22</v>
      </c>
      <c r="B5" s="11">
        <v>12282100</v>
      </c>
    </row>
    <row r="6" spans="1:2" x14ac:dyDescent="0.3">
      <c r="A6" s="7" t="s">
        <v>37</v>
      </c>
      <c r="B6" s="11">
        <v>12208500</v>
      </c>
    </row>
    <row r="7" spans="1:2" x14ac:dyDescent="0.3">
      <c r="A7" s="7" t="s">
        <v>30</v>
      </c>
      <c r="B7" s="11">
        <v>8627200</v>
      </c>
    </row>
    <row r="8" spans="1:2" x14ac:dyDescent="0.3">
      <c r="A8" s="7" t="s">
        <v>27</v>
      </c>
      <c r="B8" s="11">
        <v>11199100</v>
      </c>
    </row>
    <row r="9" spans="1:2" x14ac:dyDescent="0.3">
      <c r="A9" s="7" t="s">
        <v>35</v>
      </c>
      <c r="B9" s="11">
        <v>10593300</v>
      </c>
    </row>
    <row r="10" spans="1:2" x14ac:dyDescent="0.3">
      <c r="A10" s="7" t="s">
        <v>25</v>
      </c>
      <c r="B10" s="11">
        <v>9387600</v>
      </c>
    </row>
    <row r="11" spans="1:2" x14ac:dyDescent="0.3">
      <c r="A11" s="7" t="s">
        <v>21</v>
      </c>
      <c r="B11" s="11">
        <v>9839700</v>
      </c>
    </row>
    <row r="12" spans="1:2" x14ac:dyDescent="0.3">
      <c r="A12" s="7" t="s">
        <v>32</v>
      </c>
      <c r="B12" s="11">
        <v>11444700</v>
      </c>
    </row>
    <row r="13" spans="1:2" x14ac:dyDescent="0.3">
      <c r="A13" s="7" t="s">
        <v>33</v>
      </c>
      <c r="B13" s="11">
        <v>8381800</v>
      </c>
    </row>
    <row r="14" spans="1:2" x14ac:dyDescent="0.3">
      <c r="A14" s="7" t="s">
        <v>23</v>
      </c>
      <c r="B14" s="11">
        <v>10623000</v>
      </c>
    </row>
    <row r="15" spans="1:2" x14ac:dyDescent="0.3">
      <c r="A15" s="7" t="s">
        <v>29</v>
      </c>
      <c r="B15" s="11">
        <v>9280600</v>
      </c>
    </row>
    <row r="16" spans="1:2" x14ac:dyDescent="0.3">
      <c r="A16" s="7" t="s">
        <v>20</v>
      </c>
      <c r="B16" s="11">
        <v>10610700</v>
      </c>
    </row>
    <row r="17" spans="1:2" x14ac:dyDescent="0.3">
      <c r="A17" s="7" t="s">
        <v>19</v>
      </c>
      <c r="B17" s="11">
        <v>9858000</v>
      </c>
    </row>
    <row r="18" spans="1:2" x14ac:dyDescent="0.3">
      <c r="A18" s="7" t="s">
        <v>36</v>
      </c>
      <c r="B18" s="11">
        <v>8921400</v>
      </c>
    </row>
    <row r="19" spans="1:2" x14ac:dyDescent="0.3">
      <c r="A19" s="7" t="s">
        <v>34</v>
      </c>
      <c r="B19" s="11">
        <v>9443000</v>
      </c>
    </row>
    <row r="20" spans="1:2" x14ac:dyDescent="0.3">
      <c r="A20" s="7" t="s">
        <v>38</v>
      </c>
      <c r="B20" s="11">
        <v>8369100</v>
      </c>
    </row>
    <row r="21" spans="1:2" x14ac:dyDescent="0.3">
      <c r="A21" s="7" t="s">
        <v>24</v>
      </c>
      <c r="B21" s="11">
        <v>9310400</v>
      </c>
    </row>
    <row r="22" spans="1:2" x14ac:dyDescent="0.3">
      <c r="A22" s="7" t="s">
        <v>28</v>
      </c>
      <c r="B22" s="11">
        <v>10823900</v>
      </c>
    </row>
    <row r="23" spans="1:2" x14ac:dyDescent="0.3">
      <c r="A23" s="7" t="s">
        <v>26</v>
      </c>
      <c r="B23" s="11">
        <v>10090900</v>
      </c>
    </row>
    <row r="24" spans="1:2" x14ac:dyDescent="0.3">
      <c r="A24" s="7" t="s">
        <v>48</v>
      </c>
      <c r="B24" s="11">
        <v>202859100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A81C5-E50D-46B0-9921-A2BAEBB534F0}">
  <sheetPr codeName="Sheet12">
    <tabColor rgb="FF00B0F0"/>
  </sheetPr>
  <dimension ref="A3:B24"/>
  <sheetViews>
    <sheetView workbookViewId="0">
      <selection activeCell="M15" sqref="M15"/>
    </sheetView>
  </sheetViews>
  <sheetFormatPr defaultRowHeight="14.4" x14ac:dyDescent="0.3"/>
  <cols>
    <col min="1" max="1" width="23.109375" bestFit="1" customWidth="1"/>
    <col min="2" max="2" width="14.88671875" bestFit="1" customWidth="1"/>
  </cols>
  <sheetData>
    <row r="3" spans="1:2" x14ac:dyDescent="0.3">
      <c r="A3" s="6" t="s">
        <v>47</v>
      </c>
      <c r="B3" t="s">
        <v>65</v>
      </c>
    </row>
    <row r="4" spans="1:2" x14ac:dyDescent="0.3">
      <c r="A4" s="7" t="s">
        <v>31</v>
      </c>
      <c r="B4" s="11">
        <v>509</v>
      </c>
    </row>
    <row r="5" spans="1:2" x14ac:dyDescent="0.3">
      <c r="A5" s="7" t="s">
        <v>22</v>
      </c>
      <c r="B5" s="11">
        <v>539</v>
      </c>
    </row>
    <row r="6" spans="1:2" x14ac:dyDescent="0.3">
      <c r="A6" s="7" t="s">
        <v>37</v>
      </c>
      <c r="B6" s="11">
        <v>515</v>
      </c>
    </row>
    <row r="7" spans="1:2" x14ac:dyDescent="0.3">
      <c r="A7" s="7" t="s">
        <v>30</v>
      </c>
      <c r="B7" s="11">
        <v>388</v>
      </c>
    </row>
    <row r="8" spans="1:2" x14ac:dyDescent="0.3">
      <c r="A8" s="7" t="s">
        <v>27</v>
      </c>
      <c r="B8" s="11">
        <v>489</v>
      </c>
    </row>
    <row r="9" spans="1:2" x14ac:dyDescent="0.3">
      <c r="A9" s="7" t="s">
        <v>35</v>
      </c>
      <c r="B9" s="11">
        <v>507</v>
      </c>
    </row>
    <row r="10" spans="1:2" x14ac:dyDescent="0.3">
      <c r="A10" s="7" t="s">
        <v>25</v>
      </c>
      <c r="B10" s="11">
        <v>404</v>
      </c>
    </row>
    <row r="11" spans="1:2" x14ac:dyDescent="0.3">
      <c r="A11" s="7" t="s">
        <v>21</v>
      </c>
      <c r="B11" s="11">
        <v>423</v>
      </c>
    </row>
    <row r="12" spans="1:2" x14ac:dyDescent="0.3">
      <c r="A12" s="7" t="s">
        <v>32</v>
      </c>
      <c r="B12" s="11">
        <v>473</v>
      </c>
    </row>
    <row r="13" spans="1:2" x14ac:dyDescent="0.3">
      <c r="A13" s="7" t="s">
        <v>33</v>
      </c>
      <c r="B13" s="11">
        <v>402</v>
      </c>
    </row>
    <row r="14" spans="1:2" x14ac:dyDescent="0.3">
      <c r="A14" s="7" t="s">
        <v>23</v>
      </c>
      <c r="B14" s="11">
        <v>450</v>
      </c>
    </row>
    <row r="15" spans="1:2" x14ac:dyDescent="0.3">
      <c r="A15" s="7" t="s">
        <v>29</v>
      </c>
      <c r="B15" s="11">
        <v>434</v>
      </c>
    </row>
    <row r="16" spans="1:2" x14ac:dyDescent="0.3">
      <c r="A16" s="7" t="s">
        <v>20</v>
      </c>
      <c r="B16" s="11">
        <v>523</v>
      </c>
    </row>
    <row r="17" spans="1:2" x14ac:dyDescent="0.3">
      <c r="A17" s="7" t="s">
        <v>19</v>
      </c>
      <c r="B17" s="11">
        <v>460</v>
      </c>
    </row>
    <row r="18" spans="1:2" x14ac:dyDescent="0.3">
      <c r="A18" s="7" t="s">
        <v>36</v>
      </c>
      <c r="B18" s="11">
        <v>436</v>
      </c>
    </row>
    <row r="19" spans="1:2" x14ac:dyDescent="0.3">
      <c r="A19" s="7" t="s">
        <v>34</v>
      </c>
      <c r="B19" s="11">
        <v>440</v>
      </c>
    </row>
    <row r="20" spans="1:2" x14ac:dyDescent="0.3">
      <c r="A20" s="7" t="s">
        <v>38</v>
      </c>
      <c r="B20" s="11">
        <v>379</v>
      </c>
    </row>
    <row r="21" spans="1:2" x14ac:dyDescent="0.3">
      <c r="A21" s="7" t="s">
        <v>24</v>
      </c>
      <c r="B21" s="11">
        <v>416</v>
      </c>
    </row>
    <row r="22" spans="1:2" x14ac:dyDescent="0.3">
      <c r="A22" s="7" t="s">
        <v>28</v>
      </c>
      <c r="B22" s="11">
        <v>461</v>
      </c>
    </row>
    <row r="23" spans="1:2" x14ac:dyDescent="0.3">
      <c r="A23" s="7" t="s">
        <v>26</v>
      </c>
      <c r="B23" s="11">
        <v>471</v>
      </c>
    </row>
    <row r="24" spans="1:2" x14ac:dyDescent="0.3">
      <c r="A24" s="7" t="s">
        <v>48</v>
      </c>
      <c r="B24" s="11">
        <v>9119</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Data</vt:lpstr>
      <vt:lpstr>Dashboard</vt:lpstr>
      <vt:lpstr>Sales Trend</vt:lpstr>
      <vt:lpstr>Units Trend</vt:lpstr>
      <vt:lpstr>Sales by Region</vt:lpstr>
      <vt:lpstr>Units by Region</vt:lpstr>
      <vt:lpstr>Sales by Employee</vt:lpstr>
      <vt:lpstr>Units by Employee</vt:lpstr>
      <vt:lpstr>Item Share (Revenue)</vt:lpstr>
      <vt:lpstr>Item Share (Units)</vt:lpstr>
      <vt:lpstr>Customer Revenue</vt:lpstr>
      <vt:lpstr>Customer 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Abhinaba Chakraborti</dc:creator>
  <cp:lastModifiedBy>ABHINABA CHAKRABORTI</cp:lastModifiedBy>
  <dcterms:created xsi:type="dcterms:W3CDTF">2015-06-05T18:17:20Z</dcterms:created>
  <dcterms:modified xsi:type="dcterms:W3CDTF">2023-09-15T09:11:38Z</dcterms:modified>
</cp:coreProperties>
</file>